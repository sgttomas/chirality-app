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ryan/ai-env/projects/chirality-app/examples/execution-6a/_Aggregation/AGG_Estimate_Collation_2026-02-18_2130/Aggregated/Estimate/"/>
    </mc:Choice>
  </mc:AlternateContent>
  <xr:revisionPtr revIDLastSave="0" documentId="8_{8CF96BD4-7219-204B-B358-88A34F2FFAF7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Dashboard" sheetId="1" r:id="rId1"/>
    <sheet name="Detail_Lines" sheetId="2" r:id="rId2"/>
    <sheet name="Summary_WBS" sheetId="3" r:id="rId3"/>
    <sheet name="Summary_CBS" sheetId="4" r:id="rId4"/>
    <sheet name="WBSxCBS_Matrix" sheetId="5" r:id="rId5"/>
    <sheet name="BOE_Index" sheetId="6" r:id="rId6"/>
    <sheet name="Coverage" sheetId="7" r:id="rId7"/>
    <sheet name="Assumptions" sheetId="8" r:id="rId8"/>
    <sheet name="Risks" sheetId="9" r:id="rId9"/>
    <sheet name="BOE_Collection" sheetId="10" r:id="rId10"/>
    <sheet name="Lists" sheetId="11" r:id="rId1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/>
  <c r="K25" i="1"/>
  <c r="K24" i="1"/>
  <c r="K23" i="1"/>
  <c r="K22" i="1"/>
  <c r="K27" i="1" s="1"/>
  <c r="K17" i="1"/>
  <c r="K16" i="1"/>
  <c r="B12" i="1"/>
  <c r="H10" i="1"/>
  <c r="K11" i="1" s="1"/>
  <c r="K9" i="1"/>
  <c r="H9" i="1"/>
  <c r="H8" i="1"/>
  <c r="M33" i="1" s="1"/>
  <c r="H7" i="1"/>
  <c r="B22" i="1" s="1"/>
  <c r="K8" i="1" l="1"/>
  <c r="K15" i="1"/>
  <c r="E22" i="1"/>
  <c r="L31" i="1"/>
  <c r="M31" i="1"/>
  <c r="K32" i="1"/>
  <c r="L32" i="1"/>
  <c r="M32" i="1"/>
  <c r="K33" i="1"/>
  <c r="K18" i="1"/>
  <c r="E12" i="1"/>
  <c r="E17" i="1" s="1"/>
  <c r="L33" i="1"/>
  <c r="K10" i="1"/>
  <c r="K31" i="1"/>
  <c r="B17" i="1" l="1"/>
  <c r="K19" i="1"/>
  <c r="K12" i="1"/>
</calcChain>
</file>

<file path=xl/sharedStrings.xml><?xml version="1.0" encoding="utf-8"?>
<sst xmlns="http://schemas.openxmlformats.org/spreadsheetml/2006/main" count="6124" uniqueCount="1930">
  <si>
    <t>Estimating Dashboard</t>
  </si>
  <si>
    <t>Project:</t>
  </si>
  <si>
    <t>Town of Penhold -- Public Services Building (PSB)</t>
  </si>
  <si>
    <t>Currency / Base Year:</t>
  </si>
  <si>
    <t>CAD / 2024</t>
  </si>
  <si>
    <t>As of:</t>
  </si>
  <si>
    <t>2026-02-18</t>
  </si>
  <si>
    <t>Filters (optional)</t>
  </si>
  <si>
    <t>Chart Drivers (auto)</t>
  </si>
  <si>
    <t>Package</t>
  </si>
  <si>
    <t>All</t>
  </si>
  <si>
    <t>Method</t>
  </si>
  <si>
    <t>Amount</t>
  </si>
  <si>
    <t>Deliverable</t>
  </si>
  <si>
    <t>Confidence</t>
  </si>
  <si>
    <t>RATE_TABLE</t>
  </si>
  <si>
    <t>ALLOWANCE</t>
  </si>
  <si>
    <t>PARAMETRIC</t>
  </si>
  <si>
    <t>Project Total (excl. subtotals)</t>
  </si>
  <si>
    <t>Selected Scope Total</t>
  </si>
  <si>
    <t>QUOTE</t>
  </si>
  <si>
    <t>Total</t>
  </si>
  <si>
    <t>HIGH</t>
  </si>
  <si>
    <t>Allowance Share</t>
  </si>
  <si>
    <t>Low-Confidence Share</t>
  </si>
  <si>
    <t>MED</t>
  </si>
  <si>
    <t>MEDIUM</t>
  </si>
  <si>
    <t>LOW</t>
  </si>
  <si>
    <t>Priced Lines (scope)</t>
  </si>
  <si>
    <t>Deliverables (line count) in scope</t>
  </si>
  <si>
    <t>Subtotal</t>
  </si>
  <si>
    <t>PKG-001</t>
  </si>
  <si>
    <t>PKG-002</t>
  </si>
  <si>
    <t>PKG-003</t>
  </si>
  <si>
    <t>PKG-004</t>
  </si>
  <si>
    <t>PKG-005</t>
  </si>
  <si>
    <t>Risk Heatmap (count)</t>
  </si>
  <si>
    <t>Likelihood \ Impact</t>
  </si>
  <si>
    <t>Data sheets:</t>
  </si>
  <si>
    <t>Detail Lines</t>
  </si>
  <si>
    <t>WBS Summary</t>
  </si>
  <si>
    <t>CBS Summary</t>
  </si>
  <si>
    <t>WBS×CBS Matrix</t>
  </si>
  <si>
    <t>BOE Index</t>
  </si>
  <si>
    <t>Coverage</t>
  </si>
  <si>
    <t>Assumptions</t>
  </si>
  <si>
    <t>Risks</t>
  </si>
  <si>
    <t>BOE Collection</t>
  </si>
  <si>
    <t>LineUID</t>
  </si>
  <si>
    <t>FromDeliverableID</t>
  </si>
  <si>
    <t>FromPackageID</t>
  </si>
  <si>
    <t>LineID</t>
  </si>
  <si>
    <t>CBS</t>
  </si>
  <si>
    <t>WBS_PackageID</t>
  </si>
  <si>
    <t>WBS_DeliverableID</t>
  </si>
  <si>
    <t>Description</t>
  </si>
  <si>
    <t>Qty</t>
  </si>
  <si>
    <t>Unit</t>
  </si>
  <si>
    <t>UnitRate</t>
  </si>
  <si>
    <t>Currency</t>
  </si>
  <si>
    <t>SourceRef</t>
  </si>
  <si>
    <t>Notes</t>
  </si>
  <si>
    <t>SourceSnapshot</t>
  </si>
  <si>
    <t>DEL-01-01::L-001</t>
  </si>
  <si>
    <t>DEL-01-01</t>
  </si>
  <si>
    <t>L-001</t>
  </si>
  <si>
    <t>MGMT</t>
  </si>
  <si>
    <t>Project Manager — PM oversight across full 18-month construction phase (~7 hr/wk)</t>
  </si>
  <si>
    <t>hr</t>
  </si>
  <si>
    <t>CAD</t>
  </si>
  <si>
    <t>Rate: Professional_Staff_Rates.csv row R-02 ($175/hr); Hours: Level_of_Effort.csv row DEL-01-01/R-02 (120 hr); Duration basis: Assumed_Project_Parameters.csv PP-01 (18 months)</t>
  </si>
  <si>
    <t>PM oversight across full 18-month construction phase; ~7 hr/wk</t>
  </si>
  <si>
    <t>EST_DEL-01-01_2026-02-18_1200</t>
  </si>
  <si>
    <t>DEL-01-01::L-002</t>
  </si>
  <si>
    <t>L-002</t>
  </si>
  <si>
    <t>Design Manager — Design phase leadership 4 months + periodic review during construction</t>
  </si>
  <si>
    <t>Rate: Professional_Staff_Rates.csv row R-03 ($165/hr); Hours: Level_of_Effort.csv row DEL-01-01/R-03 (80 hr); Duration basis: Assumed_Project_Parameters.csv PP-02 (4 months design)</t>
  </si>
  <si>
    <t>Design phase leadership 4 months; periodic review during construction</t>
  </si>
  <si>
    <t>DEL-01-01::L-003</t>
  </si>
  <si>
    <t>L-003</t>
  </si>
  <si>
    <t>DESIGN</t>
  </si>
  <si>
    <t>Architect (Project) — Design review and QA/QC review cycles</t>
  </si>
  <si>
    <t>Rate: Professional_Staff_Rates.csv row R-04 ($145/hr); Hours: Level_of_Effort.csv row DEL-01-01/R-04 (40 hr)</t>
  </si>
  <si>
    <t>Design review; QA/QC review cycles — management function not discipline design production</t>
  </si>
  <si>
    <t>DEL-01-01::L-004</t>
  </si>
  <si>
    <t>L-004</t>
  </si>
  <si>
    <t>ADMIN</t>
  </si>
  <si>
    <t>Administrative / Document Control — Document management full project duration (~3.5 hr/wk)</t>
  </si>
  <si>
    <t>Rate: Professional_Staff_Rates.csv row R-24 ($80/hr); Hours: Level_of_Effort.csv row DEL-01-01/R-24 (60 hr); Duration basis: Assumed_Project_Parameters.csv PP-01 (18 months)</t>
  </si>
  <si>
    <t>Document management full project duration; ~3.5 hr/wk</t>
  </si>
  <si>
    <t>DEL-01-02::L-001</t>
  </si>
  <si>
    <t>DEL-01-02</t>
  </si>
  <si>
    <t>MGMT.PROJ_CONTROLS</t>
  </si>
  <si>
    <t>Scheduler — schedule development (40h) + monthly updates (2h/mo x 18mo = 36h) + closeout</t>
  </si>
  <si>
    <t>Professional_Staff_Rates.csv row R-17; Level_of_Effort.csv row DEL-01-02 R-17</t>
  </si>
  <si>
    <t>Rate: R-17 Scheduler $130/hr; Hours: LOE basis (PARAMETRIC) see DEC-EST-001</t>
  </si>
  <si>
    <t>EST_DEL-01-02_2026-02-18_2100</t>
  </si>
  <si>
    <t>DEL-01-02::L-002</t>
  </si>
  <si>
    <t>Project Manager — schedule review + reporting oversight</t>
  </si>
  <si>
    <t>Professional_Staff_Rates.csv row R-02; Level_of_Effort.csv row DEL-01-02 R-02</t>
  </si>
  <si>
    <t>Rate: R-02 PM $175/hr; Hours: LOE basis (PARAMETRIC) see DEC-EST-001</t>
  </si>
  <si>
    <t>DEL-01-02::L-003</t>
  </si>
  <si>
    <t>Scheduling software / tools — project scheduling license (18-month project)</t>
  </si>
  <si>
    <t>LS</t>
  </si>
  <si>
    <t>Parametric allowance — P6/MS Project license for 18-month project</t>
  </si>
  <si>
    <t>Previously TBD; resolved as parametric allowance per ORCHESTRATOR TBD resolution pass; see DEC-EST-005</t>
  </si>
  <si>
    <t>DEL-01-03::L-0103-001</t>
  </si>
  <si>
    <t>DEL-01-03</t>
  </si>
  <si>
    <t>L-0103-001</t>
  </si>
  <si>
    <t>CBS-LABOUR-SAFETY</t>
  </si>
  <si>
    <t>Safety Officer - H&amp;S plan development and site safety management</t>
  </si>
  <si>
    <t>Professional_Staff_Rates.csv (R-20) + Level_of_Effort.csv (DEL-01-03 R-20)</t>
  </si>
  <si>
    <t>20h plan development + ~2.5h/wk x 16wk active site safety; rate $110/hr per rate table</t>
  </si>
  <si>
    <t>EST_DEL-01-03_2026-02-18_2100</t>
  </si>
  <si>
    <t>DEL-01-03::L-0103-002</t>
  </si>
  <si>
    <t>L-0103-002</t>
  </si>
  <si>
    <t>CBS-LABOUR-ADMIN</t>
  </si>
  <si>
    <t>Administrative / Document Control - Safety documentation filing</t>
  </si>
  <si>
    <t>Professional_Staff_Rates.csv (R-24) + Level_of_Effort.csv (DEL-01-03 R-24)</t>
  </si>
  <si>
    <t>Safety doc filing support; rate $80/hr per rate table</t>
  </si>
  <si>
    <t>DEL-01-03::L-0103-003</t>
  </si>
  <si>
    <t>L-0103-003</t>
  </si>
  <si>
    <t>CBS-TRAINING</t>
  </si>
  <si>
    <t>Training costs - site orientation and safety training materials for 18-month project</t>
  </si>
  <si>
    <t>Parametric allowance — site orientation + safety training for 30-40 workers over 18-month project</t>
  </si>
  <si>
    <t>Previously TBD; resolved as parametric allowance per ORCHESTRATOR TBD resolution pass; covers WHMIS/first aid/confined space training sessions + materials</t>
  </si>
  <si>
    <t>DEL-01-03::L-0103-004</t>
  </si>
  <si>
    <t>L-0103-004</t>
  </si>
  <si>
    <t>CBS-SUPPLIES</t>
  </si>
  <si>
    <t>PPE and signage supplies - hard hats + vests + glasses + first aid kits + site signage</t>
  </si>
  <si>
    <t>Parametric allowance — PPE and site safety signage for 18-month construction project</t>
  </si>
  <si>
    <t>Previously TBD; resolved as parametric allowance per ORCHESTRATOR TBD resolution pass; covers standard PPE inventory + site safety signage package</t>
  </si>
  <si>
    <t>DEL-01-04::L-01</t>
  </si>
  <si>
    <t>DEL-01-04</t>
  </si>
  <si>
    <t>L-01</t>
  </si>
  <si>
    <t>01-MGMT</t>
  </si>
  <si>
    <t>Project Manager -- permit applications; inspection coordination; AHJ liaison</t>
  </si>
  <si>
    <t>Level_of_Effort.csv row DEL-01-04/R-02 + Professional_Staff_Rates.csv R-02</t>
  </si>
  <si>
    <t>40h per Level_of_Effort.csv; $175/hr per Professional_Staff_Rates.csv</t>
  </si>
  <si>
    <t>EST_DEL-01-04_2026-02-18_1400</t>
  </si>
  <si>
    <t>DEL-01-04::L-02</t>
  </si>
  <si>
    <t>L-02</t>
  </si>
  <si>
    <t>Administrative / Document Control -- permit documentation; inspection records</t>
  </si>
  <si>
    <t>Level_of_Effort.csv row DEL-01-04/R-24 + Professional_Staff_Rates.csv R-24</t>
  </si>
  <si>
    <t>12h per Level_of_Effort.csv; $80/hr per Professional_Staff_Rates.csv</t>
  </si>
  <si>
    <t>DEL-01-04::L-03</t>
  </si>
  <si>
    <t>L-03</t>
  </si>
  <si>
    <t>01-FEES</t>
  </si>
  <si>
    <t>Building permit -- Town of Penhold (0.75% of estimated construction value)</t>
  </si>
  <si>
    <t>Fees_Permits_Insurance.csv FP-06 + Assumed_Project_Parameters.csv PP-24</t>
  </si>
  <si>
    <t>0.75% recommended rate x $8700000 PP-24; Penhold fee schedule TBD; ALLOWANCE method per FALLBACK_POLICY</t>
  </si>
  <si>
    <t>DEL-01-04::L-04</t>
  </si>
  <si>
    <t>L-04</t>
  </si>
  <si>
    <t>Development permit -- Town of Penhold</t>
  </si>
  <si>
    <t>Fees_Permits_Insurance.csv FP-07</t>
  </si>
  <si>
    <t>Recommended rate $1200; Penhold fee schedule TBD</t>
  </si>
  <si>
    <t>DEL-01-04::L-05</t>
  </si>
  <si>
    <t>L-05</t>
  </si>
  <si>
    <t>Electrical permit -- Alberta Safety Codes</t>
  </si>
  <si>
    <t>Fees_Permits_Insurance.csv FP-08</t>
  </si>
  <si>
    <t>Recommended rate $2500; based on electrical scope</t>
  </si>
  <si>
    <t>DEL-01-04::L-06</t>
  </si>
  <si>
    <t>L-06</t>
  </si>
  <si>
    <t>Plumbing permit -- Alberta Safety Codes</t>
  </si>
  <si>
    <t>Fees_Permits_Insurance.csv FP-09</t>
  </si>
  <si>
    <t>Recommended rate $2000; based on fixture count</t>
  </si>
  <si>
    <t>DEL-01-04::L-07</t>
  </si>
  <si>
    <t>L-07</t>
  </si>
  <si>
    <t>Gas permit -- Alberta Safety Codes</t>
  </si>
  <si>
    <t>Fees_Permits_Insurance.csv FP-10</t>
  </si>
  <si>
    <t>Recommended rate $1000; based on appliance count</t>
  </si>
  <si>
    <t>DEL-01-05::L-01</t>
  </si>
  <si>
    <t>DEL-01-05</t>
  </si>
  <si>
    <t>PM</t>
  </si>
  <si>
    <t>Project Manager — meetings (biweekly x 2h x 18mo = 72h) + change control admin (18h)</t>
  </si>
  <si>
    <t>Professional_Staff_Rates.csv (R-02) + Level_of_Effort.csv (DEL-01-05 R-02 90h)</t>
  </si>
  <si>
    <t>SOW-0011 meetings + SOW-0012 change control; PP-01 18-month duration basis</t>
  </si>
  <si>
    <t>EST_DEL-01-05_2026-02-18_0000</t>
  </si>
  <si>
    <t>DEL-01-05::L-02</t>
  </si>
  <si>
    <t>Administrative / Document Control — minutes + RFI log + submittal tracking + change order documentation</t>
  </si>
  <si>
    <t>Professional_Staff_Rates.csv (R-24) + Level_of_Effort.csv (DEL-01-05 R-24 50h)</t>
  </si>
  <si>
    <t>SOW-0011 meeting minutes + SOW-0012 documentation management; PP-01 18-month duration basis</t>
  </si>
  <si>
    <t>DEL-01-06::L-0106-001</t>
  </si>
  <si>
    <t>DEL-01-06</t>
  </si>
  <si>
    <t>L-0106-001</t>
  </si>
  <si>
    <t>01-CMGT</t>
  </si>
  <si>
    <t>Site Superintendent -- full-time on-site supervision (40h/wk x 18mo construction duration at 80% utilization)</t>
  </si>
  <si>
    <t>Professional_Staff_Rates.csv row R-16 + Level_of_Effort.csv row DEL-01-06/R-16</t>
  </si>
  <si>
    <t>1440 hrs from Level_of_Effort.csv (PARAMETRIC basis: 40h/wk x 18mo x 4.33wk/mo trimmed to 80% utilization); $135/hr from Professional_Staff_Rates.csv R-16; 18-month duration from Assumed_Project_Parameters.csv PP-01</t>
  </si>
  <si>
    <t>EST_DEL-01-06_2026-02-18_2100</t>
  </si>
  <si>
    <t>DEL-01-06::L-0106-002</t>
  </si>
  <si>
    <t>L-0106-002</t>
  </si>
  <si>
    <t>Construction Manager -- periodic site visits and logistics oversight (~3.5h/wk)</t>
  </si>
  <si>
    <t>Professional_Staff_Rates.csv row R-15 + Level_of_Effort.csv row DEL-01-06/R-15</t>
  </si>
  <si>
    <t>60 hrs from Level_of_Effort.csv (PARAMETRIC basis: ~3.5h/wk); $155/hr from Professional_Staff_Rates.csv R-15</t>
  </si>
  <si>
    <t>DEL-01-06::L-0106-003</t>
  </si>
  <si>
    <t>L-0106-003</t>
  </si>
  <si>
    <t>01-SITE</t>
  </si>
  <si>
    <t>Temporary facilities and fencing -- site office trailer + temp power + fencing panels + portable washrooms for 18-month construction duration</t>
  </si>
  <si>
    <t>Parametric allowance — site office trailer ($1500/mo x 18) + temp power hookup ($5000) + temp power consumption ($500/mo x 18) + fencing panels ($500/mo x 18) + portable washrooms ($300/mo x 18) + misc $5000</t>
  </si>
  <si>
    <t>Previously TBD; resolved as parametric allowance per ORCHESTRATOR TBD resolution pass</t>
  </si>
  <si>
    <t>DEL-01-06::L-0106-004</t>
  </si>
  <si>
    <t>L-0106-004</t>
  </si>
  <si>
    <t>Site cleaning -- ongoing construction cleanup + final pre-occupancy clean for 24000 sf total building area</t>
  </si>
  <si>
    <t>Parametric allowance — ongoing cleanup ($800/mo x 18mo = $14400) + final pre-occupancy clean ($10000 for 24000 sf at $0.40/sf)</t>
  </si>
  <si>
    <t>DEL-01-07::L-0107-01</t>
  </si>
  <si>
    <t>DEL-01-07</t>
  </si>
  <si>
    <t>L-0107-01</t>
  </si>
  <si>
    <t>CBS-0107-CX</t>
  </si>
  <si>
    <t>Commissioning Lead -- Cx plan development (20h) + functional testing coordination (40h) + training delivery (20h) + as-built coordination (20h) + warranty admin (20h)</t>
  </si>
  <si>
    <t>Professional_Staff_Rates.csv row R-21 (HourlyRate_CAD=140); Level_of_Effort.csv row DEL-01-07/R-21 (EstimatedHours=120)</t>
  </si>
  <si>
    <t>Overall Cx coordination only; system-specific commissioning labor is in PKG-002 discipline deliverables</t>
  </si>
  <si>
    <t>EST_DEL-01-07_2026-02-18_1830</t>
  </si>
  <si>
    <t>DEL-01-07::L-0107-02</t>
  </si>
  <si>
    <t>L-0107-02</t>
  </si>
  <si>
    <t>CBS-0107-MGT</t>
  </si>
  <si>
    <t>Project Manager -- Cx oversight and closeout coordination and warranty management</t>
  </si>
  <si>
    <t>Professional_Staff_Rates.csv row R-02 (HourlyRate_CAD=175); Level_of_Effort.csv row DEL-01-07/R-02 (EstimatedHours=30)</t>
  </si>
  <si>
    <t>PM oversight of commissioning and closeout process</t>
  </si>
  <si>
    <t>DEL-01-07::L-0107-03</t>
  </si>
  <si>
    <t>L-0107-03</t>
  </si>
  <si>
    <t>CBS-0107-ADM</t>
  </si>
  <si>
    <t>Administrative / Document Control -- As-built documentation assembly and O&amp;M manual compilation and warranty log maintenance</t>
  </si>
  <si>
    <t>Professional_Staff_Rates.csv row R-24 (HourlyRate_CAD=80); Level_of_Effort.csv row DEL-01-07/R-24 (EstimatedHours=20)</t>
  </si>
  <si>
    <t>Document assembly and formatting; binder preparation (2 hard copies + digital)</t>
  </si>
  <si>
    <t>DEL-02-01::L-001</t>
  </si>
  <si>
    <t>DEL-02-01</t>
  </si>
  <si>
    <t>3300</t>
  </si>
  <si>
    <t>Interior hollow metal doors — single (office/admin/shared areas; estimated 18 openings)</t>
  </si>
  <si>
    <t>each</t>
  </si>
  <si>
    <t>Building_Envelope_Rates.csv BE-11</t>
  </si>
  <si>
    <t>18 single doors per ASM-004</t>
  </si>
  <si>
    <t>EST_DEL-02-01_2026-02-18_2100</t>
  </si>
  <si>
    <t>DEL-02-01::L-002</t>
  </si>
  <si>
    <t>Interior hollow metal doors — double (meeting room main entry; 1 pair)</t>
  </si>
  <si>
    <t>Building_Envelope_Rates.csv BE-12</t>
  </si>
  <si>
    <t>One double-door pair</t>
  </si>
  <si>
    <t>DEL-02-01::L-003</t>
  </si>
  <si>
    <t>Door hardware sets — commercial (all interior openings; 19 sets)</t>
  </si>
  <si>
    <t>Building_Envelope_Rates.csv BE-13</t>
  </si>
  <si>
    <t>19 openings per ASM-004</t>
  </si>
  <si>
    <t>DEL-02-01::L-004</t>
  </si>
  <si>
    <t>3200</t>
  </si>
  <si>
    <t>Interior partition walls — metal stud and gypsum board (~325 m2)</t>
  </si>
  <si>
    <t>m2</t>
  </si>
  <si>
    <t>Interior_Architectural_Rates.csv IA-01/IA-02/IA-04 blended (70/20/10)</t>
  </si>
  <si>
    <t>Previously TBD; resolved via PS-27</t>
  </si>
  <si>
    <t>DEL-02-01::L-005</t>
  </si>
  <si>
    <t>L-005</t>
  </si>
  <si>
    <t>3400</t>
  </si>
  <si>
    <t>Sealed concrete floor finish — densifier + sealer (~483 m2)</t>
  </si>
  <si>
    <t>Interior_Architectural_Rates.csv IA-08</t>
  </si>
  <si>
    <t>DEL-02-01::L-006</t>
  </si>
  <si>
    <t>L-006</t>
  </si>
  <si>
    <t>Ceiling system — suspended acoustical ceiling tile (~483 m2)</t>
  </si>
  <si>
    <t>Interior_Architectural_Rates.csv IA-05</t>
  </si>
  <si>
    <t>DEL-02-01::L-007</t>
  </si>
  <si>
    <t>L-007</t>
  </si>
  <si>
    <t>3500</t>
  </si>
  <si>
    <t>Accessibility features — barrier-free washrooms and accessible routes</t>
  </si>
  <si>
    <t>IA-15/16/17/18 composite</t>
  </si>
  <si>
    <t>DEL-02-01::L-008</t>
  </si>
  <si>
    <t>L-008</t>
  </si>
  <si>
    <t>3600</t>
  </si>
  <si>
    <t>Code-required signage — exit + room ID + fire safety</t>
  </si>
  <si>
    <t>IA-19/20/21 composite</t>
  </si>
  <si>
    <t>DEL-02-01::L-009</t>
  </si>
  <si>
    <t>L-009</t>
  </si>
  <si>
    <t>Interior paint — wall finishes (~650 m2)</t>
  </si>
  <si>
    <t>IA-12/IA-13 blended (85/15)</t>
  </si>
  <si>
    <t>DEL-02-01::L-010</t>
  </si>
  <si>
    <t>L-010</t>
  </si>
  <si>
    <t>3100</t>
  </si>
  <si>
    <t>Architectural design fees — 7% of DEL-02-01 construction cost</t>
  </si>
  <si>
    <t>Professional_Design_Fees.csv DF-01 (7% of $157317)</t>
  </si>
  <si>
    <t>Previously TBD; now computable</t>
  </si>
  <si>
    <t>DEL-02-02::L-001</t>
  </si>
  <si>
    <t>DEL-02-02</t>
  </si>
  <si>
    <t>03-CONCRETE</t>
  </si>
  <si>
    <t>Sealed concrete floor finish -- 4 fire apparatus bays (780 m2 total; 4 bays x 2100 sf = 8400 sf)</t>
  </si>
  <si>
    <t>Interior_Architectural_Rates.csv / IA-08; Assumed_Project_Parameters.csv / PP-11 (4 bays) and PP-05 (bay area ~2100 sf each from Datasheet)</t>
  </si>
  <si>
    <t>Bay area midpoint 2100 sf per Addendum 03 s1.21 (2000-2200 sf range). Densifier + sealer per IA-08 description. See ASM-001.</t>
  </si>
  <si>
    <t>EST_DEL-02-02_2026-02-18_1036</t>
  </si>
  <si>
    <t>DEL-02-02::L-002</t>
  </si>
  <si>
    <t>09-FINISHES</t>
  </si>
  <si>
    <t>Exposed structure paint -- 4 fire apparatus bay ceilings (780 m2)</t>
  </si>
  <si>
    <t>Interior_Architectural_Rates.csv / IA-07; Assumed_Project_Parameters.csv / PP-11</t>
  </si>
  <si>
    <t>Spray-apply latex to exposed deck/joists in bay area. Same 780 m2 as bay floor area. See ASM-001.</t>
  </si>
  <si>
    <t>DEL-02-02::L-003</t>
  </si>
  <si>
    <t>10-SPECIALTIES</t>
  </si>
  <si>
    <t>Bunker gear lockers -- heavy-duty ventilated (40 units)</t>
  </si>
  <si>
    <t>Equipment_Pricing.csv / EQ-06; Assumed_Project_Parameters.csv / PP-15</t>
  </si>
  <si>
    <t>Quantity confirmed at 40 per Addendum 03 s1.13 and PP-15. Rate $2200 is midpoint of $1800-$2500 range.</t>
  </si>
  <si>
    <t>DEL-02-02::L-004</t>
  </si>
  <si>
    <t>11-EQUIPMENT</t>
  </si>
  <si>
    <t>Breathing air compressor system -- fire service complete (1 system)</t>
  </si>
  <si>
    <t>Equipment_Pricing.csv / EQ-08; Mechanical_System_Rates.csv / MS-08</t>
  </si>
  <si>
    <t>Both sources consistent ($45k-$65k range). Includes compressor + dryer + storage + fill panels + distribution piping within SCBA room. Resolves CON-M-01 per cost ownership rules.</t>
  </si>
  <si>
    <t>DEL-02-02::L-005</t>
  </si>
  <si>
    <t>23-MECH</t>
  </si>
  <si>
    <t>Compressed air distribution piping -- from compressor room to 4 apparatus bays (ceiling drops)</t>
  </si>
  <si>
    <t>Decision_Log.md / DEC-EST-003; Equipment_Pricing.csv / EQ-08 Notes</t>
  </si>
  <si>
    <t>No direct rate table entry for piping distribution. Allowance based on 4 bays x typical 15-25m piping runs + ceiling drop assemblies + valves. FALLBACK_POLICY=ALLOW_ALLOWANCE applied. See ASM-003.</t>
  </si>
  <si>
    <t>DEL-02-02::L-006</t>
  </si>
  <si>
    <t>22-PLUMBING</t>
  </si>
  <si>
    <t>Bay sump assemblies -- oil/water separator type (4 fire bays)</t>
  </si>
  <si>
    <t>Mechanical_System_Rates.csv / MS-10; Equipment_Pricing.csv / EQ-10; Assumed_Project_Parameters.csv / PP-18</t>
  </si>
  <si>
    <t>4 fire apparatus bays. Rate $4500 per MS-10/EQ-10. Includes floor drain + trap + separator + sanitary connection.</t>
  </si>
  <si>
    <t>DEL-02-02::L-007</t>
  </si>
  <si>
    <t>Decon area -- wet area partitions (steel stud + cement board; 50 m2)</t>
  </si>
  <si>
    <t>Interior_Architectural_Rates.csv / IA-04</t>
  </si>
  <si>
    <t>Interior partition walls for decon room and shower/WR areas. Moisture-resistant GWB + cement board. See ASM-002.</t>
  </si>
  <si>
    <t>DEL-02-02::L-008</t>
  </si>
  <si>
    <t>Decon area -- ceramic tile flooring (decon room + shower/WR; 26.5 m2)</t>
  </si>
  <si>
    <t>Interior_Architectural_Rates.csv / IA-10</t>
  </si>
  <si>
    <t>Commercial grade ceramic tile for wet areas. Decon room 16.3 m2 + 2x shower/WR 10.2 m2. See ASM-002.</t>
  </si>
  <si>
    <t>DEL-02-02::L-009</t>
  </si>
  <si>
    <t>Decon area -- ceramic tile walls in shower zones (20 m2)</t>
  </si>
  <si>
    <t>Shower/WR wall tile to ceiling height. See ASM-002.</t>
  </si>
  <si>
    <t>DEL-02-02::L-010</t>
  </si>
  <si>
    <t>Decon area -- epoxy/semi-gloss paint on remaining walls (30 m2)</t>
  </si>
  <si>
    <t>Interior_Architectural_Rates.csv / IA-13</t>
  </si>
  <si>
    <t>Washable finish for cleaning-intensive decon areas.</t>
  </si>
  <si>
    <t>DEL-02-02::L-011</t>
  </si>
  <si>
    <t>L-011</t>
  </si>
  <si>
    <t>Decon area -- washroom accessories (2 washroom/shower rooms)</t>
  </si>
  <si>
    <t>Interior_Architectural_Rates.csv / IA-24</t>
  </si>
  <si>
    <t>Dispensers + mirrors + shelves per shower/WR unit.</t>
  </si>
  <si>
    <t>DEL-02-02::L-012</t>
  </si>
  <si>
    <t>L-012</t>
  </si>
  <si>
    <t>Decon area -- toilet partitions (2 stalls)</t>
  </si>
  <si>
    <t>Interior_Architectural_Rates.csv / IA-25</t>
  </si>
  <si>
    <t>Phenolic or solid plastic; floor-mounted overhead-braced.</t>
  </si>
  <si>
    <t>DEL-02-02::L-013</t>
  </si>
  <si>
    <t>L-013</t>
  </si>
  <si>
    <t>Bunker gear locker room -- non-rated partitions (30 m2)</t>
  </si>
  <si>
    <t>Interior_Architectural_Rates.csv / IA-02</t>
  </si>
  <si>
    <t>Steel stud + 1-layer GWB both sides. Room area ~42 m2 (450 sf midpoint). See ASM-004.</t>
  </si>
  <si>
    <t>DEL-02-02::L-014</t>
  </si>
  <si>
    <t>L-014</t>
  </si>
  <si>
    <t>Bunker gear locker room -- sealed concrete floor (41.8 m2)</t>
  </si>
  <si>
    <t>Interior_Architectural_Rates.csv / IA-08</t>
  </si>
  <si>
    <t>Densifier + sealer. See ASM-004.</t>
  </si>
  <si>
    <t>DEL-02-02::L-015</t>
  </si>
  <si>
    <t>L-015</t>
  </si>
  <si>
    <t>Bunker gear locker room -- suspended ACT ceiling (41.8 m2)</t>
  </si>
  <si>
    <t>Interior_Architectural_Rates.csv / IA-05</t>
  </si>
  <si>
    <t>600x600 lay-in mineral fibre with seismic clips. See ASM-004.</t>
  </si>
  <si>
    <t>DEL-02-02::L-016</t>
  </si>
  <si>
    <t>L-016</t>
  </si>
  <si>
    <t>Bunker gear locker room -- paint walls (60 m2)</t>
  </si>
  <si>
    <t>Interior_Architectural_Rates.csv / IA-12</t>
  </si>
  <si>
    <t>2 coats latex on drywall.</t>
  </si>
  <si>
    <t>DEL-02-02::L-017</t>
  </si>
  <si>
    <t>L-017</t>
  </si>
  <si>
    <t>Fire gear storage room -- non-rated partitions (20 m2)</t>
  </si>
  <si>
    <t>Room area ~25.5 m2 (275 sf midpoint). See ASM-005.</t>
  </si>
  <si>
    <t>DEL-02-02::L-018</t>
  </si>
  <si>
    <t>L-018</t>
  </si>
  <si>
    <t>Fire gear storage room -- sealed concrete floor (25.5 m2)</t>
  </si>
  <si>
    <t>See ASM-005.</t>
  </si>
  <si>
    <t>DEL-02-02::L-019</t>
  </si>
  <si>
    <t>L-019</t>
  </si>
  <si>
    <t>Fire gear storage room -- suspended ACT ceiling (25.5 m2)</t>
  </si>
  <si>
    <t>DEL-02-02::L-020</t>
  </si>
  <si>
    <t>L-020</t>
  </si>
  <si>
    <t>Fire gear storage room -- paint walls (40 m2)</t>
  </si>
  <si>
    <t>DEL-02-02::L-021</t>
  </si>
  <si>
    <t>L-021</t>
  </si>
  <si>
    <t>Fire gear storage room -- hollow metal door + hardware (1 opening)</t>
  </si>
  <si>
    <t>Building_Envelope_Rates.csv / BE-11 ($1800) + BE-13 ($600)</t>
  </si>
  <si>
    <t>Single HM door + frame + lever handle/closer/hinges set.</t>
  </si>
  <si>
    <t>DEL-02-02::L-022</t>
  </si>
  <si>
    <t>L-022</t>
  </si>
  <si>
    <t>SCBA/cascade room -- non-rated partitions (18 m2)</t>
  </si>
  <si>
    <t>Room area ~16.3 m2 (175 sf midpoint). See ASM-006.</t>
  </si>
  <si>
    <t>DEL-02-02::L-023</t>
  </si>
  <si>
    <t>L-023</t>
  </si>
  <si>
    <t>SCBA/cascade room -- sealed concrete floor (16.3 m2)</t>
  </si>
  <si>
    <t>See ASM-006.</t>
  </si>
  <si>
    <t>DEL-02-02::L-024</t>
  </si>
  <si>
    <t>L-024</t>
  </si>
  <si>
    <t>SCBA/cascade room -- exposed ceiling paint (16.3 m2)</t>
  </si>
  <si>
    <t>Interior_Architectural_Rates.csv / IA-07</t>
  </si>
  <si>
    <t>Exposed structure for equipment access. See ASM-006.</t>
  </si>
  <si>
    <t>DEL-02-02::L-025</t>
  </si>
  <si>
    <t>L-025</t>
  </si>
  <si>
    <t>SCBA/cascade room -- paint walls (36 m2)</t>
  </si>
  <si>
    <t>DEL-02-02::L-026</t>
  </si>
  <si>
    <t>L-026</t>
  </si>
  <si>
    <t>SCBA/cascade room -- hollow metal door + hardware (1 opening)</t>
  </si>
  <si>
    <t>Single HM door + frame + hardware set.</t>
  </si>
  <si>
    <t>DEL-02-02::L-027</t>
  </si>
  <si>
    <t>L-027</t>
  </si>
  <si>
    <t>Compressor room -- fire-rated partitions 1-hr (16 m2)</t>
  </si>
  <si>
    <t>Interior_Architectural_Rates.csv / IA-01</t>
  </si>
  <si>
    <t>Fire-rated due to compressor equipment. Room area ~11.6 m2 (125 sf midpoint). See ASM-007.</t>
  </si>
  <si>
    <t>DEL-02-02::L-028</t>
  </si>
  <si>
    <t>L-028</t>
  </si>
  <si>
    <t>Compressor room -- sealed concrete floor (11.6 m2)</t>
  </si>
  <si>
    <t>See ASM-007.</t>
  </si>
  <si>
    <t>DEL-02-02::L-029</t>
  </si>
  <si>
    <t>L-029</t>
  </si>
  <si>
    <t>Compressor room -- exposed ceiling paint (11.6 m2)</t>
  </si>
  <si>
    <t>Exposed for equipment access. See ASM-007.</t>
  </si>
  <si>
    <t>DEL-02-02::L-030</t>
  </si>
  <si>
    <t>L-030</t>
  </si>
  <si>
    <t>Compressor room -- paint walls (32 m2)</t>
  </si>
  <si>
    <t>DEL-02-02::L-031</t>
  </si>
  <si>
    <t>L-031</t>
  </si>
  <si>
    <t>Compressor room -- hollow metal door + hardware (1 opening)</t>
  </si>
  <si>
    <t>DEL-02-02::L-032</t>
  </si>
  <si>
    <t>L-032</t>
  </si>
  <si>
    <t>Medical/EMS storage room -- non-rated partitions (10 m2)</t>
  </si>
  <si>
    <t>Room area ~5.6 m2 (60 sf midpoint). See ASM-008.</t>
  </si>
  <si>
    <t>DEL-02-02::L-033</t>
  </si>
  <si>
    <t>L-033</t>
  </si>
  <si>
    <t>Medical/EMS storage room -- sealed concrete floor (5.6 m2)</t>
  </si>
  <si>
    <t>See ASM-008.</t>
  </si>
  <si>
    <t>DEL-02-02::L-034</t>
  </si>
  <si>
    <t>L-034</t>
  </si>
  <si>
    <t>Medical/EMS storage room -- suspended ACT ceiling (5.6 m2)</t>
  </si>
  <si>
    <t>DEL-02-02::L-035</t>
  </si>
  <si>
    <t>L-035</t>
  </si>
  <si>
    <t>Medical/EMS storage room -- paint walls (20 m2)</t>
  </si>
  <si>
    <t>DEL-02-02::L-036</t>
  </si>
  <si>
    <t>L-036</t>
  </si>
  <si>
    <t>Medical/EMS storage room -- hollow metal door + hardware (1 opening)</t>
  </si>
  <si>
    <t>DEL-02-02::L-037</t>
  </si>
  <si>
    <t>L-037</t>
  </si>
  <si>
    <t>Decon area -- hollow metal door + hardware (2 openings)</t>
  </si>
  <si>
    <t>Decon room entry + shower/WR access. 2 openings.</t>
  </si>
  <si>
    <t>DEL-02-02::L-038</t>
  </si>
  <si>
    <t>L-038</t>
  </si>
  <si>
    <t>Bunker gear locker room -- hollow metal door + hardware (1 opening)</t>
  </si>
  <si>
    <t>Main entry to locker room.</t>
  </si>
  <si>
    <t>DEL-02-03::L-001</t>
  </si>
  <si>
    <t>DEL-02-03</t>
  </si>
  <si>
    <t>21.03.01</t>
  </si>
  <si>
    <t>Sealed concrete floor finish — PW shop bays (densifier + sealer; grind + polish)</t>
  </si>
  <si>
    <t>Interior_Architectural_Rates.csv#IA-08</t>
  </si>
  <si>
    <t>4 bays x 2100 sf/bay = 8400 sf = 780 m2; rate from IA-08 RecommendedRate $35/m2</t>
  </si>
  <si>
    <t>EST_DEL-02-03_2026-02-18_1100</t>
  </si>
  <si>
    <t>DEL-02-03::L-002</t>
  </si>
  <si>
    <t>Sealed concrete floor finish — workshop area</t>
  </si>
  <si>
    <t>800 sf workshop = 74 m2; same finish as bays</t>
  </si>
  <si>
    <t>DEL-02-03::L-003</t>
  </si>
  <si>
    <t>Sealed concrete floor finish — warehouse/storage area</t>
  </si>
  <si>
    <t>600 sf storage = 56 m2; same finish as bays</t>
  </si>
  <si>
    <t>DEL-02-03::L-004</t>
  </si>
  <si>
    <t>21.03.02</t>
  </si>
  <si>
    <t>Exposed structure paint — PW shop bay ceilings</t>
  </si>
  <si>
    <t>Interior_Architectural_Rates.csv#IA-07</t>
  </si>
  <si>
    <t>Spray-apply latex to exposed structure in 4 bays</t>
  </si>
  <si>
    <t>DEL-02-03::L-005</t>
  </si>
  <si>
    <t>Exposed structure paint — workshop ceiling</t>
  </si>
  <si>
    <t>Workshop area ceiling</t>
  </si>
  <si>
    <t>DEL-02-03::L-006</t>
  </si>
  <si>
    <t>Compressed air piping — hard-plumbed through bays</t>
  </si>
  <si>
    <t>Assumptions_Log.md#ASM-008</t>
  </si>
  <si>
    <t>Functional Program Rows 27-28 require hard-plumbed air lines; no rate table item; allowance used per FALLBACK_POLICY</t>
  </si>
  <si>
    <t>DEL-02-03::L-007</t>
  </si>
  <si>
    <t>Shop bay interior wall paint (epoxy/semi-gloss; washable)</t>
  </si>
  <si>
    <t>Interior_Architectural_Rates.csv#IA-13</t>
  </si>
  <si>
    <t>Bay perimeter walls within PW zone; estimated 320 m2 total wall area across 4 bays</t>
  </si>
  <si>
    <t>DEL-02-03::L-008</t>
  </si>
  <si>
    <t>21.03.03</t>
  </si>
  <si>
    <t>Workshop workbench and welding area fit-up</t>
  </si>
  <si>
    <t>Equipment_Pricing.csv#EQ-13</t>
  </si>
  <si>
    <t>Workshop equipment allowance: bench grinder; drill press; workbench; storage; per PW functional needs</t>
  </si>
  <si>
    <t>DEL-02-03::L-009</t>
  </si>
  <si>
    <t>Warehouse/parts storage shelving and racking</t>
  </si>
  <si>
    <t>Assumptions_Log.md#ASM-009</t>
  </si>
  <si>
    <t>Industrial shelving/racking for parts storage; no rate table item; allowance per FALLBACK_POLICY</t>
  </si>
  <si>
    <t>DEL-02-03::L-010</t>
  </si>
  <si>
    <t>21.03.04</t>
  </si>
  <si>
    <t>PW lockers — heavy-duty full-height (40 units)</t>
  </si>
  <si>
    <t>Equipment_Pricing.csv#EQ-07</t>
  </si>
  <si>
    <t>40 standard heavy-duty personnel lockers per functional program; RecommendedPrice $1000/each</t>
  </si>
  <si>
    <t>DEL-02-03::L-011</t>
  </si>
  <si>
    <t>PPE/locker room — ceramic tile flooring (shower/wet areas)</t>
  </si>
  <si>
    <t>Interior_Architectural_Rates.csv#IA-10</t>
  </si>
  <si>
    <t>Shower and change area wet zones; ~600 sf = 56 m2; rate from IA-10</t>
  </si>
  <si>
    <t>DEL-02-03::L-012</t>
  </si>
  <si>
    <t>PPE/locker room — sealed concrete flooring (dry areas)</t>
  </si>
  <si>
    <t>Dry locker area; ~600 sf = 55 m2</t>
  </si>
  <si>
    <t>DEL-02-03::L-013</t>
  </si>
  <si>
    <t>PPE/locker room — moisture-resistant partitions</t>
  </si>
  <si>
    <t>Interior_Architectural_Rates.csv#IA-04</t>
  </si>
  <si>
    <t>Shower stall partitions and wet area walls; ~65 m2 estimated</t>
  </si>
  <si>
    <t>DEL-02-03::L-014</t>
  </si>
  <si>
    <t>PPE/locker room — suspended gypsum ceiling (washroom/shower)</t>
  </si>
  <si>
    <t>Interior_Architectural_Rates.csv#IA-06</t>
  </si>
  <si>
    <t>Full locker room area 1200 sf = 111 m2; moisture-rated ceiling</t>
  </si>
  <si>
    <t>DEL-02-03::L-015</t>
  </si>
  <si>
    <t>PPE/locker room — epoxy wall paint</t>
  </si>
  <si>
    <t>All locker room walls; estimated 180 m2</t>
  </si>
  <si>
    <t>DEL-02-03::L-016</t>
  </si>
  <si>
    <t>PPE/locker room — washroom accessories package (2 washrooms)</t>
  </si>
  <si>
    <t>Interior_Architectural_Rates.csv#IA-24</t>
  </si>
  <si>
    <t>Dispensers + mirrors + shelves per washroom</t>
  </si>
  <si>
    <t>DEL-02-03::L-017</t>
  </si>
  <si>
    <t>PPE/locker room — toilet partitions (4 stalls)</t>
  </si>
  <si>
    <t>Interior_Architectural_Rates.csv#IA-25</t>
  </si>
  <si>
    <t>Phenolic partitions; 2 per washroom x 2 washrooms</t>
  </si>
  <si>
    <t>DEL-02-03::L-018</t>
  </si>
  <si>
    <t>PPE/locker room — grab bars + accessible fittings (2 washrooms)</t>
  </si>
  <si>
    <t>Interior_Architectural_Rates.csv#IA-17</t>
  </si>
  <si>
    <t>Stainless steel grab bars per accessible washroom</t>
  </si>
  <si>
    <t>DEL-02-03::L-019</t>
  </si>
  <si>
    <t>PPE/locker room — vanity countertops</t>
  </si>
  <si>
    <t>lm</t>
  </si>
  <si>
    <t>Interior_Architectural_Rates.csv#IA-22</t>
  </si>
  <si>
    <t>Solid surface countertops; ~3 lm total across 2 washroom vanities</t>
  </si>
  <si>
    <t>DEL-02-03::L-020</t>
  </si>
  <si>
    <t>PPE/first aid room — fit-up</t>
  </si>
  <si>
    <t>Assumptions_Log.md#ASM-010</t>
  </si>
  <si>
    <t>First aid equipment; PPE storage; food washing area; 100-150 sf room; no rate table item</t>
  </si>
  <si>
    <t>DEL-02-03::L-021</t>
  </si>
  <si>
    <t>21.03.05</t>
  </si>
  <si>
    <t>Shop office — sealed concrete floor</t>
  </si>
  <si>
    <t>200 sf = 19 m2; sealed concrete per OSR direction</t>
  </si>
  <si>
    <t>DEL-02-03::L-022</t>
  </si>
  <si>
    <t>Shop office — suspended acoustic tile ceiling</t>
  </si>
  <si>
    <t>Interior_Architectural_Rates.csv#IA-05</t>
  </si>
  <si>
    <t>Standard T-bar ACT for office area</t>
  </si>
  <si>
    <t>DEL-02-03::L-023</t>
  </si>
  <si>
    <t>Shop office — wall paint (standard latex)</t>
  </si>
  <si>
    <t>Interior_Architectural_Rates.csv#IA-12</t>
  </si>
  <si>
    <t>Office perimeter walls; ~50 m2 estimated</t>
  </si>
  <si>
    <t>DEL-02-03::L-024</t>
  </si>
  <si>
    <t>Shop washroom — ceramic tile floor</t>
  </si>
  <si>
    <t>100 sf = 9 m2; washroom floor</t>
  </si>
  <si>
    <t>DEL-02-03::L-025</t>
  </si>
  <si>
    <t>Shop washroom — moisture-resistant partitions</t>
  </si>
  <si>
    <t>Washroom walls; ~18 m2</t>
  </si>
  <si>
    <t>DEL-02-03::L-026</t>
  </si>
  <si>
    <t>Shop washroom — suspended gypsum ceiling</t>
  </si>
  <si>
    <t>Moisture-rated ceiling</t>
  </si>
  <si>
    <t>DEL-02-03::L-027</t>
  </si>
  <si>
    <t>Shop washroom — epoxy wall paint</t>
  </si>
  <si>
    <t>Epoxy paint for wet area</t>
  </si>
  <si>
    <t>DEL-02-03::L-028</t>
  </si>
  <si>
    <t>Shop washroom — accessories package</t>
  </si>
  <si>
    <t>Dispensers + mirrors + shelves</t>
  </si>
  <si>
    <t>DEL-02-03::L-029</t>
  </si>
  <si>
    <t>Shop washroom — grab bars + accessible fittings</t>
  </si>
  <si>
    <t>Accessible washroom per ABC</t>
  </si>
  <si>
    <t>DEL-02-03::L-030</t>
  </si>
  <si>
    <t>Shop washroom — toilet partition</t>
  </si>
  <si>
    <t>Single stall partition</t>
  </si>
  <si>
    <t>DEL-02-03::L-031</t>
  </si>
  <si>
    <t>Shop washroom — vanity countertop</t>
  </si>
  <si>
    <t>Solid surface; 1 lm</t>
  </si>
  <si>
    <t>DEL-02-03::L-032</t>
  </si>
  <si>
    <t>PPE/locker room — shower fixtures and plumbing rough-in (2 standalone showers)</t>
  </si>
  <si>
    <t>Assumptions_Log.md#ASM-011</t>
  </si>
  <si>
    <t>2 standalone showers per functional program; includes shower valves + drains + waterproofing; no specific rate table item for showers</t>
  </si>
  <si>
    <t>DEL-02-04::L-001</t>
  </si>
  <si>
    <t>DEL-02-04</t>
  </si>
  <si>
    <t>Screw piles - installed (galvanized; 6-8m depth; Penhold soils)</t>
  </si>
  <si>
    <t>Structural_Concrete_Rates.csv &gt; SC-14; qty per ASM-07</t>
  </si>
  <si>
    <t>Assumed 48 piles at ~3.5m spacing around perimeter + interior column lines; DB to confirm during design</t>
  </si>
  <si>
    <t>EST_DEL-02-04_2026-02-18_1130</t>
  </si>
  <si>
    <t>DEL-02-04::L-002</t>
  </si>
  <si>
    <t>Pile caps / grade beams - concrete 32 MPa (supplied and placed)</t>
  </si>
  <si>
    <t>m3</t>
  </si>
  <si>
    <t>Structural_Concrete_Rates.csv &gt; SC-02; qty per ASM-08</t>
  </si>
  <si>
    <t>Pile cap concrete volume: 48 caps x ~0.4m3 avg + grade beams ~19m3</t>
  </si>
  <si>
    <t>DEL-02-04::L-003</t>
  </si>
  <si>
    <t>Foundation formwork - pile caps and grade beams</t>
  </si>
  <si>
    <t>Structural_Concrete_Rates.csv &gt; SC-05; qty per ASM-09</t>
  </si>
  <si>
    <t>Formwork for pile caps and grade beams combined</t>
  </si>
  <si>
    <t>DEL-02-04::L-004</t>
  </si>
  <si>
    <t>Foundation wall formwork (frost wall / stem wall at perimeter)</t>
  </si>
  <si>
    <t>Structural_Concrete_Rates.csv &gt; SC-06; qty per ASM-10</t>
  </si>
  <si>
    <t>Perimeter frost wall 165 lm x ~1.0m height avg both sides</t>
  </si>
  <si>
    <t>DEL-02-04::L-005</t>
  </si>
  <si>
    <t>Reinforcing steel - foundations (cut/bent/placed)</t>
  </si>
  <si>
    <t>kg</t>
  </si>
  <si>
    <t>Structural_Concrete_Rates.csv &gt; SC-07; qty per ASM-11</t>
  </si>
  <si>
    <t>~100 kg/pile cap avg + grade beam rebar</t>
  </si>
  <si>
    <t>DEL-02-04::L-006</t>
  </si>
  <si>
    <t>Concrete slab-on-grade - 200mm reinforced (bay areas)</t>
  </si>
  <si>
    <t>Structural_Concrete_Rates.csv &gt; SC-04; qty per PP-05 / ASM-03</t>
  </si>
  <si>
    <t>Heavy-duty slab for 8 apparatus/shop bays; ~12000 sf = 1115 m2</t>
  </si>
  <si>
    <t>DEL-02-04::L-007</t>
  </si>
  <si>
    <t>Concrete slab-on-grade - 150mm with W/W mesh (office/shared areas)</t>
  </si>
  <si>
    <t>Structural_Concrete_Rates.csv &gt; SC-03; qty per PP-05 / ASM-04</t>
  </si>
  <si>
    <t>Standard slab for office and shared spaces; ~6000 sf = 557 m2</t>
  </si>
  <si>
    <t>DEL-02-04::L-008</t>
  </si>
  <si>
    <t>Anchor bolts - set in concrete (column base plates)</t>
  </si>
  <si>
    <t>Structural_Concrete_Rates.csv &gt; SC-15; qty per ASM-12</t>
  </si>
  <si>
    <t>2 bolts per pile cap x 48 piles (conservative; some caps may have 4)</t>
  </si>
  <si>
    <t>DEL-02-04::L-009</t>
  </si>
  <si>
    <t>05-STEEL</t>
  </si>
  <si>
    <t>Structural steel - primary framing (W-shapes and HSS; fabricated and erected)</t>
  </si>
  <si>
    <t>Structural_Concrete_Rates.csv &gt; SC-08; qty per ASM-13</t>
  </si>
  <si>
    <t>~25 kg/m2 of footprint x 1672 m2 = ~42000 kg primary steel</t>
  </si>
  <si>
    <t>DEL-02-04::L-010</t>
  </si>
  <si>
    <t>Open-web steel joists (roof framing; supplied and erected)</t>
  </si>
  <si>
    <t>Structural_Concrete_Rates.csv &gt; SC-10; qty = building footprint area</t>
  </si>
  <si>
    <t>Clear-span OWSJ for roof over full footprint</t>
  </si>
  <si>
    <t>DEL-02-04::L-011</t>
  </si>
  <si>
    <t>Metal roof deck (supplied and installed)</t>
  </si>
  <si>
    <t>Structural_Concrete_Rates.csv &gt; SC-11; qty = building footprint area</t>
  </si>
  <si>
    <t>22 ga or 20 ga deck over full footprint</t>
  </si>
  <si>
    <t>DEL-02-04::L-012</t>
  </si>
  <si>
    <t>Structural steel - miscellaneous (stairs/handrails/platforms)</t>
  </si>
  <si>
    <t>Structural_Concrete_Rates.csv &gt; SC-09; qty per ASM-14</t>
  </si>
  <si>
    <t>Stairs; mezzanine platforms if any; handrails; embed plates; lintels</t>
  </si>
  <si>
    <t>DEL-02-04::L-013</t>
  </si>
  <si>
    <t>07-ENVELOPE</t>
  </si>
  <si>
    <t>Insulated metal wall panels (R-20; factory-assembled)</t>
  </si>
  <si>
    <t>Building_Envelope_Rates.csv &gt; BE-01; qty per ASM-15</t>
  </si>
  <si>
    <t>Upper wall cladding above masonry base; net of glazing and OH door openings</t>
  </si>
  <si>
    <t>DEL-02-04::L-014</t>
  </si>
  <si>
    <t>Concrete masonry unit - 200mm reinforced grouted (base course)</t>
  </si>
  <si>
    <t>Building_Envelope_Rates.csv &gt; BE-03; qty per ASM-16</t>
  </si>
  <si>
    <t>Impact-resistant base course ~1.2m high around perimeter (165 lm x 1.2m)</t>
  </si>
  <si>
    <t>DEL-02-04::L-015</t>
  </si>
  <si>
    <t>Insulated metal roof panels (R-30; factory-assembled; solar-ready)</t>
  </si>
  <si>
    <t>Building_Envelope_Rates.csv &gt; BE-04; qty = building footprint area</t>
  </si>
  <si>
    <t>Standing seam or through-fastened; includes vapour barrier; structural capacity for future solar loading</t>
  </si>
  <si>
    <t>DEL-02-04::L-016</t>
  </si>
  <si>
    <t>Air/vapour barrier (self-adhered membrane - walls)</t>
  </si>
  <si>
    <t>Building_Envelope_Rates.csv &gt; BE-08; qty = net wall panel area</t>
  </si>
  <si>
    <t>Continuous air barrier at wall panels; lapped and sealed at penetrations</t>
  </si>
  <si>
    <t>DEL-02-04::L-017</t>
  </si>
  <si>
    <t>Metal flashing and trim (pre-finished; all locations)</t>
  </si>
  <si>
    <t>Building_Envelope_Rates.csv &gt; BE-15; qty per ASM-17</t>
  </si>
  <si>
    <t>Corners; drip edges; window heads/sills; parapet cap; base flashing</t>
  </si>
  <si>
    <t>DEL-02-04::L-018</t>
  </si>
  <si>
    <t>Perimeter sealant (all openings and joints)</t>
  </si>
  <si>
    <t>Building_Envelope_Rates.csv &gt; BE-14; qty per ASM-18</t>
  </si>
  <si>
    <t>All window/door/penetration perimeters; panel joints</t>
  </si>
  <si>
    <t>DEL-02-04::L-019</t>
  </si>
  <si>
    <t>08-OPENINGS</t>
  </si>
  <si>
    <t>Overhead doors (16x16 ft; motorized; insulated; car-wash grade; with windows)</t>
  </si>
  <si>
    <t>Equipment_Pricing.csv &gt; EQ-01; qty per PP-13</t>
  </si>
  <si>
    <t>4 fire apparatus bays + 4 PW shop bays; car-wash grade hardware</t>
  </si>
  <si>
    <t>DEL-02-04::L-020</t>
  </si>
  <si>
    <t>Commercial glazing (double-pane; thermally broken aluminum frame)</t>
  </si>
  <si>
    <t>Building_Envelope_Rates.csv &gt; BE-09; qty per ASM-19</t>
  </si>
  <si>
    <t>~5% of gross wall area for windows; fixed and operable mix</t>
  </si>
  <si>
    <t>DEL-02-04::L-021</t>
  </si>
  <si>
    <t>Storefront entrance (double door; aluminum frame; glazed)</t>
  </si>
  <si>
    <t>Building_Envelope_Rates.csv &gt; BE-10; qty per ASM-20</t>
  </si>
  <si>
    <t>Main public entry + secondary entry; standard operators (no auto-operator)</t>
  </si>
  <si>
    <t>DEL-02-04::L-022</t>
  </si>
  <si>
    <t>Hollow metal door and frame - single (commercial)</t>
  </si>
  <si>
    <t>Building_Envelope_Rates.csv &gt; BE-11; qty per ASM-21</t>
  </si>
  <si>
    <t>Person doors at bays and service exits; count per code egress requirements (ASM)</t>
  </si>
  <si>
    <t>DEL-02-04::L-023</t>
  </si>
  <si>
    <t>Hollow metal door and frame - double (commercial)</t>
  </si>
  <si>
    <t>Building_Envelope_Rates.csv &gt; BE-12; qty per ASM-22</t>
  </si>
  <si>
    <t>Double doors at main corridor/bay transitions</t>
  </si>
  <si>
    <t>DEL-02-04::L-024</t>
  </si>
  <si>
    <t>Door hardware set (commercial; per opening)</t>
  </si>
  <si>
    <t>Building_Envelope_Rates.csv &gt; BE-13; qty = 12 single + 2 double + 2 storefront</t>
  </si>
  <si>
    <t>Lever handle + closer + hinges + weatherstrip; keyed</t>
  </si>
  <si>
    <t>DEL-02-04::L-025</t>
  </si>
  <si>
    <t>09-FLOORING</t>
  </si>
  <si>
    <t>Sealed concrete floor (densifier + sealer) - bay areas</t>
  </si>
  <si>
    <t>Interior_Architectural_Rates.csv &gt; IA-08; qty per ASM-03</t>
  </si>
  <si>
    <t>Densifier + sealer applied to 200mm reinforced bay slab</t>
  </si>
  <si>
    <t>DEL-02-04::L-026</t>
  </si>
  <si>
    <t>Sealed concrete floor (densifier + sealer) - office/shared areas</t>
  </si>
  <si>
    <t>Interior_Architectural_Rates.csv &gt; IA-08; qty per ASM-04</t>
  </si>
  <si>
    <t>Sealed concrete acceptable/desired per Addendum 03 and SOW-0217</t>
  </si>
  <si>
    <t>DEL-02-04::L-027</t>
  </si>
  <si>
    <t>31-EARTHWORK</t>
  </si>
  <si>
    <t>Sump rough-in blockouts in structural slab (8 locations)</t>
  </si>
  <si>
    <t>Assumptions_Log.md &gt; ASM-23; informed by MS-10 reference</t>
  </si>
  <si>
    <t>Formwork + blockout + sleeve for sump opening embedded in 200mm slab; assembly/plumbing by DEL-02-05</t>
  </si>
  <si>
    <t>DEL-02-04::L-028</t>
  </si>
  <si>
    <t>50-DESIGN</t>
  </si>
  <si>
    <t>Structural engineering design fees (2.5% of structural construction cost)</t>
  </si>
  <si>
    <t>Professional_Design_Fees.csv &gt; DF-03; base per DEC-02</t>
  </si>
  <si>
    <t>2.5% of CBS 03-CONCRETE + 05-STEEL subtotal ($832058); concept through shop drawing review</t>
  </si>
  <si>
    <t>DEL-02-05::L-01</t>
  </si>
  <si>
    <t>DEL-02-05</t>
  </si>
  <si>
    <t>23-HVAC</t>
  </si>
  <si>
    <t>HVAC system - institutional/shared areas (complete; RTUs/AHUs; ductwork; controls; diffusers)</t>
  </si>
  <si>
    <t>sf</t>
  </si>
  <si>
    <t>Mechanical_System_Rates.csv MS-01 (RecommendedRate $32/sf); PP-05 area zone split per ASM-01</t>
  </si>
  <si>
    <t>Heated and cooled office/admin/kitchen/locker areas</t>
  </si>
  <si>
    <t>EST_DEL-02-05_2026-02-18_1400</t>
  </si>
  <si>
    <t>DEL-02-05::L-02</t>
  </si>
  <si>
    <t>HVAC system - apparatus bays (heated only; radiant or unit heaters)</t>
  </si>
  <si>
    <t>Mechanical_System_Rates.csv MS-02 (RecommendedRate $21/sf); PP-05 area zone split per ASM-01</t>
  </si>
  <si>
    <t>Simpler distribution; no cooling; 4 fire apparatus bays</t>
  </si>
  <si>
    <t>DEL-02-05::L-03</t>
  </si>
  <si>
    <t>HVAC system - PW shop bays (heated only; radiant or unit heaters)</t>
  </si>
  <si>
    <t>Simpler distribution; no cooling; 4 PW shop bays</t>
  </si>
  <si>
    <t>DEL-02-05::L-04</t>
  </si>
  <si>
    <t>23-PLMB</t>
  </si>
  <si>
    <t>Plumbing system - institutional/shared areas (complete; fixtures; piping; water heater; drain/vent)</t>
  </si>
  <si>
    <t>Mechanical_System_Rates.csv MS-03 (RecommendedRate $14/sf); PP-05 area zone split per ASM-01</t>
  </si>
  <si>
    <t>Washrooms; kitchen; showers; laundry rough-in</t>
  </si>
  <si>
    <t>DEL-02-05::L-05</t>
  </si>
  <si>
    <t>Plumbing system - apparatus/shop bays (minimal fixtures; hose bibs)</t>
  </si>
  <si>
    <t>Mechanical_System_Rates.csv MS-04 (RecommendedRate $6/sf); combined bay area 6400+6400</t>
  </si>
  <si>
    <t>Bay sumps priced separately; this covers hose bibs and basic piping</t>
  </si>
  <si>
    <t>DEL-02-05::L-06</t>
  </si>
  <si>
    <t>23-EXHS</t>
  </si>
  <si>
    <t>Vehicle exhaust extraction system - apparatus bays (source-capture; per bay)</t>
  </si>
  <si>
    <t>Mechanical_System_Rates.csv MS-06 (RecommendedRate $25000/bay); PP-11 qty=4</t>
  </si>
  <si>
    <t>Hose reel + overhead track + fan + duct to exterior; 2 apparatus per bay</t>
  </si>
  <si>
    <t>DEL-02-05::L-07</t>
  </si>
  <si>
    <t>Shop bay ventilation system - PW bays (supply + exhaust; per bay)</t>
  </si>
  <si>
    <t>Mechanical_System_Rates.csv MS-07 (RecommendedRate $11000/bay); PP-12 qty=4</t>
  </si>
  <si>
    <t>Combined supply + exhaust; occasional idling and welding ventilation</t>
  </si>
  <si>
    <t>DEL-02-05::L-08</t>
  </si>
  <si>
    <t>L-08</t>
  </si>
  <si>
    <t>23-EQUP</t>
  </si>
  <si>
    <t>Water fill station (2-inch; installed; with backflow preventer)</t>
  </si>
  <si>
    <t>Mechanical_System_Rates.csv MS-09 (RecommendedRate $3500/each); PP-17 qty=2</t>
  </si>
  <si>
    <t>1 fire apparatus bay + 1 PW bay; per SOW-0223</t>
  </si>
  <si>
    <t>DEL-02-05::L-09</t>
  </si>
  <si>
    <t>L-09</t>
  </si>
  <si>
    <t>Bay sump assembly (oil/water separator type; installed with plumbing connection)</t>
  </si>
  <si>
    <t>Mechanical_System_Rates.csv MS-10 (RecommendedRate $4500/each); PP-18 qty=8</t>
  </si>
  <si>
    <t>4 fire bays + 4 PW bays; assembly + plumbing connection; slab rough-in excluded (DEL-02-04)</t>
  </si>
  <si>
    <t>DEL-02-05::L-10</t>
  </si>
  <si>
    <t>L-10</t>
  </si>
  <si>
    <t>Domestic hot water heater (commercial; gas-fired; 75-100 gal)</t>
  </si>
  <si>
    <t>Mechanical_System_Rates.csv MS-11 (RecommendedRate $6000/each)</t>
  </si>
  <si>
    <t>Institutional duty; serves washrooms/showers/kitchen</t>
  </si>
  <si>
    <t>DEL-02-05::L-11</t>
  </si>
  <si>
    <t>L-11</t>
  </si>
  <si>
    <t>23-CTRL</t>
  </si>
  <si>
    <t>Building automation system (BAS; DDC controls; sensors; programming)</t>
  </si>
  <si>
    <t>Mechanical_System_Rates.csv MS-12 (RecommendedRate $4/sf); PP-05 full building area</t>
  </si>
  <si>
    <t>DDC controls; sensors; programming; commissioning</t>
  </si>
  <si>
    <t>DEL-02-05::L-12</t>
  </si>
  <si>
    <t>L-12</t>
  </si>
  <si>
    <t>23-FPRT</t>
  </si>
  <si>
    <t>Fire protection - wet sprinkler system (institutional; if required by AHJ)</t>
  </si>
  <si>
    <t>Mechanical_System_Rates.csv MS-05 (RecommendedRate $6/sf); PP-05 full building area</t>
  </si>
  <si>
    <t>Conditional on AHJ requirement; may not be required for this occupancy classification</t>
  </si>
  <si>
    <t>DEL-02-05::L-13</t>
  </si>
  <si>
    <t>L-13</t>
  </si>
  <si>
    <t>Kitchen/laundry plumbing rough-in (stubs to fixture locations)</t>
  </si>
  <si>
    <t>Construction_Labour_Rates.csv T-05 ($82/hr x ~100 hrs); ASM-05</t>
  </si>
  <si>
    <t>Rough-in stubs only; appliance connection by DEL-05-06 if elected</t>
  </si>
  <si>
    <t>DEL-02-05::L-14</t>
  </si>
  <si>
    <t>L-14</t>
  </si>
  <si>
    <t>Base building mechanical rough-in to wash bay location</t>
  </si>
  <si>
    <t>Construction_Labour_Rates.csv T-05 ($82/hr x ~73 hrs); ASM-06</t>
  </si>
  <si>
    <t>Hot/cold water + drain stub to wash bay location; dedicated equipment by DEL-05-01</t>
  </si>
  <si>
    <t>DEL-02-05::L-15</t>
  </si>
  <si>
    <t>L-15</t>
  </si>
  <si>
    <t>23-MECH-DESIGN</t>
  </si>
  <si>
    <t>Mechanical engineering design fees (HVAC + plumbing + fire protection)</t>
  </si>
  <si>
    <t>Professional_Design_Fees.csv DF-04 (2.5% of mechanical construction cost); DEC-03</t>
  </si>
  <si>
    <t>2.5% of L-01 through L-14 subtotal ($971800); applied to this deliverable per brief cost ownership</t>
  </si>
  <si>
    <t>DEL-02-05::L-16</t>
  </si>
  <si>
    <t>L-16</t>
  </si>
  <si>
    <t>23-COMM</t>
  </si>
  <si>
    <t>System-specific commissioning labour (mechanical balancing; TAB; functional testing)</t>
  </si>
  <si>
    <t>Construction_Labour_Rates.csv T-05/T-06 blended ($80/hr x ~225 hrs); ASM-07</t>
  </si>
  <si>
    <t>Testing air balancing and hydronic balancing; functional performance testing; per brief cost ownership</t>
  </si>
  <si>
    <t>DEL-02-06::L-0601</t>
  </si>
  <si>
    <t>DEL-02-06</t>
  </si>
  <si>
    <t>L-0601</t>
  </si>
  <si>
    <t>26-00</t>
  </si>
  <si>
    <t>Electrical power distribution - institutional/office/shared areas (service entrance to panels to branch circuits to receptacles)</t>
  </si>
  <si>
    <t>Electrical_System_Rates.csv:ES-01 + Assumed_Project_Parameters.csv:PP-05 + ASM-001</t>
  </si>
  <si>
    <t>Institutional areas = 18000 sf total - 12800 sf bay area per ASM-001</t>
  </si>
  <si>
    <t>EST_DEL-02-06_2026-02-18_1500</t>
  </si>
  <si>
    <t>DEL-02-06::L-0602</t>
  </si>
  <si>
    <t>L-0602</t>
  </si>
  <si>
    <t>Electrical power distribution - apparatus/shop bay areas (heavier circuits; welding receptacles; 3-phase)</t>
  </si>
  <si>
    <t>Electrical_System_Rates.csv:ES-02 + Assumed_Project_Parameters.csv:PP-05 + ASM-001</t>
  </si>
  <si>
    <t>Bay areas = 8 bays x ~1600 sf per ASM-001; includes compressed air electrical feed per cost ownership rules</t>
  </si>
  <si>
    <t>DEL-02-06::L-0603</t>
  </si>
  <si>
    <t>L-0603</t>
  </si>
  <si>
    <t>26-50</t>
  </si>
  <si>
    <t>LED lighting system - institutional/office/shared areas (IES-compliant; fixtures; controls; dimming)</t>
  </si>
  <si>
    <t>Electrical_System_Rates.csv:ES-03 + ASM-001</t>
  </si>
  <si>
    <t>IES-compliant per SOW-0228</t>
  </si>
  <si>
    <t>DEL-02-06::L-0604</t>
  </si>
  <si>
    <t>L-0604</t>
  </si>
  <si>
    <t>LED lighting - apparatus/shop bays (high-bay LED; instant-on for emergency response)</t>
  </si>
  <si>
    <t>Electrical_System_Rates.csv:ES-04 + ASM-001</t>
  </si>
  <si>
    <t>High-bay fixtures per SOW-0228</t>
  </si>
  <si>
    <t>DEL-02-06::L-0605</t>
  </si>
  <si>
    <t>L-0605</t>
  </si>
  <si>
    <t>27-00</t>
  </si>
  <si>
    <t>IT/telecom data drops (Cat 6A cable; termination; patch panel port; tested)</t>
  </si>
  <si>
    <t>Electrical_System_Rates.csv:ES-06 + Assumed_Project_Parameters.csv:PP-27</t>
  </si>
  <si>
    <t>45 drops per PP-27; includes 15 meeting room EM workstations per SOW-0208</t>
  </si>
  <si>
    <t>DEL-02-06::L-0606</t>
  </si>
  <si>
    <t>L-0606</t>
  </si>
  <si>
    <t>IT backbone infrastructure (fibre + MDF/IDF rooms; racks; UPS)</t>
  </si>
  <si>
    <t>Electrical_System_Rates.csv:ES-07</t>
  </si>
  <si>
    <t>Main + intermediate distribution frames; provides infrastructure that access control connects to</t>
  </si>
  <si>
    <t>DEL-02-06::L-0607</t>
  </si>
  <si>
    <t>L-0607</t>
  </si>
  <si>
    <t>27-50</t>
  </si>
  <si>
    <t>PA/paging system - building-wide (amplifier; speakers; zone control; microphone stations)</t>
  </si>
  <si>
    <t>Electrical_System_Rates.csv:ES-09</t>
  </si>
  <si>
    <t>Simple PA per SOW-0226; rate cross-referenced with Equipment_Pricing.csv:EQ-12</t>
  </si>
  <si>
    <t>DEL-02-06::L-0608</t>
  </si>
  <si>
    <t>L-0608</t>
  </si>
  <si>
    <t>Apparatus bay display systems (55-inch commercial display + mount + power + data; 4 bays)</t>
  </si>
  <si>
    <t>Electrical_System_Rates.csv:ES-10 + Equipment_Pricing.csv:EQ-11</t>
  </si>
  <si>
    <t>Emergency info display per SOW-0225; 4 fire apparatus bays</t>
  </si>
  <si>
    <t>DEL-02-06::L-0609</t>
  </si>
  <si>
    <t>L-0609</t>
  </si>
  <si>
    <t>Emergency lighting system (battery units; exit signs; egress lighting; per code)</t>
  </si>
  <si>
    <t>Electrical_System_Rates.csv:ES-11</t>
  </si>
  <si>
    <t>Full building area per PP-05; per SOW-0228 code requirement</t>
  </si>
  <si>
    <t>DEL-02-06::L-0610</t>
  </si>
  <si>
    <t>L-0610</t>
  </si>
  <si>
    <t>26-10</t>
  </si>
  <si>
    <t>Solar-ready electrical provisions (conduit run; reserved panel space; labelled disconnect; no PV panels)</t>
  </si>
  <si>
    <t>Electrical_System_Rates.csv:ES-13</t>
  </si>
  <si>
    <t>Solar-capable roof per SOW-0221; electrical provisions only</t>
  </si>
  <si>
    <t>DEL-02-06::L-0611</t>
  </si>
  <si>
    <t>L-0611</t>
  </si>
  <si>
    <t>Electrical service entrance (600A; 347/600V 3-phase; switchboard; metering)</t>
  </si>
  <si>
    <t>Electrical_System_Rates.csv:ES-14</t>
  </si>
  <si>
    <t>Service entrance up to generator transfer point per cost ownership rules; excludes ATS/generator (DEL-02-07)</t>
  </si>
  <si>
    <t>DEL-02-06::L-0612</t>
  </si>
  <si>
    <t>L-0612</t>
  </si>
  <si>
    <t>26-80</t>
  </si>
  <si>
    <t>System-specific commissioning labor - electrical/lighting/IT/PA testing and verification</t>
  </si>
  <si>
    <t>Construction_Labour_Rates.csv:T-07 + ASM-002</t>
  </si>
  <si>
    <t>100 hours estimated per ASM-002; T-07 Electrician fully-burdened rate; does not include DEL-01-07 general commissioning coordination</t>
  </si>
  <si>
    <t>DEL-02-06::L-0613</t>
  </si>
  <si>
    <t>L-0613</t>
  </si>
  <si>
    <t>26-90</t>
  </si>
  <si>
    <t>Electrical engineering design fees (power + lighting + IT/telecom + fire alarm design)</t>
  </si>
  <si>
    <t>Professional_Design_Fees.csv:DF-05</t>
  </si>
  <si>
    <t>2.5% of electrical construction subtotal ($619450); per DF-05 recommended percentage</t>
  </si>
  <si>
    <t>DEL-02-07::L-0207-010</t>
  </si>
  <si>
    <t>DEL-02-07</t>
  </si>
  <si>
    <t>L-0207-010</t>
  </si>
  <si>
    <t>26-EMRG-GEN</t>
  </si>
  <si>
    <t>Diesel generator system (100-150 kW complete: genset + ATS + fuel tank 72-hr + concrete pad + exhaust system + sound attenuation + commissioning)</t>
  </si>
  <si>
    <t>Equipment_Pricing.csv / EQ-04 (RecommendedPrice=$150000; Range=$120k-$180k)</t>
  </si>
  <si>
    <t>No vendor quote; ALLOWANCE fallback from parametric source. EQ-05 ATS ($12k) noted as included in EQ-04 system price. Requires vendor quote replacement.</t>
  </si>
  <si>
    <t>EST_DEL-02-07_2026-02-18_1600</t>
  </si>
  <si>
    <t>DEL-02-07::L-0207-020</t>
  </si>
  <si>
    <t>L-0207-020</t>
  </si>
  <si>
    <t>26-EMRG-DIST</t>
  </si>
  <si>
    <t>Emergency power distribution from generator to essential loads (sub-panel + wiring + breakers for kitchen + meeting/command room + 2 bathrooms + emergency lighting)</t>
  </si>
  <si>
    <t>Decision_Log.md / DEC-EST-003; Assumptions_Log.md / ASM-005</t>
  </si>
  <si>
    <t>Estimated as ~12% of generator system cost. No quote available. Covers dedicated sub-panel and branch circuits to essential loads only. Normal building distribution is DEL-02-06.</t>
  </si>
  <si>
    <t>DEL-02-07::L-0207-030</t>
  </si>
  <si>
    <t>L-0207-030</t>
  </si>
  <si>
    <t>26-EMRG-DOOR</t>
  </si>
  <si>
    <t>Overhead door backup power mechanism integration (8 bay doors — battery backup motor or UPS for door openers)</t>
  </si>
  <si>
    <t>Decision_Log.md / DEC-EST-004; Assumptions_Log.md / ASM-006</t>
  </si>
  <si>
    <t>8 doors x $2000/door assumed. Could be battery backup units or generator-fed circuits per door. Mechanism type TBD pending design. Cost ownership confirmed: DEL-02-07 owns backup mechanism; DEL-02-04 owns doors.</t>
  </si>
  <si>
    <t>DEL-02-07::L-0207-040</t>
  </si>
  <si>
    <t>L-0207-040</t>
  </si>
  <si>
    <t>Generator installation labour (electrician + millwright + crane operator for equipment setting)</t>
  </si>
  <si>
    <t>Construction_Labour_Rates.csv / T-07 ($80/hr) + T-13 ($80/hr) + T-14 ($86/hr); Assumptions_Log.md / ASM-007</t>
  </si>
  <si>
    <t>Estimated: Electrician 60 hrs ($4800) + Millwright 40 hrs ($3200) + Crane 2 days ($3440) + misc ($560). Actual labour included partially in EQ-04 system price; this line captures incremental site-specific installation scope.</t>
  </si>
  <si>
    <t>DEL-02-07::L-0207-050</t>
  </si>
  <si>
    <t>L-0207-050</t>
  </si>
  <si>
    <t>26-EMRG-DES</t>
  </si>
  <si>
    <t>Electrical engineering design fees — generator sizing + specification + essential loads analysis</t>
  </si>
  <si>
    <t>Professional_Design_Fees.csv / DF-05 (2.5% of electrical construction); Assumptions_Log.md / ASM-008</t>
  </si>
  <si>
    <t>Generator-specific design portion only. DF-05 basis = 2.5% of DEL-02-07 construction cost (~$196k) = ~$4900 rounded to $5000. Full building electrical design is in DEL-02-06.</t>
  </si>
  <si>
    <t>DEL-03-01::L-001</t>
  </si>
  <si>
    <t>DEL-03-01</t>
  </si>
  <si>
    <t>03-DESIGN</t>
  </si>
  <si>
    <t>Civil engineering design fees — DEL-03-01 share (site plan / circulation / parking layout design)</t>
  </si>
  <si>
    <t>Professional_Design_Fees.csv DF-02 + Assumed_Project_Parameters.csv PP-23; apportionment per ASM-001</t>
  </si>
  <si>
    <t>DF-02 rate: 2.5% of site/civil construction cost ($1,800,000 PP-23) = $45,000 total civil design fee. DEL-03-01 apportioned at 30% = $13,500. See ASM-001 for apportionment basis. PP-23 is LOW confidence.</t>
  </si>
  <si>
    <t>EST_DEL-03-01_2026-02-18_1900</t>
  </si>
  <si>
    <t>DEL-03-01::L-002</t>
  </si>
  <si>
    <t>03-SURVEY</t>
  </si>
  <si>
    <t>Construction survey and staking — initial site layout (DEL-03-01 share)</t>
  </si>
  <si>
    <t>Earthwork_Civil_Rates.csv EC-11; apportionment per ASM-002</t>
  </si>
  <si>
    <t>EC-11 full site survey = $12,000 LS. DEL-03-01 share (initial layout/staking) apportioned at ~42% = $5,000. Remaining survey effort (progress + as-built) belongs to DEL-01-07 / other deliverables. See ASM-002.</t>
  </si>
  <si>
    <t>DEL-03-02::L-001</t>
  </si>
  <si>
    <t>DEL-03-02</t>
  </si>
  <si>
    <t>03-02-CLR</t>
  </si>
  <si>
    <t>Site clearing and grubbing — developed area (~4.5 acres per PP-10)</t>
  </si>
  <si>
    <t>acre</t>
  </si>
  <si>
    <t>Earthwork_Civil_Rates.csv EC-01; Assumed_Project_Parameters.csv PP-10</t>
  </si>
  <si>
    <t>Brush/tree removal and grubbing across developed footprint; moderate vegetation assumed per EC-01 notes</t>
  </si>
  <si>
    <t>EST_DEL-03-02_2026-02-18_1130</t>
  </si>
  <si>
    <t>DEL-03-02::L-002</t>
  </si>
  <si>
    <t>Topsoil stripping and stockpiling — developed area (18211 m2 x 0.072 m avg depth = 1311 m3)</t>
  </si>
  <si>
    <t>Earthwork_Civil_Rates.csv EC-02; Datasheet.md topsoil avg 72 mm; PP-10 4.5 ac = 18211 m2</t>
  </si>
  <si>
    <t>72 mm avg topsoil per Geotech Report 4.1.3; stockpiled on-site for reuse per EC-02</t>
  </si>
  <si>
    <t>DEL-03-02::L-003</t>
  </si>
  <si>
    <t>03-02-EW</t>
  </si>
  <si>
    <t>Common excavation (cut to subgrade) — assumed 3000 m3 net cut</t>
  </si>
  <si>
    <t>Earthwork_Civil_Rates.csv EC-03; ASM-001</t>
  </si>
  <si>
    <t>Cut quantity TBD per Datasheet item B-001; 3000 m3 is assumption based on generally flat site with minor grade adjustments; see ASM-001</t>
  </si>
  <si>
    <t>DEL-03-02::L-004</t>
  </si>
  <si>
    <t>Engineered fill (imported granular; placed and compacted) — assumed 2000 m3 net import</t>
  </si>
  <si>
    <t>Earthwork_Civil_Rates.csv EC-04; ASM-002</t>
  </si>
  <si>
    <t>Fill quantity TBD per Datasheet item B-001; 2000 m3 assumes partial import for building pads and grade correction; see ASM-002</t>
  </si>
  <si>
    <t>DEL-03-02::L-005</t>
  </si>
  <si>
    <t>Building pad preparation — main PSB (18000 sf = 1672 m2; 300-450 mm granular base)</t>
  </si>
  <si>
    <t>Earthwork_Civil_Rates.csv EC-05; PP-05 18000 sf</t>
  </si>
  <si>
    <t>Main building footprint 18000 sf per PP-05; granular base compacted and proof-rolled per Geotech Report 5.1.1</t>
  </si>
  <si>
    <t>DEL-03-02::L-006</t>
  </si>
  <si>
    <t>Building pad preparation — cold storage (6000 sf = 557 m2; 300-450 mm granular base)</t>
  </si>
  <si>
    <t>Earthwork_Civil_Rates.csv EC-05; PP-07 6000 sf</t>
  </si>
  <si>
    <t>Cold storage footprint 6000 sf (60x100) per PP-07/DEC-001; foundation type TBD by DB but pad prep is DEL-03-02 scope per brief</t>
  </si>
  <si>
    <t>DEL-03-02::L-007</t>
  </si>
  <si>
    <t>Subgrade compaction (in-situ soils) — building pad areas + access routes (est. 4000 m3)</t>
  </si>
  <si>
    <t>Earthwork_Civil_Rates.csv EC-06; ASM-003</t>
  </si>
  <si>
    <t>Proof-rolling and nuclear density testing across building pads and primary access routes; see ASM-003</t>
  </si>
  <si>
    <t>DEL-03-02::L-008</t>
  </si>
  <si>
    <t>03-02-ESC</t>
  </si>
  <si>
    <t>Erosion and sediment control — construction phase (lump sum)</t>
  </si>
  <si>
    <t>Earthwork_Civil_Rates.csv EC-07</t>
  </si>
  <si>
    <t>Silt fence; sediment trap; inlet protection; maintenance; per Alberta ESC guidelines</t>
  </si>
  <si>
    <t>DEL-03-02::L-009</t>
  </si>
  <si>
    <t>03-02-DRN</t>
  </si>
  <si>
    <t>Surface drainage swales — estimated 400 lm across site</t>
  </si>
  <si>
    <t>Earthwork_Civil_Rates.csv EC-08; ASM-004</t>
  </si>
  <si>
    <t>Graded swale with rip-rap at outlets; no storm sewer; overland drainage per OSR 11.2; length is assumption; see ASM-004</t>
  </si>
  <si>
    <t>DEL-03-02::L-010</t>
  </si>
  <si>
    <t>Stormwater retention pond — earthwork excavation (est. 2500 m3)</t>
  </si>
  <si>
    <t>Earthwork_Civil_Rates.csv EC-03 (excavation rate applied to pond); ASM-005</t>
  </si>
  <si>
    <t>Pond shown on TPN46 Sheets C2-C4; volume is assumption — sizing criteria TBD per REQ-3212/item F-001; see ASM-005</t>
  </si>
  <si>
    <t>DEL-03-02::L-011</t>
  </si>
  <si>
    <t>Stormwater retention pond — outlet control and protection (lump sum)</t>
  </si>
  <si>
    <t>ASM-006; Earthwork_Civil_Rates.csv EC-08 extrapolated</t>
  </si>
  <si>
    <t>Outlet structure + rip-rap energy dissipation; no explicit rate in sources; priced via extrapolation from EC-08 drainage rates; see ASM-006</t>
  </si>
  <si>
    <t>DEL-03-02::L-012</t>
  </si>
  <si>
    <t>03-02-FIN</t>
  </si>
  <si>
    <t>Topsoil replacement and seeding (final grading) — disturbed areas (est. 10000 m2)</t>
  </si>
  <si>
    <t>Earthwork_Civil_Rates.csv EC-09; ASM-008</t>
  </si>
  <si>
    <t>150 mm topsoil + hydroseed on disturbed unpaved areas; area is net of building footprints and paved areas; see ASM-008</t>
  </si>
  <si>
    <t>DEL-03-02::L-013</t>
  </si>
  <si>
    <t>03-02-SRV</t>
  </si>
  <si>
    <t>Construction survey and staking (full site development)</t>
  </si>
  <si>
    <t>Earthwork_Civil_Rates.csv EC-11</t>
  </si>
  <si>
    <t>Initial layout; progress surveys; as-built; for earthworks and grading scope</t>
  </si>
  <si>
    <t>DEL-03-02::L-014</t>
  </si>
  <si>
    <t>03-02-GEO</t>
  </si>
  <si>
    <t>Geotechnical services — compaction testing and subgrade certification</t>
  </si>
  <si>
    <t>Earthwork_Civil_Rates.csv EC-10; REQ-3214</t>
  </si>
  <si>
    <t>Geotech oversight during earthworks; compaction testing per REQ-3207 (1 test/lift/500 m2); subgrade certification per REQ-3214; EC-10 rate used as proxy</t>
  </si>
  <si>
    <t>DEL-03-02::L-015</t>
  </si>
  <si>
    <t>03-02-DSN</t>
  </si>
  <si>
    <t>Civil engineering design fees — earthworks and drainage scope (2.5% of construction subtotal)</t>
  </si>
  <si>
    <t>Professional_Design_Fees.csv DF-02 (2.5% recommended); ASM-009</t>
  </si>
  <si>
    <t>Fee base = sum of L-001 through L-014 ($460548); 2.5% = $11514; see ASM-009</t>
  </si>
  <si>
    <t>DEL-03-03::L-001</t>
  </si>
  <si>
    <t>DEL-03-03</t>
  </si>
  <si>
    <t>03.03.ASP-HD</t>
  </si>
  <si>
    <t>Heavy duty asphalt — fire apparatus routing (Zone A); 150mm HMA on 300mm granular; includes geogrid and geofabric</t>
  </si>
  <si>
    <t>Paving_Surfacing_Rates.csv PS-01; Qty per Assumed_Project_Parameters.csv PP-10 (0.5 ac fire routes) + ASM-003</t>
  </si>
  <si>
    <t>Rate includes base prep per PS-01 notes. Area assumes ~0.5 ac per PP-10 converted to m2 and rounded.</t>
  </si>
  <si>
    <t>EST_DEL-03-03_2026-02-18_1200</t>
  </si>
  <si>
    <t>DEL-03-03::L-002</t>
  </si>
  <si>
    <t>03.03.ASP-LD</t>
  </si>
  <si>
    <t>Light duty asphalt — parking near main structure (Zone B); 75mm HMA on 200mm granular; includes geofabric</t>
  </si>
  <si>
    <t>Paving_Surfacing_Rates.csv PS-02; Qty per Assumed_Project_Parameters.csv PP-10 (0.8 ac parking) + PP-19 (40 stalls) + ASM-004</t>
  </si>
  <si>
    <t>Rate includes base prep per PS-02 notes. Area from PP-10 ~0.8 ac = ~3237 m2 rounded to 3200.</t>
  </si>
  <si>
    <t>DEL-03-03::L-003</t>
  </si>
  <si>
    <t>03.03.AGG</t>
  </si>
  <si>
    <t>Aggregate surfacing — heavy equipment yard areas (Zone C); 150mm crushed gravel compacted per layer</t>
  </si>
  <si>
    <t>Paving_Surfacing_Rates.csv PS-03; Qty per Assumed_Project_Parameters.csv PP-10 (1.5 ac yard/storage) + ASM-005</t>
  </si>
  <si>
    <t>PS-03 rate covers 150mm. Spec REQ-03-03-05 anticipates 300mm minimum. See L-004 for second lift.</t>
  </si>
  <si>
    <t>DEL-03-03::L-004</t>
  </si>
  <si>
    <t>Aggregate surfacing — second 150mm lift for 300mm total depth (Zone C)</t>
  </si>
  <si>
    <t>Paving_Surfacing_Rates.csv PS-03; ASM-006 (300mm minimum per Spec REQ-03-03-05 assumption)</t>
  </si>
  <si>
    <t>Second lift to achieve 300mm minimum anticipated by Specification. Rate same as PS-03.</t>
  </si>
  <si>
    <t>DEL-03-03::L-005</t>
  </si>
  <si>
    <t>03.03.CONC</t>
  </si>
  <si>
    <t>Concrete aprons — main building overhead doors (8 doors); 200mm reinforced; sulphate-resistant mix</t>
  </si>
  <si>
    <t>Paving_Surfacing_Rates.csv PS-04; Qty per PP-13 (8 doors) x 4.88m wide x 8m deep + ASM-007</t>
  </si>
  <si>
    <t>8 doors x 4.88m x 8.0m = 312 m2. Apron depth (8m) is assumed per ASM-007. Dimensions TBD pending PKG-002 architectural.</t>
  </si>
  <si>
    <t>DEL-03-03::L-006</t>
  </si>
  <si>
    <t>Concrete aprons — cold storage overhead doors (2 doors); 200mm reinforced; sulphate-resistant mix</t>
  </si>
  <si>
    <t>Paving_Surfacing_Rates.csv PS-04; Qty per PP-14 (2 doors) x 4.88m wide x 8m deep + ASM-008</t>
  </si>
  <si>
    <t>2 doors x 4.88m x 8.0m = 78 m2. Dimensions TBD pending PKG-004 architectural.</t>
  </si>
  <si>
    <t>DEL-03-03::L-007</t>
  </si>
  <si>
    <t>Concrete curb and gutter — barrier type; parking area perimeter</t>
  </si>
  <si>
    <t>Paving_Surfacing_Rates.csv PS-05; Qty per ASM-009</t>
  </si>
  <si>
    <t>Estimated perimeter of parking area. Actual length depends on DEL-03-01 site plan.</t>
  </si>
  <si>
    <t>DEL-03-03::L-008</t>
  </si>
  <si>
    <t>Concrete sidewalk — accessible routes from parking to main entrance; 100mm broom finish</t>
  </si>
  <si>
    <t>Paving_Surfacing_Rates.csv PS-06; Qty per ASM-010</t>
  </si>
  <si>
    <t>Accessible route from parking to main building entrance. Length/width TBD from site plan.</t>
  </si>
  <si>
    <t>DEL-03-03::L-009</t>
  </si>
  <si>
    <t>03.03.MARK</t>
  </si>
  <si>
    <t>Parking lot line painting — stall lines and fire lane markings</t>
  </si>
  <si>
    <t>Paving_Surfacing_Rates.csv PS-07; Qty per ASM-011</t>
  </si>
  <si>
    <t>40 stalls x ~5.5m line + ~200m fire lane markings. Rounded to 450 lm.</t>
  </si>
  <si>
    <t>DEL-03-03::L-010</t>
  </si>
  <si>
    <t>Accessible parking signage and markings</t>
  </si>
  <si>
    <t>Paving_Surfacing_Rates.csv PS-08; Qty per ASM-012</t>
  </si>
  <si>
    <t>3 accessible stalls assumed per Alberta Building Code for 40-stall lot.</t>
  </si>
  <si>
    <t>DEL-03-03::L-011</t>
  </si>
  <si>
    <t>03.03.SITE</t>
  </si>
  <si>
    <t>Steel bollards — concrete-filled; painted; at overhead doors and building corners</t>
  </si>
  <si>
    <t>Paving_Surfacing_Rates.csv PS-09; Qty per ASM-013</t>
  </si>
  <si>
    <t>Standard practice at overhead doors/corners/fuel areas. Count TBD from site plan.</t>
  </si>
  <si>
    <t>DEL-03-03::L-012</t>
  </si>
  <si>
    <t>Geosynthetics allowance — biaxial geogrid for heavy duty asphalt (Zone A); supplemental to PS-01 rate</t>
  </si>
  <si>
    <t>ASM-014; rate based on typical geogrid supply+install $6-$10/m2</t>
  </si>
  <si>
    <t>PS-01 notes say 'includes base prep' but geogrid may not be fully included. Conservative allowance. See ASM-014.</t>
  </si>
  <si>
    <t>DEL-03-03::L-013</t>
  </si>
  <si>
    <t>Geosynthetics allowance — woven geofabric for light duty asphalt (Zone B); supplemental to PS-02 rate</t>
  </si>
  <si>
    <t>ASM-015; rate based on typical geofabric supply+install $3-$6/m2</t>
  </si>
  <si>
    <t>PS-02 notes say 'includes base prep' but geofabric may not be fully included. Conservative allowance. See ASM-015.</t>
  </si>
  <si>
    <t>DEL-03-03::L-014</t>
  </si>
  <si>
    <t>Geosynthetics allowance — woven geofabric for aggregate yard (Zone C); separation layer at subgrade</t>
  </si>
  <si>
    <t>ASM-016; rate based on typical geofabric supply+install $3-$6/m2</t>
  </si>
  <si>
    <t>Geofabric separation layer between subgrade and aggregate. Not included in PS-03 rate. See ASM-016.</t>
  </si>
  <si>
    <t>DEL-03-04::L-0304-01</t>
  </si>
  <si>
    <t>DEL-03-04</t>
  </si>
  <si>
    <t>L-0304-01</t>
  </si>
  <si>
    <t>31.40</t>
  </si>
  <si>
    <t>Water main 150mm PVC - municipal stub to Main PSB (120 m)</t>
  </si>
  <si>
    <t>Underground_Utility_Rates.csv UU-01; ASM-001</t>
  </si>
  <si>
    <t>All-inclusive rate: trench/bed/pipe/backfill/compact; 1.5-2.0m depth; Alberta freeze depth</t>
  </si>
  <si>
    <t>EST_DEL-03-04_2026-02-18_2100</t>
  </si>
  <si>
    <t>DEL-03-04::L-0304-02</t>
  </si>
  <si>
    <t>L-0304-02</t>
  </si>
  <si>
    <t>Water main 150mm PVC - branch to Cold Storage Building (40 m)</t>
  </si>
  <si>
    <t>Underground_Utility_Rates.csv UU-01; ASM-002; ASM-004</t>
  </si>
  <si>
    <t>Cold Storage water service requirement TBD per Datasheet; assumed required</t>
  </si>
  <si>
    <t>DEL-03-04::L-0304-03</t>
  </si>
  <si>
    <t>L-0304-03</t>
  </si>
  <si>
    <t>Water service connection to Main PSB (50mm copper/PE)</t>
  </si>
  <si>
    <t>Underground_Utility_Rates.csv UU-02</t>
  </si>
  <si>
    <t>From main to 1.5m outside building; includes curb stop</t>
  </si>
  <si>
    <t>DEL-03-04::L-0304-04</t>
  </si>
  <si>
    <t>L-0304-04</t>
  </si>
  <si>
    <t>Water service connection to Cold Storage Building (50mm copper/PE)</t>
  </si>
  <si>
    <t>Underground_Utility_Rates.csv UU-02; ASM-004</t>
  </si>
  <si>
    <t>Cold Storage water service requirement TBD; assumed required</t>
  </si>
  <si>
    <t>DEL-03-04::L-0304-05</t>
  </si>
  <si>
    <t>L-0304-05</t>
  </si>
  <si>
    <t>31.41</t>
  </si>
  <si>
    <t>Sanitary sewer 200mm PVC gravity - municipal stub to Main PSB (120 m)</t>
  </si>
  <si>
    <t>Underground_Utility_Rates.csv UU-03; ASM-001</t>
  </si>
  <si>
    <t>Includes bedding/backfill; manholes pro-rated at 1 per 90m</t>
  </si>
  <si>
    <t>DEL-03-04::L-0304-06</t>
  </si>
  <si>
    <t>L-0304-06</t>
  </si>
  <si>
    <t>Sanitary service connection to Main PSB</t>
  </si>
  <si>
    <t>Underground_Utility_Rates.csv UU-04</t>
  </si>
  <si>
    <t>From main/manhole to 1.5m outside building; includes cleanout</t>
  </si>
  <si>
    <t>DEL-03-04::L-0304-07</t>
  </si>
  <si>
    <t>L-0304-07</t>
  </si>
  <si>
    <t>31.42</t>
  </si>
  <si>
    <t>Natural gas service 50mm PE - to Main PSB (120 m)</t>
  </si>
  <si>
    <t>Underground_Utility_Rates.csv UU-06; ASM-001; ASM-007</t>
  </si>
  <si>
    <t>ATCO Gas typically installs to meter; estimate for on-site distribution; Cold Storage unheated - no gas</t>
  </si>
  <si>
    <t>DEL-03-04::L-0304-08</t>
  </si>
  <si>
    <t>L-0304-08</t>
  </si>
  <si>
    <t>31.43</t>
  </si>
  <si>
    <t>Power duct bank 2-way concrete-encased - to Main PSB (120 m)</t>
  </si>
  <si>
    <t>Underground_Utility_Rates.csv UU-07; ASM-001</t>
  </si>
  <si>
    <t>From padmount transformer to building</t>
  </si>
  <si>
    <t>DEL-03-04::L-0304-09</t>
  </si>
  <si>
    <t>L-0304-09</t>
  </si>
  <si>
    <t>Power duct bank 2-way concrete-encased - branch to Cold Storage (40 m)</t>
  </si>
  <si>
    <t>Underground_Utility_Rates.csv UU-07; ASM-002</t>
  </si>
  <si>
    <t>Electrical service confirmed required for Cold Storage per Datasheet</t>
  </si>
  <si>
    <t>DEL-03-04::L-0304-10</t>
  </si>
  <si>
    <t>L-0304-10</t>
  </si>
  <si>
    <t>31.44</t>
  </si>
  <si>
    <t>Telecom conduit 100mm PVC direct-buried - to Main PSB (120 m)</t>
  </si>
  <si>
    <t>Underground_Utility_Rates.csv UU-08; ASM-001; ASM-006</t>
  </si>
  <si>
    <t>Cold Storage telecom not required (ASM-006)</t>
  </si>
  <si>
    <t>DEL-03-04::L-0304-11</t>
  </si>
  <si>
    <t>L-0304-11</t>
  </si>
  <si>
    <t>31.45</t>
  </si>
  <si>
    <t>Common trench shared utilities 2.0m deep (100 m)</t>
  </si>
  <si>
    <t>Underground_Utility_Rates.csv UU-09; ASM-003</t>
  </si>
  <si>
    <t>Where water/sewer/gas share alignment; per lm of trench</t>
  </si>
  <si>
    <t>DEL-03-04::L-0304-12</t>
  </si>
  <si>
    <t>L-0304-12</t>
  </si>
  <si>
    <t>31.49</t>
  </si>
  <si>
    <t>Municipal utility tie-in allowance - all utilities (DEC-004)</t>
  </si>
  <si>
    <t>Underground_Utility_Rates.csv UU-12; DEC-004</t>
  </si>
  <si>
    <t>PENDING OWNER CONFIRMATION; combined water+sewer+gas+power+telecom tie-in execution at municipal stubs</t>
  </si>
  <si>
    <t>DEL-03-04::L-0304-13</t>
  </si>
  <si>
    <t>L-0304-13</t>
  </si>
  <si>
    <t>31.50</t>
  </si>
  <si>
    <t>Water utility connection fee</t>
  </si>
  <si>
    <t>Fees_Permits_Insurance.csv FP-11</t>
  </si>
  <si>
    <t>Town of Penhold fee schedule TBD; recommended value used</t>
  </si>
  <si>
    <t>DEL-03-04::L-0304-14</t>
  </si>
  <si>
    <t>L-0304-14</t>
  </si>
  <si>
    <t>Sewer utility connection fee</t>
  </si>
  <si>
    <t>Fees_Permits_Insurance.csv FP-12</t>
  </si>
  <si>
    <t>DEL-03-04::L-0304-15</t>
  </si>
  <si>
    <t>L-0304-15</t>
  </si>
  <si>
    <t>Power service connection fee</t>
  </si>
  <si>
    <t>Fees_Permits_Insurance.csv FP-13</t>
  </si>
  <si>
    <t>ATCO Electric or FortisAlberta; depends on service size</t>
  </si>
  <si>
    <t>DEL-03-04::L-0304-16</t>
  </si>
  <si>
    <t>L-0304-16</t>
  </si>
  <si>
    <t>Gas service connection fee</t>
  </si>
  <si>
    <t>Fees_Permits_Insurance.csv FP-14</t>
  </si>
  <si>
    <t>ATCO Gas; depends on service size and distance</t>
  </si>
  <si>
    <t>DEL-03-04::L-0304-17</t>
  </si>
  <si>
    <t>L-0304-17</t>
  </si>
  <si>
    <t>Telecom service connection fee</t>
  </si>
  <si>
    <t>Fees_Permits_Insurance.csv FP-15</t>
  </si>
  <si>
    <t>Telus or local provider</t>
  </si>
  <si>
    <t>DEL-03-04::L-0304-18</t>
  </si>
  <si>
    <t>L-0304-18</t>
  </si>
  <si>
    <t>31.00</t>
  </si>
  <si>
    <t>Civil engineering design fees - utility routing (2.5% of distribution construction cost)</t>
  </si>
  <si>
    <t>Professional_Design_Fees.csv DF-02; fee base = $149200 distribution subtotal</t>
  </si>
  <si>
    <t>2.5% recommended rate on distribution line items L-0304-01 through L-0304-11</t>
  </si>
  <si>
    <t>DEL-03-05::L-01</t>
  </si>
  <si>
    <t>DEL-03-05</t>
  </si>
  <si>
    <t>PROF_SERVICES</t>
  </si>
  <si>
    <t>Environmental consultant fees -- flood hazard assessment + wetland assessment update + AEPA interface + regulatory coordination</t>
  </si>
  <si>
    <t>Fees_Permits_Insurance.csv FP-17 (RecommendedRate=$22000; range $15000-$30000)</t>
  </si>
  <si>
    <t>Professional assessment; regulatory coordination; AEPA interface. Per FP-17 and DF-07.</t>
  </si>
  <si>
    <t>EST_DEL-03-05_2026-02-18_2000</t>
  </si>
  <si>
    <t>DEL-03-05::L-02</t>
  </si>
  <si>
    <t>REGULATORY_FEES</t>
  </si>
  <si>
    <t>AEPA Water Act application fee -- regulatory application for construction near waterway/wetland</t>
  </si>
  <si>
    <t>Fees_Permits_Insurance.csv FP-16 (RecommendedRate=$5000; range $3000-$8000)</t>
  </si>
  <si>
    <t>If required for construction near waterway/wetland. AEPA approval PENDING (DEP-3505-E06). Priced as ALLOWANCE per FALLBACK_POLICY because fee schedule uncertain.</t>
  </si>
  <si>
    <t>DEL-03-05::L-03</t>
  </si>
  <si>
    <t>ABWRET-A wetland replacement fee -- in-lieu fee payable to Government of Alberta upon Water Act approval</t>
  </si>
  <si>
    <t>Datasheet.md &gt; Wetland/Waterbody Characteristics &gt; ABWRET-A Wetland Replacement Fee ($10769.54 per Wetland Assessment Executive Summary Ghostpine Aug 2021)</t>
  </si>
  <si>
    <t>Exact fee calculated in Wetland Assessment: $10769.54. Rounded to $10770 per ROUNDING=DOLLAR. Not payable until Water Act approval issued.</t>
  </si>
  <si>
    <t>DEL-03-05::L-04</t>
  </si>
  <si>
    <t>Erosion and sediment control plan preparation -- engineering design + monitoring plan per Alberta ESC guidelines</t>
  </si>
  <si>
    <t>Fees_Permits_Insurance.csv FP-18 (RecommendedRate=$4500; range $3000-$6000)</t>
  </si>
  <si>
    <t>Engineering design + monitoring plan. Per Alberta ESC guidelines.</t>
  </si>
  <si>
    <t>DEL-03-05::L-05</t>
  </si>
  <si>
    <t>Development permit fee -- flood fringe approval component (Town of Penhold)</t>
  </si>
  <si>
    <t>Fees_Permits_Insurance.csv FP-07 (RecommendedRate=$1200; range $500-$2000)</t>
  </si>
  <si>
    <t>Application fee for development permit with flood fringe conditions. Penhold fee schedule TBD. Priced as ALLOWANCE per FALLBACK_POLICY.</t>
  </si>
  <si>
    <t>DEL-04-01::L-0401-01</t>
  </si>
  <si>
    <t>DEL-04-01</t>
  </si>
  <si>
    <t>L-0401-01</t>
  </si>
  <si>
    <t>04.01.SHELL</t>
  </si>
  <si>
    <t>Pre-engineered metal building shell (60x100 ft clear-span; unheated) — includes framing; roof; wall cladding; gutters/downspouts; anchor bolts; erection. Does NOT include foundation; floor; doors; electrical; ventilation.</t>
  </si>
  <si>
    <t>Parametric_Building_Rates.csv PB-01 RecommendedRate=$32/sf x 6000 sf (PP-07); DEC-001 confirms 60x100=6000 sf</t>
  </si>
  <si>
    <t>PB-01 shell-only parametric rate ($28-35/sf range; $32 recommended). Cost ownership: shell only per brief. Qty=1 LS per parametric convention.</t>
  </si>
  <si>
    <t>EST_DEL-04-01_2026-02-18_1200</t>
  </si>
  <si>
    <t>DEL-04-01::L-0401-02</t>
  </si>
  <si>
    <t>L-0401-02</t>
  </si>
  <si>
    <t>04.01.DESIGN</t>
  </si>
  <si>
    <t>Design and engineering services — cold storage building design basis and configuration (architectural/structural design for shell)</t>
  </si>
  <si>
    <t>Assumptions_Log.md ASM-003; no explicit design fee source in PRICE_SOURCES</t>
  </si>
  <si>
    <t>Allowance for DB design/engineering effort attributable to cold storage shell configuration. FALLBACK_POLICY=ALLOW_ALLOWANCE. Estimated as ~5% of shell construction cost. Qty=1 LS per allowance convention.</t>
  </si>
  <si>
    <t>DEL-04-02::L-0402-01</t>
  </si>
  <si>
    <t>DEL-04-02</t>
  </si>
  <si>
    <t>L-0402-01</t>
  </si>
  <si>
    <t>08-Doors</t>
  </si>
  <si>
    <t>Overhead door 16x16 ft motorized insulated standard grade with windows (cold storage)</t>
  </si>
  <si>
    <t>Equipment_Pricing.csv row EQ-02 (RecommendedPrice=$13500; Qty_Assumed=2)</t>
  </si>
  <si>
    <t>EQ-02 explicitly for cold storage; standard grade per SOW-0302</t>
  </si>
  <si>
    <t>EST_DEL-04-02_2026-02-18_1100</t>
  </si>
  <si>
    <t>DEL-04-02::L-0402-02</t>
  </si>
  <si>
    <t>L-0402-02</t>
  </si>
  <si>
    <t>Person door - hollow metal door and frame single commercial</t>
  </si>
  <si>
    <t>Building_Envelope_Rates.csv row BE-11 (RecommendedRate=$1800)</t>
  </si>
  <si>
    <t>Standard commercial hollow metal per REQ-4202-06; code-compliant egress size</t>
  </si>
  <si>
    <t>DEL-04-02::L-0402-03</t>
  </si>
  <si>
    <t>L-0402-03</t>
  </si>
  <si>
    <t>Door hardware set - commercial per opening (person doors)</t>
  </si>
  <si>
    <t>Building_Envelope_Rates.csv row BE-13 (RecommendedRate=$600)</t>
  </si>
  <si>
    <t>Lever handle + closer + hinges + weatherstrip + keyed deadbolt per REQ-4202-07</t>
  </si>
  <si>
    <t>DEL-04-02::L-0402-04</t>
  </si>
  <si>
    <t>L-0402-04</t>
  </si>
  <si>
    <t>Door hardware set - overhead door hardware allowance (weatherstrip + guides + misc)</t>
  </si>
  <si>
    <t>Building_Envelope_Rates.csv row BE-13 (RecommendedRate=$600); Assumptions_Log.md ASM-03</t>
  </si>
  <si>
    <t>Overhead door hardware beyond what is included in EQ-02 unit price; assumed equivalent to one commercial hardware set per opening for guides + seals + misc</t>
  </si>
  <si>
    <t>DEL-04-02::L-0402-05</t>
  </si>
  <si>
    <t>L-0402-05</t>
  </si>
  <si>
    <t>03-Concrete</t>
  </si>
  <si>
    <t>Concrete apron at overhead door (200mm reinforced heavy-duty slab-on-grade)</t>
  </si>
  <si>
    <t>Structural_Concrete_Rates.csv row SC-04 (RecommendedRate=$108/m2); Assumptions_Log.md ASM-04</t>
  </si>
  <si>
    <t>2 aprons at 50 m2 each (approx 7.5m wide x 6.7m deep per ASM-04); $108/m2 x 50 m2 = $5400 each</t>
  </si>
  <si>
    <t>DEL-04-02::L-0402-06</t>
  </si>
  <si>
    <t>L-0402-06</t>
  </si>
  <si>
    <t>07-Thermal</t>
  </si>
  <si>
    <t>Perimeter sealant and weatherstripping at overhead door openings</t>
  </si>
  <si>
    <t>Building_Envelope_Rates.csv row BE-14 (RecommendedRate=$16/lm); Assumptions_Log.md ASM-05</t>
  </si>
  <si>
    <t>Perimeter = 2*(4.88m+4.88m) = 19.5m per opening; 19.5 lm x $16/lm = $312 sealant + $200 weatherstrip allowance per ASM-06 = $512 each</t>
  </si>
  <si>
    <t>DEL-04-02::L-0402-07</t>
  </si>
  <si>
    <t>L-0402-07</t>
  </si>
  <si>
    <t>Perimeter sealant and weatherstripping at person door openings</t>
  </si>
  <si>
    <t>Perimeter = 2*(0.81m+2.03m) = 5.7m per opening; 5.7 lm x $16/lm = $91 sealant + $40 weatherstrip allowance per ASM-06 = $131 each</t>
  </si>
  <si>
    <t>DEL-04-02::L-0402-08</t>
  </si>
  <si>
    <t>L-0402-08</t>
  </si>
  <si>
    <t>Installation labour - overhead doors (carpenter)</t>
  </si>
  <si>
    <t>Construction_Labour_Rates.csv row T-02 (FullyBurdenedRate=$72/hr); Assumptions_Log.md ASM-07</t>
  </si>
  <si>
    <t>16 hrs per door x 2 doors = 32 hrs; includes unloading + assembly + hanging + opener installation + adjustment</t>
  </si>
  <si>
    <t>DEL-04-02::L-0402-09</t>
  </si>
  <si>
    <t>L-0402-09</t>
  </si>
  <si>
    <t>Installation labour - person doors (carpenter)</t>
  </si>
  <si>
    <t>Construction_Labour_Rates.csv row T-02 (FullyBurdenedRate=$72/hr); Assumptions_Log.md ASM-08</t>
  </si>
  <si>
    <t>4 hrs per door x 2 doors = 8 hrs; includes frame set + door hang + hardware install</t>
  </si>
  <si>
    <t>DEL-04-02::L-0402-10</t>
  </si>
  <si>
    <t>L-0402-10</t>
  </si>
  <si>
    <t>Installation labour - concrete aprons (concrete finisher + labourer)</t>
  </si>
  <si>
    <t>Construction_Labour_Rates.csv rows T-04 ($68/hr) and T-01 ($55/hr) blended; Assumptions_Log.md ASM-09</t>
  </si>
  <si>
    <t>24 hrs per apron x 2 aprons = 48 hrs; blended rate ($68+$55)/2=$62; includes forming + placement + finishing + curing</t>
  </si>
  <si>
    <t>DEL-04-02::L-0402-11</t>
  </si>
  <si>
    <t>L-0402-11</t>
  </si>
  <si>
    <t>Emergency exit lights above person doors (battery backup)</t>
  </si>
  <si>
    <t>Assumptions_Log.md ASM-10; location TBD</t>
  </si>
  <si>
    <t>Per REQ-4202-11; unit rate based on typical commercial LED exit light with battery; no direct rate table entry -- see QA warning</t>
  </si>
  <si>
    <t>DEL-04-02::L-0402-12</t>
  </si>
  <si>
    <t>L-0402-12</t>
  </si>
  <si>
    <t>Weatherproof light switches at person doors</t>
  </si>
  <si>
    <t>Assumptions_Log.md ASM-11; location TBD</t>
  </si>
  <si>
    <t>Per REQ-4202-12; unit rate based on typical weatherproof switch assembly; no direct rate table entry -- see QA warning</t>
  </si>
  <si>
    <t>DEL-04-03::L-001</t>
  </si>
  <si>
    <t>DEL-04-03</t>
  </si>
  <si>
    <t>05-Metals</t>
  </si>
  <si>
    <t>Screw piles - galvanized helical piles installed (2.75-3.5 in shaft; helix below 2.0 m frost depth; 6-8 m typical)</t>
  </si>
  <si>
    <t>Structural_Concrete_Rates.csv SC-14 (RecommendedRate=$3000/each)</t>
  </si>
  <si>
    <t>Pile count assumes 60x100 ft PEMB perimeter columns at ~10-12 ft spacing; see ASM-001 and ASM-002</t>
  </si>
  <si>
    <t>EST_DEL-04-03_2026-02-18_1400</t>
  </si>
  <si>
    <t>DEL-04-03::L-002</t>
  </si>
  <si>
    <t>Concrete grade beams connecting pile caps (strip footing rate as proxy for formed concrete beams)</t>
  </si>
  <si>
    <t>Structural_Concrete_Rates.csv SC-13 (RecommendedRate=$220/lm)</t>
  </si>
  <si>
    <t>Perimeter grade beam ~320 lf (97.5 m) = 2x100ft + 2x60ft; assumed ~80 lm net for pile-to-pile beams; see ASM-006</t>
  </si>
  <si>
    <t>DEL-04-03::L-003</t>
  </si>
  <si>
    <t>Concrete slab-on-grade 150mm with W/W mesh - cold storage floor (60x100 ft = 557.4 m2)</t>
  </si>
  <si>
    <t>Structural_Concrete_Rates.csv SC-03 (RecommendedRate=$85/m2)</t>
  </si>
  <si>
    <t>Full concrete floor per DEC-002; includes sub-base prep; sulphate-resistant mix per REQ-07 (Type HS cement 32 MPa)</t>
  </si>
  <si>
    <t>DEL-04-03::L-004</t>
  </si>
  <si>
    <t>Concrete aprons at overhead doors (2 doors x 16x16 ft = 2 x 23.8 m2 = 47.6 m2; 200mm reinforced for vehicle loads)</t>
  </si>
  <si>
    <t>Structural_Concrete_Rates.csv SC-04 (RecommendedRate=$108/m2)</t>
  </si>
  <si>
    <t>Heavy-duty 200mm slab for service vehicle loads per REQ-06 (OSR 10.3.10); 2 OH doors at 16x16 ft each</t>
  </si>
  <si>
    <t>DEL-04-03::L-005</t>
  </si>
  <si>
    <t>Concrete aprons at person doors (2 doors x approx 1.5m x 2.0m = 6.0 m2; 150mm with mesh)</t>
  </si>
  <si>
    <t>Smaller aprons at 2 person doors per REQ-06; standard 150mm slab adequate for pedestrian traffic</t>
  </si>
  <si>
    <t>DEL-04-03::L-006</t>
  </si>
  <si>
    <t>31-Earthwork</t>
  </si>
  <si>
    <t>Subgrade preparation - strip topsoil and compact per Geotech Report section 7.1 (557.4 m2 building footprint)</t>
  </si>
  <si>
    <t>Assumed_Project_Parameters.csv PP-07 (6000 sf footprint) + Parametric_Building_Rates.csv PB-06 ($16/sf site dev rate prorated)</t>
  </si>
  <si>
    <t>Includes stripping topsoil; scarifying; compacting to 98% SPDD; proof rolling; rate derived as fraction of PB-06 site rate; see ASM-007</t>
  </si>
  <si>
    <t>DEL-04-03::L-007</t>
  </si>
  <si>
    <t>02-Sitework</t>
  </si>
  <si>
    <t>Granular base - 150mm radon rock below slab (557.4 m2 x 150mm depth)</t>
  </si>
  <si>
    <t>Decision_Log.md DEC-EST-007 (derived from subgrade prep component of SC-03 rate)</t>
  </si>
  <si>
    <t>20 mm screened/washed rock per Geotech section 7.1 item 6; rate estimated from granular material supply + placement; see ASM-008</t>
  </si>
  <si>
    <t>DEL-04-03::L-008</t>
  </si>
  <si>
    <t>Vapour barrier - polyethylene sheeting per CAN/CGSB-51.34-M below slab (557.4 m2)</t>
  </si>
  <si>
    <t>Decision_Log.md DEC-EST-008 (derived rate for poly sheeting supply + install)</t>
  </si>
  <si>
    <t>6 mil minimum thickness assumed per REQ-08 [E-002]; includes laps and sealing</t>
  </si>
  <si>
    <t>DEL-04-03::L-009</t>
  </si>
  <si>
    <t>Reinforcing steel for grade beams and slab edges (estimated 1500 kg for perimeter + slab mesh supplement)</t>
  </si>
  <si>
    <t>Structural_Concrete_Rates.csv SC-07 (RecommendedRate=$3.25/kg)</t>
  </si>
  <si>
    <t>Includes rebar for grade beams and supplemental reinforcing at slab edges/joints; W/W mesh included in SC-03 rate</t>
  </si>
  <si>
    <t>DEL-04-03::L-010</t>
  </si>
  <si>
    <t>Anchor bolts - screw pile to grade beam connections (20 piles x 4 bolts = 80 bolts)</t>
  </si>
  <si>
    <t>Structural_Concrete_Rates.csv SC-15 (RecommendedRate=$45/each)</t>
  </si>
  <si>
    <t>Standard anchor bolts set in concrete grade beams at pile cap locations; 4 per pile assumed</t>
  </si>
  <si>
    <t>DEL-04-04::L-0404-01</t>
  </si>
  <si>
    <t>DEL-04-04</t>
  </si>
  <si>
    <t>L-0404-01</t>
  </si>
  <si>
    <t>26-ELEC</t>
  </si>
  <si>
    <t>Cold storage basic electrical -- panel; receptacles; lighting; door opener feeds (ES-12 rate applied to 6000 sf)</t>
  </si>
  <si>
    <t>Electrical_System_Rates.csv / ES-12; Assumed_Project_Parameters.csv / PP-07</t>
  </si>
  <si>
    <t>ES-12 recommended rate $6/sf; area PP-07 = 6000 sf confirmed. Includes service entry at building wall to panel and in-building distribution. ES-05 lighting-only rate NOT layered to avoid double-count.</t>
  </si>
  <si>
    <t>EST_DEL-04-04_2026-02-18_1500</t>
  </si>
  <si>
    <t>DEL-04-04::L-0404-02</t>
  </si>
  <si>
    <t>L-0404-02</t>
  </si>
  <si>
    <t>23-VENT</t>
  </si>
  <si>
    <t>Cold storage ventilation -- condensation/icing prevention; ridge vents or gable fans; minimal mechanical (MS-13 rate applied to 6000 sf)</t>
  </si>
  <si>
    <t>Mechanical_System_Rates.csv / MS-13; Assumed_Project_Parameters.csv / PP-07</t>
  </si>
  <si>
    <t>MS-13 recommended rate $3/sf; area PP-07 = 6000 sf confirmed. Passive/low-energy systems for condensation prevention in unheated PEMB.</t>
  </si>
  <si>
    <t>DEL-05-01::L-05-01-001</t>
  </si>
  <si>
    <t>DEL-05-01</t>
  </si>
  <si>
    <t>L-05-01-001</t>
  </si>
  <si>
    <t>CBS-0500-EQUIP</t>
  </si>
  <si>
    <t>Built-in wash bay complete system (equipment + containment + drainage + water treatment/recycling + HVAC modification for heated wash area; installed in PW bay area)</t>
  </si>
  <si>
    <t>Optional_Items_Pricing.csv row OPT-01 (RecommendedPrice); FALLBACK per DEC-EST-001</t>
  </si>
  <si>
    <t>REQUIRES VENDOR QUOTE REPLACEMENT. Range: $75000-$120000. Includes equipment + containment + drainage + water treatment/recycling + HVAC modification. Excludes base bay sump (DEL-02-05) and base mechanical rough-in (DEL-02-05). Excludes structural modifications (DEL-02-04).</t>
  </si>
  <si>
    <t>EST_DEL-05-01_2026-02-18_1500</t>
  </si>
  <si>
    <t>DEL-05-01::L-05-01-002</t>
  </si>
  <si>
    <t>L-05-01-002</t>
  </si>
  <si>
    <t>CBS-0500-PLMB</t>
  </si>
  <si>
    <t>Wash bay plumbing/drainage modifications (hot/cold water supply; floor drain; containment curb; connection to separator)</t>
  </si>
  <si>
    <t>Optional_Items_Pricing.csv row OPT-02 (RecommendedPrice); FALLBACK per DEC-EST-001</t>
  </si>
  <si>
    <t>REQUIRES VENDOR QUOTE REPLACEMENT. Range: $12000-$20000. Dedicated wash bay plumbing beyond base building rough-in. Excludes base building bay sumps (DEL-02-05). Excludes base building mechanical rough-in to wash bay location (DEL-02-05).</t>
  </si>
  <si>
    <t>DEL-05-01::L-05-01-003</t>
  </si>
  <si>
    <t>L-05-01-003</t>
  </si>
  <si>
    <t>CBS-0500-ENVR</t>
  </si>
  <si>
    <t>Wash bay environmental compliance -- effluent treatment (oil/water separator; possible connection to municipal sewer; AEPA requirements TBD)</t>
  </si>
  <si>
    <t>Optional_Items_Pricing.csv row OPT-03 (RecommendedPrice); FALLBACK per DEC-EST-001</t>
  </si>
  <si>
    <t>REQUIRES VENDOR QUOTE REPLACEMENT. Range: $8000-$18000. AEP/Town regulatory requirements unresolved (DEP-05-01-E04). Cost highly sensitive to regulatory outcome. Excludes base building bay sumps (DEL-02-05).</t>
  </si>
  <si>
    <t>DEL-05-02::L-0502-01</t>
  </si>
  <si>
    <t>DEL-05-02</t>
  </si>
  <si>
    <t>L-0502-01</t>
  </si>
  <si>
    <t>Yard light - pole + LED fixture + concrete base + wiring (per unit installed); 25-30 ft pole; IES dark-sky compliant LED</t>
  </si>
  <si>
    <t>Optional_Items_Pricing.csv row OPT-04</t>
  </si>
  <si>
    <t>UNIT RATE ITEM: $7500/light is the per-unit rate. Qty 12 is ASSUMED per PP-20 (LOW confidence); actual quantity elected by Owner. Total scales linearly with quantity.</t>
  </si>
  <si>
    <t>EST_DEL-05-02_2026-02-18_1600</t>
  </si>
  <si>
    <t>DEL-05-02::L-0502-02</t>
  </si>
  <si>
    <t>L-0502-02</t>
  </si>
  <si>
    <t>26-COND</t>
  </si>
  <si>
    <t>Yard lighting conduit run - underground conduit + wiring from building electrical room to first pole (one-time fixed cost; does not scale per light)</t>
  </si>
  <si>
    <t>Optional_Items_Pricing.csv row OPT-05</t>
  </si>
  <si>
    <t>FIXED COST per installation (not per light). Length 100 lm is ASSUMED based on brief (fence line ~100 m from nearest structure). Actual length TBD pending site plan from DEL-03-01.</t>
  </si>
  <si>
    <t>DEL-05-03::L-05-03-001</t>
  </si>
  <si>
    <t>DEL-05-03</t>
  </si>
  <si>
    <t>L-05-03-001</t>
  </si>
  <si>
    <t>26 05 00</t>
  </si>
  <si>
    <t>Access control system - 10-zone base (readers; controllers; head-end software; door contacts; REX; wiring; programming; commissioning)</t>
  </si>
  <si>
    <t>Optional_Items_Pricing.csv &gt; OPT-06</t>
  </si>
  <si>
    <t>Parametric pricing for 10-zone system installed. No vendor quote exists -- REQUIRES VENDOR QUOTE REPLACEMENT. Zone count assumed per PP-28. Excludes IT network infrastructure (DEL-02-06) and door hardware (DEL-02-01) and electrical power circuits (DEL-02-06).</t>
  </si>
  <si>
    <t>EST_DEL-05-03_2026-02-18_1700</t>
  </si>
  <si>
    <t>DEL-05-04::L-0504-01</t>
  </si>
  <si>
    <t>DEL-05-04</t>
  </si>
  <si>
    <t>L-0504-01</t>
  </si>
  <si>
    <t>26-SECURITY</t>
  </si>
  <si>
    <t>Security camera system - 16 IP cameras (interior + exterior) with NVR + storage + network switches + cabling + mounting + programming + commissioning</t>
  </si>
  <si>
    <t>Optional_Items_Pricing.csv &gt; OPT-08 (RecommendedPrice=$50000; range $40000-$60000)</t>
  </si>
  <si>
    <t>No vendor quote; parametric placeholder from OPT-08. Includes all equipment + wiring + installation per cost ownership rules. Camera count (16) is assumed per PP-29. REQUIRES VENDOR QUOTE REPLACEMENT.</t>
  </si>
  <si>
    <t>EST_DEL-05-04_2026-02-18_1800</t>
  </si>
  <si>
    <t>DEL-05-04::L-0504-02</t>
  </si>
  <si>
    <t>L-0504-02</t>
  </si>
  <si>
    <t>26-SECURITY-MONITORING</t>
  </si>
  <si>
    <t>Security monitoring service - annual remote monitoring + alarm response coordination</t>
  </si>
  <si>
    <t>Optional_Items_Pricing.csv &gt; OPT-09 (RecommendedPrice=$5400; range $3600-$7200)</t>
  </si>
  <si>
    <t>No vendor quote; parametric placeholder from OPT-09. Annual subscription cost; separated from installation cost per RFP OSR 12.4. REQUIRES VENDOR QUOTE REPLACEMENT.</t>
  </si>
  <si>
    <t>DEL-05-05::L-05-05-01</t>
  </si>
  <si>
    <t>DEL-05-05</t>
  </si>
  <si>
    <t>L-05-05-01</t>
  </si>
  <si>
    <t>09-SIGNAGE-FAB</t>
  </si>
  <si>
    <t>Town branding signage -- fabricated non-illuminated (primary scenario; per sign)</t>
  </si>
  <si>
    <t>Optional_Items_Pricing.csv &gt; OPT-10 (RecommendedPrice)</t>
  </si>
  <si>
    <t>Allowance fallback from QUOTE basis; branding guidelines PENDING; assumes 1 sign unit; aluminum + vinyl or dimensional letters; structural mount included in unit rate; quantity TBD pending branding guidelines</t>
  </si>
  <si>
    <t>EST_DEL-05-05_2026-02-18_1800</t>
  </si>
  <si>
    <t>DEL-05-05::L-05-05-02</t>
  </si>
  <si>
    <t>L-05-05-02</t>
  </si>
  <si>
    <t>Town branding signage -- fabricated illuminated (alternate scenario; per sign)</t>
  </si>
  <si>
    <t>Optional_Items_Pricing.csv &gt; OPT-11 (RecommendedPrice)</t>
  </si>
  <si>
    <t>Alternate scenario if illuminated signage is selected; LED backlighting or halo illumination; illumination decision TBD; electrical connection cost included in unit rate; incremental electrical circuit cost excluded (owned by DEL-02-06)</t>
  </si>
  <si>
    <t>DEL-05-06::L-0506-01</t>
  </si>
  <si>
    <t>DEL-05-06</t>
  </si>
  <si>
    <t>L-0506-01</t>
  </si>
  <si>
    <t>CBS-EQP</t>
  </si>
  <si>
    <t>Refrigerator with freezer (commercial residential; per unit)</t>
  </si>
  <si>
    <t>Optional_Items_Pricing.csv OPT-12 (RecommendedPrice)</t>
  </si>
  <si>
    <t>2 units required per OSR S12.6; retail pricing treated as quote-equivalent per DEC-EST-001</t>
  </si>
  <si>
    <t>EST_DEL-05-06_2026-02-18_1900</t>
  </si>
  <si>
    <t>DEL-05-06::L-0506-02</t>
  </si>
  <si>
    <t>L-0506-02</t>
  </si>
  <si>
    <t>Microwave (commercial; per unit)</t>
  </si>
  <si>
    <t>Optional_Items_Pricing.csv OPT-13 (RecommendedPrice)</t>
  </si>
  <si>
    <t>DEL-05-06::L-0506-03</t>
  </si>
  <si>
    <t>L-0506-03</t>
  </si>
  <si>
    <t>Stove/oven with range hood (residential)</t>
  </si>
  <si>
    <t>Optional_Items_Pricing.csv OPT-14 (RecommendedPrice)</t>
  </si>
  <si>
    <t>1 unit; electric or gas range with range hood and exhaust</t>
  </si>
  <si>
    <t>DEL-05-06::L-0506-04</t>
  </si>
  <si>
    <t>L-0506-04</t>
  </si>
  <si>
    <t>Dishwasher (commercial residential)</t>
  </si>
  <si>
    <t>Optional_Items_Pricing.csv OPT-15 (RecommendedPrice)</t>
  </si>
  <si>
    <t>1 unit; standard built-in</t>
  </si>
  <si>
    <t>DEL-05-06::L-0506-05</t>
  </si>
  <si>
    <t>L-0506-05</t>
  </si>
  <si>
    <t>Residential laundry set (washer + dryer; per set)</t>
  </si>
  <si>
    <t>set</t>
  </si>
  <si>
    <t>Optional_Items_Pricing.csv OPT-16 (RecommendedPrice)</t>
  </si>
  <si>
    <t>2 sets required per OSR S12.6; front-load washer + dryer</t>
  </si>
  <si>
    <t>DEL-05-06::L-0506-06</t>
  </si>
  <si>
    <t>L-0506-06</t>
  </si>
  <si>
    <t>CBS-INST</t>
  </si>
  <si>
    <t>Appliance installation and connection (all units)</t>
  </si>
  <si>
    <t>Optional_Items_Pricing.csv OPT-17 (RecommendedPrice)</t>
  </si>
  <si>
    <t>Plumbing connections; electrical connections; venting; testing for all appliances</t>
  </si>
  <si>
    <t>DEL-05-07::L-0507-001</t>
  </si>
  <si>
    <t>DEL-05-07</t>
  </si>
  <si>
    <t>L-0507-001</t>
  </si>
  <si>
    <t>FF&amp;E</t>
  </si>
  <si>
    <t>DEL-05-07_Optional-FFandE-Allowance</t>
  </si>
  <si>
    <t>FF&amp;E cash allowance (furniture fixtures and equipment) - fixed per DEC-005</t>
  </si>
  <si>
    <t>_PriceSources/Optional_Items_Pricing.csv row OPT-18; DEC-005</t>
  </si>
  <si>
    <t>Fixed $20k cash allowance. DB allocates: Meeting/Training $8k; Lunchroom $6k; Reception $3k; Misc $3k. Excludes connected appliances (DEL-05-06 scope).</t>
  </si>
  <si>
    <t>EST_DEL-05-07_2026-02-18_2200</t>
  </si>
  <si>
    <t>Amount_Total_CAD</t>
  </si>
  <si>
    <t>LineCount</t>
  </si>
  <si>
    <t>TBD_Count</t>
  </si>
  <si>
    <t>--- Package Subtotals ---</t>
  </si>
  <si>
    <t>SUBTOTAL</t>
  </si>
  <si>
    <t>Amount_Total</t>
  </si>
  <si>
    <t>ProvenanceCompletenessPct</t>
  </si>
  <si>
    <t>100%</t>
  </si>
  <si>
    <t>DeclaredBasis</t>
  </si>
  <si>
    <t>FallbackPolicy</t>
  </si>
  <si>
    <t>AllowMixed</t>
  </si>
  <si>
    <t>ActualMethodsUsed</t>
  </si>
  <si>
    <t>RunStatus</t>
  </si>
  <si>
    <t>RunContextPath</t>
  </si>
  <si>
    <t>STRICT</t>
  </si>
  <si>
    <t>OK</t>
  </si>
  <si>
    <t>/Users/ryan/ai-env/projects/chirality-app-test/test/execution-6a/_Estimates/EST_DEL-01-01_2026-02-18_1200/Run_Context.md</t>
  </si>
  <si>
    <t>ALLOW_ALLOWANCE</t>
  </si>
  <si>
    <t>ALLOWANCE, RATE_TABLE</t>
  </si>
  <si>
    <t>WARNINGS</t>
  </si>
  <si>
    <t>/Users/ryan/ai-env/projects/chirality-app-test/test/execution-6a/_Estimates/EST_DEL-01-02_2026-02-18_2100/Run_Context.md</t>
  </si>
  <si>
    <t>/Users/ryan/ai-env/projects/chirality-app-test/test/execution-6a/_Estimates/EST_DEL-01-03_2026-02-18_2100/Run_Context.md</t>
  </si>
  <si>
    <t>/Users/ryan/ai-env/projects/chirality-app-test/test/execution-6a/_Estimates/EST_DEL-01-04_2026-02-18_1400/Run_Context.md</t>
  </si>
  <si>
    <t>/Users/ryan/ai-env/projects/chirality-app-test/test/execution-6a/_Estimates/EST_DEL-01-05_2026-02-18_0000/Run_Context.md</t>
  </si>
  <si>
    <t>/Users/ryan/ai-env/projects/chirality-app-test/test/execution-6a/_Estimates/EST_DEL-01-06_2026-02-18_2100/Run_Context.md</t>
  </si>
  <si>
    <t>/Users/ryan/ai-env/projects/chirality-app-test/test/execution-6a/_Estimates/EST_DEL-01-07_2026-02-18_1830/Run_Context.md</t>
  </si>
  <si>
    <t>/Users/ryan/ai-env/projects/chirality-app-test/test/execution-6a/_Estimates/EST_DEL-02-01_2026-02-18_2100/Run_Context.md</t>
  </si>
  <si>
    <t>/Users/ryan/ai-env/projects/chirality-app-test/test/execution-6a/_Estimates/EST_DEL-02-02_2026-02-18_1036/Run_Context.md</t>
  </si>
  <si>
    <t>/Users/ryan/ai-env/projects/chirality-app-test/test/execution-6a/_Estimates/EST_DEL-02-03_2026-02-18_1100/Run_Context.md</t>
  </si>
  <si>
    <t>/Users/ryan/ai-env/projects/chirality-app-test/test/execution-6a/_Estimates/EST_DEL-02-04_2026-02-18_1130/Run_Context.md</t>
  </si>
  <si>
    <t>/Users/ryan/ai-env/projects/chirality-app-test/test/execution-6a/_Estimates/EST_DEL-02-05_2026-02-18_1400/Run_Context.md</t>
  </si>
  <si>
    <t>/Users/ryan/ai-env/projects/chirality-app-test/test/execution-6a/_Estimates/EST_DEL-02-06_2026-02-18_1500/Run_Context.md</t>
  </si>
  <si>
    <t>/Users/ryan/ai-env/projects/chirality-app-test/test/execution-6a/_Estimates/EST_DEL-02-07_2026-02-18_1600/Run_Context.md</t>
  </si>
  <si>
    <t>/Users/ryan/ai-env/projects/chirality-app-test/test/execution-6a/_Estimates/EST_DEL-03-01_2026-02-18_1900/Run_Context.md</t>
  </si>
  <si>
    <t>/Users/ryan/ai-env/projects/chirality-app-test/test/execution-6a/_Estimates/EST_DEL-03-02_2026-02-18_1130/Run_Context.md</t>
  </si>
  <si>
    <t>/Users/ryan/ai-env/projects/chirality-app-test/test/execution-6a/_Estimates/EST_DEL-03-03_2026-02-18_1200/Run_Context.md</t>
  </si>
  <si>
    <t>/Users/ryan/ai-env/projects/chirality-app-test/test/execution-6a/_Estimates/EST_DEL-03-04_2026-02-18_2100/Run_Context.md</t>
  </si>
  <si>
    <t>/Users/ryan/ai-env/projects/chirality-app-test/test/execution-6a/_Estimates/EST_DEL-03-05_2026-02-18_2000/Run_Context.md</t>
  </si>
  <si>
    <t>ALLOWANCE, PARAMETRIC</t>
  </si>
  <si>
    <t>/Users/ryan/ai-env/projects/chirality-app-test/test/execution-6a/_Estimates/EST_DEL-04-01_2026-02-18_1200/Run_Context.md</t>
  </si>
  <si>
    <t>/Users/ryan/ai-env/projects/chirality-app-test/test/execution-6a/_Estimates/EST_DEL-04-02_2026-02-18_1100/Run_Context.md</t>
  </si>
  <si>
    <t>/Users/ryan/ai-env/projects/chirality-app-test/test/execution-6a/_Estimates/EST_DEL-04-03_2026-02-18_1400/Run_Context.md</t>
  </si>
  <si>
    <t>/Users/ryan/ai-env/projects/chirality-app-test/test/execution-6a/_Estimates/EST_DEL-04-04_2026-02-18_1500/Run_Context.md</t>
  </si>
  <si>
    <t>/Users/ryan/ai-env/projects/chirality-app-test/test/execution-6a/_Estimates/EST_DEL-05-01_2026-02-18_1500/Run_Context.md</t>
  </si>
  <si>
    <t>/Users/ryan/ai-env/projects/chirality-app-test/test/execution-6a/_Estimates/EST_DEL-05-02_2026-02-18_1600/Run_Context.md</t>
  </si>
  <si>
    <t>/Users/ryan/ai-env/projects/chirality-app-test/test/execution-6a/_Estimates/EST_DEL-05-03_2026-02-18_1700/Run_Context.md</t>
  </si>
  <si>
    <t>/Users/ryan/ai-env/projects/chirality-app-test/test/execution-6a/_Estimates/EST_DEL-05-04_2026-02-18_1800/Run_Context.md</t>
  </si>
  <si>
    <t>/Users/ryan/ai-env/projects/chirality-app-test/test/execution-6a/_Estimates/EST_DEL-05-05_2026-02-18_1800/Run_Context.md</t>
  </si>
  <si>
    <t>/Users/ryan/ai-env/projects/chirality-app-test/test/execution-6a/_Estimates/EST_DEL-05-06_2026-02-18_1900/Run_Context.md</t>
  </si>
  <si>
    <t>/Users/ryan/ai-env/projects/chirality-app-test/test/execution-6a/_Estimates/EST_DEL-05-07_2026-02-18_2200/Run_Context.md</t>
  </si>
  <si>
    <t>FromDeliverableName</t>
  </si>
  <si>
    <t>DetailPath</t>
  </si>
  <si>
    <t>AssumptionsPath</t>
  </si>
  <si>
    <t>RisksPath</t>
  </si>
  <si>
    <t>SchemaStatus</t>
  </si>
  <si>
    <t>Integrated Design Management &amp; Submission Packages</t>
  </si>
  <si>
    <t>/Users/ryan/ai-env/projects/chirality-app-test/test/execution-6a/_Estimates/EST_DEL-01-01_2026-02-18_1200/Detail.csv</t>
  </si>
  <si>
    <t>/Users/ryan/ai-env/projects/chirality-app-test/test/execution-6a/_Estimates/EST_DEL-01-01_2026-02-18_1200/Assumptions_Log.md</t>
  </si>
  <si>
    <t>NOT_PRESENT</t>
  </si>
  <si>
    <t>Baseline Schedule, Updates &amp; Reporting</t>
  </si>
  <si>
    <t>/Users/ryan/ai-env/projects/chirality-app-test/test/execution-6a/_Estimates/EST_DEL-01-02_2026-02-18_2100/Detail.csv</t>
  </si>
  <si>
    <t>/Users/ryan/ai-env/projects/chirality-app-test/test/execution-6a/_Estimates/EST_DEL-01-02_2026-02-18_2100/Assumptions_Log.md</t>
  </si>
  <si>
    <t>Health &amp; Safety Plan</t>
  </si>
  <si>
    <t>/Users/ryan/ai-env/projects/chirality-app-test/test/execution-6a/_Estimates/EST_DEL-01-03_2026-02-18_2100/Detail.csv</t>
  </si>
  <si>
    <t>/Users/ryan/ai-env/projects/chirality-app-test/test/execution-6a/_Estimates/EST_DEL-01-03_2026-02-18_2100/Assumptions_Log.md</t>
  </si>
  <si>
    <t>Permitting, Inspections &amp; AHJ Coordination</t>
  </si>
  <si>
    <t>/Users/ryan/ai-env/projects/chirality-app-test/test/execution-6a/_Estimates/EST_DEL-01-04_2026-02-18_1400/Detail.csv</t>
  </si>
  <si>
    <t>/Users/ryan/ai-env/projects/chirality-app-test/test/execution-6a/_Estimates/EST_DEL-01-04_2026-02-18_1400/Assumptions_Log.md</t>
  </si>
  <si>
    <t>Meetings, Documentation &amp; Change Control</t>
  </si>
  <si>
    <t>/Users/ryan/ai-env/projects/chirality-app-test/test/execution-6a/_Estimates/EST_DEL-01-05_2026-02-18_0000/Detail.csv</t>
  </si>
  <si>
    <t>/Users/ryan/ai-env/projects/chirality-app-test/test/execution-6a/_Estimates/EST_DEL-01-05_2026-02-18_0000/Assumptions_Log.md</t>
  </si>
  <si>
    <t>Site Supervision, Logistics &amp; Housekeeping</t>
  </si>
  <si>
    <t>/Users/ryan/ai-env/projects/chirality-app-test/test/execution-6a/_Estimates/EST_DEL-01-06_2026-02-18_2100/Detail.csv</t>
  </si>
  <si>
    <t>/Users/ryan/ai-env/projects/chirality-app-test/test/execution-6a/_Estimates/EST_DEL-01-06_2026-02-18_2100/Assumptions_Log.md</t>
  </si>
  <si>
    <t>Commissioning, Closeout &amp; Warranty</t>
  </si>
  <si>
    <t>/Users/ryan/ai-env/projects/chirality-app-test/test/execution-6a/_Estimates/EST_DEL-01-07_2026-02-18_1830/Detail.csv</t>
  </si>
  <si>
    <t>/Users/ryan/ai-env/projects/chirality-app-test/test/execution-6a/_Estimates/EST_DEL-01-07_2026-02-18_1830/Assumptions_Log.md</t>
  </si>
  <si>
    <t>Architectural Program, Layout &amp; Code Planning</t>
  </si>
  <si>
    <t>/Users/ryan/ai-env/projects/chirality-app-test/test/execution-6a/_Estimates/EST_DEL-02-01_2026-02-18_2100/Detail.csv</t>
  </si>
  <si>
    <t>/Users/ryan/ai-env/projects/chirality-app-test/test/execution-6a/_Estimates/EST_DEL-02-01_2026-02-18_2100/Assumptions_Log.md</t>
  </si>
  <si>
    <t>Firehall Apparatus Bays &amp; Support Spaces</t>
  </si>
  <si>
    <t>/Users/ryan/ai-env/projects/chirality-app-test/test/execution-6a/_Estimates/EST_DEL-02-02_2026-02-18_1036/Detail.csv</t>
  </si>
  <si>
    <t>/Users/ryan/ai-env/projects/chirality-app-test/test/execution-6a/_Estimates/EST_DEL-02-02_2026-02-18_1036/Assumptions_Log.md</t>
  </si>
  <si>
    <t>Public Works Shop Bays &amp; Support Spaces</t>
  </si>
  <si>
    <t>/Users/ryan/ai-env/projects/chirality-app-test/test/execution-6a/_Estimates/EST_DEL-02-03_2026-02-18_1100/Detail.csv</t>
  </si>
  <si>
    <t>/Users/ryan/ai-env/projects/chirality-app-test/test/execution-6a/_Estimates/EST_DEL-02-03_2026-02-18_1100/Assumptions_Log.md</t>
  </si>
  <si>
    <t>/Users/ryan/ai-env/projects/chirality-app-test/test/execution-6a/_Estimates/EST_DEL-02-03_2026-02-18_1100/Risk_Register.md</t>
  </si>
  <si>
    <t>Structure, Envelope, Roof &amp; Overhead Doors</t>
  </si>
  <si>
    <t>/Users/ryan/ai-env/projects/chirality-app-test/test/execution-6a/_Estimates/EST_DEL-02-04_2026-02-18_1130/Detail.csv</t>
  </si>
  <si>
    <t>/Users/ryan/ai-env/projects/chirality-app-test/test/execution-6a/_Estimates/EST_DEL-02-04_2026-02-18_1130/Assumptions_Log.md</t>
  </si>
  <si>
    <t>Mechanical, Plumbing, Ventilation &amp; Exhaust</t>
  </si>
  <si>
    <t>/Users/ryan/ai-env/projects/chirality-app-test/test/execution-6a/_Estimates/EST_DEL-02-05_2026-02-18_1400/Detail.csv</t>
  </si>
  <si>
    <t>/Users/ryan/ai-env/projects/chirality-app-test/test/execution-6a/_Estimates/EST_DEL-02-05_2026-02-18_1400/Assumptions_Log.md</t>
  </si>
  <si>
    <t>/Users/ryan/ai-env/projects/chirality-app-test/test/execution-6a/_Estimates/EST_DEL-02-05_2026-02-18_1400/Risk_Register.md</t>
  </si>
  <si>
    <t>Electrical Power, Lighting, IT/Telecom &amp; PA</t>
  </si>
  <si>
    <t>/Users/ryan/ai-env/projects/chirality-app-test/test/execution-6a/_Estimates/EST_DEL-02-06_2026-02-18_1500/Detail.csv</t>
  </si>
  <si>
    <t>/Users/ryan/ai-env/projects/chirality-app-test/test/execution-6a/_Estimates/EST_DEL-02-06_2026-02-18_1500/Assumptions_Log.md</t>
  </si>
  <si>
    <t>Emergency Power &amp; Backup Generator</t>
  </si>
  <si>
    <t>/Users/ryan/ai-env/projects/chirality-app-test/test/execution-6a/_Estimates/EST_DEL-02-07_2026-02-18_1600/Detail.csv</t>
  </si>
  <si>
    <t>/Users/ryan/ai-env/projects/chirality-app-test/test/execution-6a/_Estimates/EST_DEL-02-07_2026-02-18_1600/Assumptions_Log.md</t>
  </si>
  <si>
    <t>/Users/ryan/ai-env/projects/chirality-app-test/test/execution-6a/_Estimates/EST_DEL-02-07_2026-02-18_1600/Risk_Register.md</t>
  </si>
  <si>
    <t>Site Plan, Circulation &amp; Parking Design</t>
  </si>
  <si>
    <t>/Users/ryan/ai-env/projects/chirality-app-test/test/execution-6a/_Estimates/EST_DEL-03-01_2026-02-18_1900/Detail.csv</t>
  </si>
  <si>
    <t>/Users/ryan/ai-env/projects/chirality-app-test/test/execution-6a/_Estimates/EST_DEL-03-01_2026-02-18_1900/Assumptions_Log.md</t>
  </si>
  <si>
    <t>Earthworks, Grading &amp; Drainage</t>
  </si>
  <si>
    <t>/Users/ryan/ai-env/projects/chirality-app-test/test/execution-6a/_Estimates/EST_DEL-03-02_2026-02-18_1130/Detail.csv</t>
  </si>
  <si>
    <t>/Users/ryan/ai-env/projects/chirality-app-test/test/execution-6a/_Estimates/EST_DEL-03-02_2026-02-18_1130/Assumptions_Log.md</t>
  </si>
  <si>
    <t>/Users/ryan/ai-env/projects/chirality-app-test/test/execution-6a/_Estimates/EST_DEL-03-02_2026-02-18_1130/Risk_Register.md</t>
  </si>
  <si>
    <t>Paving, Surfacing &amp; Site Improvements</t>
  </si>
  <si>
    <t>/Users/ryan/ai-env/projects/chirality-app-test/test/execution-6a/_Estimates/EST_DEL-03-03_2026-02-18_1200/Detail.csv</t>
  </si>
  <si>
    <t>/Users/ryan/ai-env/projects/chirality-app-test/test/execution-6a/_Estimates/EST_DEL-03-03_2026-02-18_1200/Assumptions_Log.md</t>
  </si>
  <si>
    <t>Underground Utilities &amp; Service Connections</t>
  </si>
  <si>
    <t>/Users/ryan/ai-env/projects/chirality-app-test/test/execution-6a/_Estimates/EST_DEL-03-04_2026-02-18_2100/Detail.csv</t>
  </si>
  <si>
    <t>/Users/ryan/ai-env/projects/chirality-app-test/test/execution-6a/_Estimates/EST_DEL-03-04_2026-02-18_2100/Assumptions_Log.md</t>
  </si>
  <si>
    <t>/Users/ryan/ai-env/projects/chirality-app-test/test/execution-6a/_Estimates/EST_DEL-03-04_2026-02-18_2100/Risk_Register.md</t>
  </si>
  <si>
    <t>Environmental, Regulatory &amp; Permitting</t>
  </si>
  <si>
    <t>/Users/ryan/ai-env/projects/chirality-app-test/test/execution-6a/_Estimates/EST_DEL-03-05_2026-02-18_2000/Detail.csv</t>
  </si>
  <si>
    <t>/Users/ryan/ai-env/projects/chirality-app-test/test/execution-6a/_Estimates/EST_DEL-03-05_2026-02-18_2000/Assumptions_Log.md</t>
  </si>
  <si>
    <t>/Users/ryan/ai-env/projects/chirality-app-test/test/execution-6a/_Estimates/EST_DEL-03-05_2026-02-18_2000/Risk_Register.md</t>
  </si>
  <si>
    <t>Cold Storage Building Shell (60x100 ft PEMB)</t>
  </si>
  <si>
    <t>/Users/ryan/ai-env/projects/chirality-app-test/test/execution-6a/_Estimates/EST_DEL-04-01_2026-02-18_1200/Detail.csv</t>
  </si>
  <si>
    <t>/Users/ryan/ai-env/projects/chirality-app-test/test/execution-6a/_Estimates/EST_DEL-04-01_2026-02-18_1200/Assumptions_Log.md</t>
  </si>
  <si>
    <t>/Users/ryan/ai-env/projects/chirality-app-test/test/execution-6a/_Estimates/EST_DEL-04-01_2026-02-18_1200/Risk_Register.md</t>
  </si>
  <si>
    <t>Cold Storage Doors, Openings &amp; Hardware</t>
  </si>
  <si>
    <t>/Users/ryan/ai-env/projects/chirality-app-test/test/execution-6a/_Estimates/EST_DEL-04-02_2026-02-18_1100/Detail.csv</t>
  </si>
  <si>
    <t>/Users/ryan/ai-env/projects/chirality-app-test/test/execution-6a/_Estimates/EST_DEL-04-02_2026-02-18_1100/Assumptions_Log.md</t>
  </si>
  <si>
    <t>Cold Storage Foundation &amp; Floor Slab</t>
  </si>
  <si>
    <t>/Users/ryan/ai-env/projects/chirality-app-test/test/execution-6a/_Estimates/EST_DEL-04-03_2026-02-18_1400/Detail.csv</t>
  </si>
  <si>
    <t>/Users/ryan/ai-env/projects/chirality-app-test/test/execution-6a/_Estimates/EST_DEL-04-03_2026-02-18_1400/Assumptions_Log.md</t>
  </si>
  <si>
    <t>Cold Storage Electrical &amp; Ventilation</t>
  </si>
  <si>
    <t>/Users/ryan/ai-env/projects/chirality-app-test/test/execution-6a/_Estimates/EST_DEL-04-04_2026-02-18_1500/Detail.csv</t>
  </si>
  <si>
    <t>/Users/ryan/ai-env/projects/chirality-app-test/test/execution-6a/_Estimates/EST_DEL-04-04_2026-02-18_1500/Assumptions_Log.md</t>
  </si>
  <si>
    <t>/Users/ryan/ai-env/projects/chirality-app-test/test/execution-6a/_Estimates/EST_DEL-04-04_2026-02-18_1500/Risk_Register.md</t>
  </si>
  <si>
    <t>Option: Built-In Vehicle Wash Bay</t>
  </si>
  <si>
    <t>/Users/ryan/ai-env/projects/chirality-app-test/test/execution-6a/_Estimates/EST_DEL-05-01_2026-02-18_1500/Detail.csv</t>
  </si>
  <si>
    <t>/Users/ryan/ai-env/projects/chirality-app-test/test/execution-6a/_Estimates/EST_DEL-05-01_2026-02-18_1500/Assumptions_Log.md</t>
  </si>
  <si>
    <t>/Users/ryan/ai-env/projects/chirality-app-test/test/execution-6a/_Estimates/EST_DEL-05-01_2026-02-18_1500/Risk_Register.md</t>
  </si>
  <si>
    <t>Option: Yard Lighting</t>
  </si>
  <si>
    <t>/Users/ryan/ai-env/projects/chirality-app-test/test/execution-6a/_Estimates/EST_DEL-05-02_2026-02-18_1600/Detail.csv</t>
  </si>
  <si>
    <t>/Users/ryan/ai-env/projects/chirality-app-test/test/execution-6a/_Estimates/EST_DEL-05-02_2026-02-18_1600/Assumptions_Log.md</t>
  </si>
  <si>
    <t>/Users/ryan/ai-env/projects/chirality-app-test/test/execution-6a/_Estimates/EST_DEL-05-02_2026-02-18_1600/Risk_Register.md</t>
  </si>
  <si>
    <t>Option: Access Control System</t>
  </si>
  <si>
    <t>/Users/ryan/ai-env/projects/chirality-app-test/test/execution-6a/_Estimates/EST_DEL-05-03_2026-02-18_1700/Detail.csv</t>
  </si>
  <si>
    <t>/Users/ryan/ai-env/projects/chirality-app-test/test/execution-6a/_Estimates/EST_DEL-05-03_2026-02-18_1700/Assumptions_Log.md</t>
  </si>
  <si>
    <t>/Users/ryan/ai-env/projects/chirality-app-test/test/execution-6a/_Estimates/EST_DEL-05-03_2026-02-18_1700/Risk_Register.md</t>
  </si>
  <si>
    <t>Option: Security Camera System</t>
  </si>
  <si>
    <t>/Users/ryan/ai-env/projects/chirality-app-test/test/execution-6a/_Estimates/EST_DEL-05-04_2026-02-18_1800/Detail.csv</t>
  </si>
  <si>
    <t>/Users/ryan/ai-env/projects/chirality-app-test/test/execution-6a/_Estimates/EST_DEL-05-04_2026-02-18_1800/Assumptions_Log.md</t>
  </si>
  <si>
    <t>/Users/ryan/ai-env/projects/chirality-app-test/test/execution-6a/_Estimates/EST_DEL-05-04_2026-02-18_1800/Risk_Register.md</t>
  </si>
  <si>
    <t>Option: Town Branding Signage</t>
  </si>
  <si>
    <t>/Users/ryan/ai-env/projects/chirality-app-test/test/execution-6a/_Estimates/EST_DEL-05-05_2026-02-18_1800/Detail.csv</t>
  </si>
  <si>
    <t>/Users/ryan/ai-env/projects/chirality-app-test/test/execution-6a/_Estimates/EST_DEL-05-05_2026-02-18_1800/Assumptions_Log.md</t>
  </si>
  <si>
    <t>/Users/ryan/ai-env/projects/chirality-app-test/test/execution-6a/_Estimates/EST_DEL-05-05_2026-02-18_1800/Risk_Register.md</t>
  </si>
  <si>
    <t>2 mutually exclusive scenarios (primary=$12k non-illuminated; alternate=$22k illuminated)</t>
  </si>
  <si>
    <t>Option: Kitchen &amp; Laundry Appliances</t>
  </si>
  <si>
    <t>/Users/ryan/ai-env/projects/chirality-app-test/test/execution-6a/_Estimates/EST_DEL-05-06_2026-02-18_1900/Detail.csv</t>
  </si>
  <si>
    <t>/Users/ryan/ai-env/projects/chirality-app-test/test/execution-6a/_Estimates/EST_DEL-05-06_2026-02-18_1900/Assumptions_Log.md</t>
  </si>
  <si>
    <t>/Users/ryan/ai-env/projects/chirality-app-test/test/execution-6a/_Estimates/EST_DEL-05-06_2026-02-18_1900/Risk_Register.md</t>
  </si>
  <si>
    <t>Option: FF&amp;E Cash Allowance</t>
  </si>
  <si>
    <t>/Users/ryan/ai-env/projects/chirality-app-test/test/execution-6a/_Estimates/EST_DEL-05-07_2026-02-18_2200/Detail.csv</t>
  </si>
  <si>
    <t>/Users/ryan/ai-env/projects/chirality-app-test/test/execution-6a/_Estimates/EST_DEL-05-07_2026-02-18_2200/Assumptions_Log.md</t>
  </si>
  <si>
    <t>AssumptionUID</t>
  </si>
  <si>
    <t>AssumptionID</t>
  </si>
  <si>
    <t>Title</t>
  </si>
  <si>
    <t>Assumption</t>
  </si>
  <si>
    <t>Source</t>
  </si>
  <si>
    <t>SourcePath</t>
  </si>
  <si>
    <t>DEL-01-01::ASM-001</t>
  </si>
  <si>
    <t>ASM-001</t>
  </si>
  <si>
    <t>Project Duration</t>
  </si>
  <si>
    <t>Construction duration is 18 months (NTP to Substantial Performance).</t>
  </si>
  <si>
    <t>Assumed_Project_Parameters.csv, PP-01 (Source=ASSUMPTION, Confidence=MEDIUM).</t>
  </si>
  <si>
    <t>DEL-01-01::ASM-002</t>
  </si>
  <si>
    <t>ASM-002</t>
  </si>
  <si>
    <t>Design Phase Duration</t>
  </si>
  <si>
    <t>Design phase duration is 4 months.</t>
  </si>
  <si>
    <t>Assumed_Project_Parameters.csv, PP-02 (Source=ASSUMPTION, Confidence=MEDIUM).</t>
  </si>
  <si>
    <t>DEL-01-01::ASM-003</t>
  </si>
  <si>
    <t>ASM-003</t>
  </si>
  <si>
    <t>Staff Rates Are Market-Basis Estimates</t>
  </si>
  <si>
    <t>Hourly rates in Professional_Staff_Rates.csv are representative market rates for Alberta, not negotiated/contracted rates.</t>
  </si>
  <si>
    <t>Professional_Staff_Rates.csv, Basis=MARKET for all roles, Confidence=MEDIUM.</t>
  </si>
  <si>
    <t>DEL-01-01::ASM-004</t>
  </si>
  <si>
    <t>ASM-004</t>
  </si>
  <si>
    <t>Level of Effort Is Parametric</t>
  </si>
  <si>
    <t>Hour estimates in Level_of_Effort.csv are parametric (based on typical project effort distribution), not based on detailed task-level work breakdown.</t>
  </si>
  <si>
    <t>Level_of_Effort.csv, Basis=PARAMETRIC for all rows.</t>
  </si>
  <si>
    <t>DEL-01-01::ASM-005</t>
  </si>
  <si>
    <t>ASM-005</t>
  </si>
  <si>
    <t>No Escalation or Inflation Factor</t>
  </si>
  <si>
    <t>Rates are current (no escalation applied for future periods).</t>
  </si>
  <si>
    <t>Professional_Staff_Rates.csv contains no escalation column or date-based adjustment.</t>
  </si>
  <si>
    <t>DEL-01-02::ASM-001</t>
  </si>
  <si>
    <t>Scheduler Hours Based on 18-Month Duration</t>
  </si>
  <si>
    <t>DEL-01-02::ASM-002</t>
  </si>
  <si>
    <t>PM Hours for Schedule Oversight Are Incremental</t>
  </si>
  <si>
    <t>DEL-01-02::ASM-003</t>
  </si>
  <si>
    <t>Staff Rates Are Blended/Market Rates</t>
  </si>
  <si>
    <t>DEL-01-02::ASM-004</t>
  </si>
  <si>
    <t>Software/Tools Cost (UPDATED)</t>
  </si>
  <si>
    <t>Scheduling software/tools cost estimated at $3,500 CAD as a parametric allowance for an 18-month project. Based on typical P6 Cloud or MS Project Online licensing.</t>
  </si>
  <si>
    <t>Parametric estimate; no vendor quote or rate table</t>
  </si>
  <si>
    <t>DEL-01-07::ASM-0107</t>
  </si>
  <si>
    <t>ASM-0107</t>
  </si>
  <si>
    <t>-001 Construction duration of 18 months</t>
  </si>
  <si>
    <t>Assumed_Project_Parameters.csv, row PP-01.</t>
  </si>
  <si>
    <t>-002 Commissioning Lead hours breakdown</t>
  </si>
  <si>
    <t>Level_of_Effort.csv, row DEL-01-07/R-21, Notes column.</t>
  </si>
  <si>
    <t>-003 Warranty period of 12 months</t>
  </si>
  <si>
    <t>Datasheet.md &gt; Deficiency Process Attributes; RFP section 7.6.</t>
  </si>
  <si>
    <t>-004 Document deliverables quantity</t>
  </si>
  <si>
    <t>Datasheet.md &gt; Delivery Format Requirements; RFP section 7.5.</t>
  </si>
  <si>
    <t>-005 Rates are current and un-escalated</t>
  </si>
  <si>
    <t>Professional_Staff_Rates.csv, Basis=MARKET.</t>
  </si>
  <si>
    <t>-006 No disbursements or third-party costs included</t>
  </si>
  <si>
    <t>PRICE_SOURCES contain only labor rates and hours; no disbursement schedule provided.</t>
  </si>
  <si>
    <t>DEL-02-04::ASM-01</t>
  </si>
  <si>
    <t>ASM-01</t>
  </si>
  <si>
    <t>Building Footprint Area</t>
  </si>
  <si>
    <t>Main PSB ground floor area is 18,000 sf (1,672 m2), based on functional program layout with 4 fire bays + 4 PW bays + office/admin + support spaces, with approximate dimensions ~160 ft x 110 ft.</t>
  </si>
  <si>
    <t>PP-05 (Assumed_Project_Parameters.csv)</t>
  </si>
  <si>
    <t>DEL-02-04::ASM-02</t>
  </si>
  <si>
    <t>ASM-02</t>
  </si>
  <si>
    <t>Building Perimeter</t>
  </si>
  <si>
    <t>Building perimeter is approximately 540 lf (165 lm), based on ~160 ft x 110 ft rectangular footprint.</t>
  </si>
  <si>
    <t>Derived from PP-05 dimensional notes</t>
  </si>
  <si>
    <t>DEL-02-04::ASM-03</t>
  </si>
  <si>
    <t>ASM-03</t>
  </si>
  <si>
    <t>Bay Area</t>
  </si>
  <si>
    <t>Total bay area (fire apparatus + PW shop) is approximately 12,000 sf (1,115 m2), based on 8 bays at approximately 1,500 sf each.</t>
  </si>
  <si>
    <t>Derived from PP-11 (4 fire bays) + PP-12 (4 PW bays); bay size estimated from 16x16 ft doors + circulation/work space</t>
  </si>
  <si>
    <t>DEL-02-04::ASM-04</t>
  </si>
  <si>
    <t>ASM-04</t>
  </si>
  <si>
    <t>Office/Shared Area</t>
  </si>
  <si>
    <t>Office and shared space area is approximately 6,000 sf (557 m2), calculated as 18,000 sf total minus 12,000 sf bay area.</t>
  </si>
  <si>
    <t>Derived from PP-05 minus ASM-03</t>
  </si>
  <si>
    <t>DEL-02-04::ASM-05</t>
  </si>
  <si>
    <t>ASM-05</t>
  </si>
  <si>
    <t>Average Wall Height</t>
  </si>
  <si>
    <t>Average exterior wall height is 6.5 m (21.3 ft), accommodating 16 ft minimum clear door height plus structural depth and parapet.</t>
  </si>
  <si>
    <t>Derived from SOW-0215 (16 ft min clear height) plus assumed structural depth and parapet</t>
  </si>
  <si>
    <t>DEL-02-04::ASM-06</t>
  </si>
  <si>
    <t>ASM-06</t>
  </si>
  <si>
    <t>Gross Wall Area</t>
  </si>
  <si>
    <t>Gross exterior wall area is approximately 1,073 m2 (perimeter 165 lm x average height 6.5 m).</t>
  </si>
  <si>
    <t>Derived from ASM-02 x ASM-05</t>
  </si>
  <si>
    <t>DEL-02-04::ASM-07</t>
  </si>
  <si>
    <t>ASM-07</t>
  </si>
  <si>
    <t>Screw Pile Count</t>
  </si>
  <si>
    <t>48 screw piles at approximately 3.5 m spacing around perimeter and at interior column lines.</t>
  </si>
  <si>
    <t>Typical spacing for steel-framed institutional building on screw pile foundations; consistent with SC-14 description for Penhold soils</t>
  </si>
  <si>
    <t>DEL-02-04::ASM-08</t>
  </si>
  <si>
    <t>ASM-08</t>
  </si>
  <si>
    <t>Pile Cap / Grade Beam Concrete Volume</t>
  </si>
  <si>
    <t>Total concrete volume for pile caps and grade beams is 38 m3 (48 caps x ~0.4 m3 average + ~19 m3 grade beams).</t>
  </si>
  <si>
    <t>Typical pile cap dimensions for screw pile foundations; grade beam between perimeter piles</t>
  </si>
  <si>
    <t>DEL-02-04::ASM-09</t>
  </si>
  <si>
    <t>ASM-09</t>
  </si>
  <si>
    <t>Foundation Formwork (Pile Caps + Grade Beams)</t>
  </si>
  <si>
    <t>180 m2 of formwork for pile caps and grade beams combined.</t>
  </si>
  <si>
    <t>Estimated from 48 caps x ~2 m2/cap + grade beam faces</t>
  </si>
  <si>
    <t>DEL-02-04::ASM-10</t>
  </si>
  <si>
    <t>ASM-10</t>
  </si>
  <si>
    <t>Foundation Wall Formwork</t>
  </si>
  <si>
    <t>Perimeter frost wall/stem wall formwork is 165 m2 (165 lm x ~1.0 m height average, both sides).</t>
  </si>
  <si>
    <t>Typical frost wall depth for Penhold, AB climate</t>
  </si>
  <si>
    <t>DEL-02-04::ASM-11</t>
  </si>
  <si>
    <t>ASM-11</t>
  </si>
  <si>
    <t>Reinforcing Steel Quantity (Foundations)</t>
  </si>
  <si>
    <t>4,800 kg of reinforcing steel for foundation system (~100 kg per pile cap average including grade beam rebar).</t>
  </si>
  <si>
    <t>Typical reinforcing ratios for pile caps and grade beams</t>
  </si>
  <si>
    <t>DEL-02-04::ASM-12</t>
  </si>
  <si>
    <t>ASM-12</t>
  </si>
  <si>
    <t>Anchor Bolt Count</t>
  </si>
  <si>
    <t>96 anchor bolts (2 per pile cap x 48 piles).</t>
  </si>
  <si>
    <t>Minimum 2 anchor bolts per column base plate; conservative (some may require 4)</t>
  </si>
  <si>
    <t>DEL-02-04::ASM-13</t>
  </si>
  <si>
    <t>ASM-13</t>
  </si>
  <si>
    <t>Primary Steel Tonnage</t>
  </si>
  <si>
    <t>Primary structural steel (W-shapes and HSS) is approximately 42,000 kg (~25 kg/m2 of building footprint x 1,672 m2).</t>
  </si>
  <si>
    <t>Typical steel intensity for single-storey steel-framed institutional/municipal buildings with clear-span bays. Range is typically 20-30 kg/m2; 25 kg/m2 used as mid-range.</t>
  </si>
  <si>
    <t>DEL-02-04::ASM-14</t>
  </si>
  <si>
    <t>ASM-14</t>
  </si>
  <si>
    <t>Miscellaneous Steel</t>
  </si>
  <si>
    <t>3,500 kg of miscellaneous steel (stairs, handrails, platforms, embed plates, lintels).</t>
  </si>
  <si>
    <t>Typical for building of this size; ~2 kg/m2 of footprint</t>
  </si>
  <si>
    <t>DEL-02-04::ASM-15</t>
  </si>
  <si>
    <t>ASM-15</t>
  </si>
  <si>
    <t>Net Wall Panel Area (Insulated Metal Panels)</t>
  </si>
  <si>
    <t>730 m2 of insulated metal wall panels. Calculated as: gross wall area (1,073 m2) minus masonry base (200 m2) minus glazing/window openings (54 m2) minus overhead door openings (8 doors x ~23.5 m2/door = ~188 m2). Net = 1,073 - 200 - 54 - 188 = ~631 m2. Adjusted upward to 730 m2 to account for panel waste, returns at openings, and soffit areas.</t>
  </si>
  <si>
    <t>Derived from ASM-06 minus deductions; waste/returns factor applied</t>
  </si>
  <si>
    <t>DEL-02-04::ASM-16</t>
  </si>
  <si>
    <t>ASM-16</t>
  </si>
  <si>
    <t>Masonry Base Course Area</t>
  </si>
  <si>
    <t>200 m2 of 200mm CMU base course at approximately 1.2 m height around the full perimeter (165 lm x 1.2 m).</t>
  </si>
  <si>
    <t>Typical for municipal/institutional metal buildings with impact-resistant masonry base</t>
  </si>
  <si>
    <t>DEL-02-04::ASM-17</t>
  </si>
  <si>
    <t>ASM-17</t>
  </si>
  <si>
    <t>Flashing and Trim Length</t>
  </si>
  <si>
    <t>380 lm of metal flashing and trim (corners, drip edges, window heads/sills, parapet cap, base flashing). Approximately 2.3x the building perimeter to account for multiple runs.</t>
  </si>
  <si>
    <t>Typical for insulated metal panel buildings</t>
  </si>
  <si>
    <t>DEL-02-04::ASM-18</t>
  </si>
  <si>
    <t>ASM-18</t>
  </si>
  <si>
    <t>Sealant Length</t>
  </si>
  <si>
    <t>520 lm of perimeter sealant at all openings, joints, and panel transitions. Approximately 3.1x the building perimeter.</t>
  </si>
  <si>
    <t>Typical for insulated metal panel buildings with multiple opening types</t>
  </si>
  <si>
    <t>DEL-02-04::ASM-19</t>
  </si>
  <si>
    <t>ASM-19</t>
  </si>
  <si>
    <t>Glazing Area</t>
  </si>
  <si>
    <t>54 m2 of commercial glazing, approximately 5% of gross wall area.</t>
  </si>
  <si>
    <t>Typical for municipal operations facility; lower glazing ratio than office buildings due to bay/shop functions</t>
  </si>
  <si>
    <t>DEL-02-04::ASM-20</t>
  </si>
  <si>
    <t>ASM-20</t>
  </si>
  <si>
    <t>Storefront Entries</t>
  </si>
  <si>
    <t>2 storefront entries (main public entry + secondary entry).</t>
  </si>
  <si>
    <t>Typical for combined fire hall / public works building with separate public-facing and operational entries</t>
  </si>
  <si>
    <t>DEL-02-04::ASM-21</t>
  </si>
  <si>
    <t>ASM-21</t>
  </si>
  <si>
    <t>Person Door Count (Single)</t>
  </si>
  <si>
    <t>12 single hollow metal person doors for bay access, service exits, and code-required egress.</t>
  </si>
  <si>
    <t>Estimated based on 8 bays requiring egress doors + additional service/exterior doors per code requirements</t>
  </si>
  <si>
    <t>DEL-02-04::ASM-22</t>
  </si>
  <si>
    <t>ASM-22</t>
  </si>
  <si>
    <t>Person Door Count (Double)</t>
  </si>
  <si>
    <t>2 sets of double hollow metal doors at main corridor/bay transitions.</t>
  </si>
  <si>
    <t>Typical for separation between office/admin and bay areas in firehall/PW buildings</t>
  </si>
  <si>
    <t>DEL-02-04::ASM-23</t>
  </si>
  <si>
    <t>ASM-23</t>
  </si>
  <si>
    <t>Sump Rough-In Rate</t>
  </si>
  <si>
    <t>Sump rough-in (blockout in structural slab) is estimated at $750 per location. This covers formwork, blockout framing, and PVC sleeve cast into the 200mm slab. The sump assembly, oil/water separator, and plumbing connection costs are excluded (DEL-02-05 scope per cost ownership rules).</t>
  </si>
  <si>
    <t>Not directly from rate tables. Informed by MS-10 (bay sump assembly at $4,500 complete) with rough-in estimated as approximately 15-20% of complete assembly cost. This is a LOW confidence assumption.</t>
  </si>
  <si>
    <t>DEL-02-07::ASM-001</t>
  </si>
  <si>
    <t>Generator Runtime = 72 Hours</t>
  </si>
  <si>
    <t>DEL-02-07::ASM-002</t>
  </si>
  <si>
    <t>Generator Size = 100-150 kW</t>
  </si>
  <si>
    <t>DEL-02-07::ASM-003</t>
  </si>
  <si>
    <t>Diesel Fuel Type</t>
  </si>
  <si>
    <t>DEL-02-07::ASM-004</t>
  </si>
  <si>
    <t>Single Generator (Not Redundant)</t>
  </si>
  <si>
    <t>DEL-02-07::ASM-005</t>
  </si>
  <si>
    <t>Emergency Distribution Scope</t>
  </si>
  <si>
    <t>DEL-02-07::ASM-006</t>
  </si>
  <si>
    <t>ASM-006</t>
  </si>
  <si>
    <t>Door Backup Mechanism — 8 Doors at $2,000 Each</t>
  </si>
  <si>
    <t>DEL-02-07::ASM-007</t>
  </si>
  <si>
    <t>ASM-007</t>
  </si>
  <si>
    <t>Installation Labour Hours</t>
  </si>
  <si>
    <t>DEL-02-07::ASM-008</t>
  </si>
  <si>
    <t>ASM-008</t>
  </si>
  <si>
    <t>Design Fee Basis</t>
  </si>
  <si>
    <t>DEL-04-02::ASM-01</t>
  </si>
  <si>
    <t>Overhead Door Supply Price Includes Opener</t>
  </si>
  <si>
    <t>DEL-04-02::ASM-02</t>
  </si>
  <si>
    <t>Person Doors are Standard Single-Leaf Commercial</t>
  </si>
  <si>
    <t>DEL-04-02::ASM-03</t>
  </si>
  <si>
    <t>Overhead Door Hardware Supplement</t>
  </si>
  <si>
    <t>DEL-04-02::ASM-04</t>
  </si>
  <si>
    <t>Concrete Apron Dimensions</t>
  </si>
  <si>
    <t>DEL-04-02::ASM-05</t>
  </si>
  <si>
    <t>Perimeter Sealant Lengths</t>
  </si>
  <si>
    <t>DEL-04-02::ASM-06</t>
  </si>
  <si>
    <t>Weatherstrip Allowance Beyond Sealant</t>
  </si>
  <si>
    <t>DEL-04-02::ASM-07</t>
  </si>
  <si>
    <t>Overhead Door Installation Labour</t>
  </si>
  <si>
    <t>DEL-04-02::ASM-08</t>
  </si>
  <si>
    <t>Person Door Installation Labour</t>
  </si>
  <si>
    <t>DEL-04-02::ASM-09</t>
  </si>
  <si>
    <t>Concrete Apron Installation Labour and Blended Rate</t>
  </si>
  <si>
    <t>DEL-04-02::ASM-10</t>
  </si>
  <si>
    <t>Emergency Exit Light Unit Rate</t>
  </si>
  <si>
    <t>DEL-04-02::ASM-11</t>
  </si>
  <si>
    <t>Weatherproof Light Switch Unit Rate</t>
  </si>
  <si>
    <t>RiskUID</t>
  </si>
  <si>
    <t>RiskID</t>
  </si>
  <si>
    <t>Likelihood</t>
  </si>
  <si>
    <t>Impact</t>
  </si>
  <si>
    <t>Likelihood_Level</t>
  </si>
  <si>
    <t>Impact_Level</t>
  </si>
  <si>
    <t>DEL-02-03::RSK-001</t>
  </si>
  <si>
    <t>RSK-001</t>
  </si>
  <si>
    <t>Scope Boundary</t>
  </si>
  <si>
    <t>Locker room and support space fit-up may be claimed by DEL-02-01 (general interior) during aggregation, resulting in double-counting or gaps at the project level.</t>
  </si>
  <si>
    <t>HIGH ($95,060 at risk -- 44.8% of estimate)</t>
  </si>
  <si>
    <t>DEL-02-03::RSK-002</t>
  </si>
  <si>
    <t>RSK-002</t>
  </si>
  <si>
    <t>Area Uncertainty</t>
  </si>
  <si>
    <t>Support space areas are assumed, not confirmed. Actual floor plan may differ significantly, especially for locker room (1,200 sf assumed) which drives the largest CBS category.</t>
  </si>
  <si>
    <t>MEDIUM ($15,000 +/- range on locker room lines)</t>
  </si>
  <si>
    <t>DEL-02-03::RSK-003</t>
  </si>
  <si>
    <t>RSK-003</t>
  </si>
  <si>
    <t>Allowance Accuracy</t>
  </si>
  <si>
    <t>5 ALLOWANCE items ($60,500 total) are based on professional judgment, not competitive pricing. Actual costs could vary +/- 40%.</t>
  </si>
  <si>
    <t>MEDIUM ($24,000 +/- range)</t>
  </si>
  <si>
    <t>DEL-02-03::RSK-004</t>
  </si>
  <si>
    <t>RSK-004</t>
  </si>
  <si>
    <t>Wash Bay Option</t>
  </si>
  <si>
    <t>If Owner selects optional wash bay (SOW-0500), one PW bay is replaced, reducing bay count from 4 to 3. This reduces bay-area-driven costs by ~25% but adds wash bay conversion costs (separate DEL-05-01 estimate).</t>
  </si>
  <si>
    <t>LOW ($13,000 reduction in DEL-02-03)</t>
  </si>
  <si>
    <t>DEL-02-03::RSK-005</t>
  </si>
  <si>
    <t>RSK-005</t>
  </si>
  <si>
    <t>Missing Scope</t>
  </si>
  <si>
    <t>Items that could arguably belong to DEL-02-03 but were excluded per cost ownership rules: overhead doors ($80,000), HVAC/ventilation ($44,000+), electrical ($14/sf on 8,400 sf = ~$118,000), bay sumps ($18,000). Total excluded scope: ~$260,000. If cost ownership rules change, this estimate would increase significantly.</t>
  </si>
  <si>
    <t>HIGH (potential 2x increase)</t>
  </si>
  <si>
    <t>DEL-02-05::RSK-01</t>
  </si>
  <si>
    <t>RSK-01</t>
  </si>
  <si>
    <t>Fire protection may not be required by AHJ, leading to over-estimation of $108,000</t>
  </si>
  <si>
    <t>HIGH ($108k / 10.7% of total)</t>
  </si>
  <si>
    <t>AHJ confirmation during design phase; estimate clearly flags this as conditional with LOW confidence</t>
  </si>
  <si>
    <t>DEL-02-05::RSK-02</t>
  </si>
  <si>
    <t>RSK-02</t>
  </si>
  <si>
    <t>Actual building zone areas differ from assumed 6,400/6,400/5,200 split</t>
  </si>
  <si>
    <t>MEDIUM (~$15-20k per 10% area shift)</t>
  </si>
  <si>
    <t>Validate against architectural layout from DEL-02-01 when available; rerun estimate</t>
  </si>
  <si>
    <t>DEL-02-05::RSK-03</t>
  </si>
  <si>
    <t>RSK-03</t>
  </si>
  <si>
    <t>Compressed air scope boundary (CON-M-01) resolution could add scope to DEL-02-05</t>
  </si>
  <si>
    <t>MEDIUM ($55,000 if breathing air system added per MS-08)</t>
  </si>
  <si>
    <t>Brief excludes compressed air from DEL-02-05; if boundary ruling changes, add MS-08 pricing</t>
  </si>
  <si>
    <t>DEL-02-05::RSK-04</t>
  </si>
  <si>
    <t>RSK-04</t>
  </si>
  <si>
    <t>BAS/controls scope may be broader or narrower than full-building application</t>
  </si>
  <si>
    <t>MEDIUM ($20k-$72k range depending on coverage)</t>
  </si>
  <si>
    <t>Confirm BAS scope during design; adjust L-11 area as needed</t>
  </si>
  <si>
    <t>DEL-02-07::RISK-001</t>
  </si>
  <si>
    <t>RISK-001</t>
  </si>
  <si>
    <t>Generator System Cost Exceeds Allowance</t>
  </si>
  <si>
    <t/>
  </si>
  <si>
    <t>DEL-02-07::RISK-002</t>
  </si>
  <si>
    <t>RISK-002</t>
  </si>
  <si>
    <t>Scope Creep on Essential Loads List</t>
  </si>
  <si>
    <t>DEL-02-07::RISK-003</t>
  </si>
  <si>
    <t>RISK-003</t>
  </si>
  <si>
    <t>Double-Counting with Adjacent Deliverables</t>
  </si>
  <si>
    <t>DEL-02-07::RISK-004</t>
  </si>
  <si>
    <t>RISK-004</t>
  </si>
  <si>
    <t>Seismic Anchorage Requirement</t>
  </si>
  <si>
    <t>DEL-03-04::RSK-001</t>
  </si>
  <si>
    <t>Actual utility run lengths significantly differ from assumed 120 m / 40 m due to actual stub locations and building siting</t>
  </si>
  <si>
    <t>+/-$30,000 to $40,000</t>
  </si>
  <si>
    <t>DEL-03-04::RSK-002</t>
  </si>
  <si>
    <t>DEC-004 tie-in allowance ($35,000) is insufficient to cover actual tie-in execution costs</t>
  </si>
  <si>
    <t>+$15,000 (if actual = $50,000 high end of UU-12 range)</t>
  </si>
  <si>
    <t>DEL-03-04::RSK-003</t>
  </si>
  <si>
    <t>Utility connection fees exceed recommended parametric values</t>
  </si>
  <si>
    <t>+$10,000 to $20,000</t>
  </si>
  <si>
    <t>DEL-03-04::RSK-004</t>
  </si>
  <si>
    <t>Cold Storage Building requires additional utility services (sanitary, telecom) not currently included</t>
  </si>
  <si>
    <t>+$17,000 (sanitary $13K + telecom $4K)</t>
  </si>
  <si>
    <t>DEL-03-04::RSK-005</t>
  </si>
  <si>
    <t>Common trench double-counting (UU-09 cost additive to individual utility rates which include trench)</t>
  </si>
  <si>
    <t>-$10,000 (overstatement)</t>
  </si>
  <si>
    <t>DEL-03-04::RSK-006</t>
  </si>
  <si>
    <t>RSK-006</t>
  </si>
  <si>
    <t>Unknown underground conditions (rock, contamination, high water table) increase trenching costs</t>
  </si>
  <si>
    <t>+$20,000 to $50,000</t>
  </si>
  <si>
    <t>DEL-03-05::RSK-01</t>
  </si>
  <si>
    <t>AEPA conditions of Water Act approval impose additional mitigation requirements (e.g., construction-phase environmental monitoring, post-construction monitoring, additional setback buffers) that require consultant services beyond FP-17 scope.</t>
  </si>
  <si>
    <t>MEDIUM ($10,000-$30,000 additional)</t>
  </si>
  <si>
    <t>Confirm AEPA application status early in design phase; request pre-consultation with AEPA to scope conditions.</t>
  </si>
  <si>
    <t>DEL-03-05::RSK-02</t>
  </si>
  <si>
    <t>2021 Wetland Assessment and Environmental Assessment have lapsed or are deemed insufficient by AEPA, requiring new assessments.</t>
  </si>
  <si>
    <t>LOW-MEDIUM</t>
  </si>
  <si>
    <t>HIGH ($15,000-$30,000+ for new assessments + new ABWRET-A calculation)</t>
  </si>
  <si>
    <t>Confirm with AEPA whether 2021 reports remain accepted as basis for Water Act application.</t>
  </si>
  <si>
    <t>DEL-03-05::RSK-03</t>
  </si>
  <si>
    <t>ABWRET-A wetland replacement fee has been recalculated by AEPA at a different amount than the 2021 figure of $10,769.54.</t>
  </si>
  <si>
    <t>LOW-MEDIUM (delta could be +/- $2,000-$5,000)</t>
  </si>
  <si>
    <t>Confirm current ABWRET-A fee with AEPA or through updated assessment.</t>
  </si>
  <si>
    <t>DEL-03-05::RSK-04</t>
  </si>
  <si>
    <t>Town of Penhold imposes additional flood fringe development conditions requiring additional environmental consultant effort or additional regulatory applications.</t>
  </si>
  <si>
    <t>MEDIUM ($5,000-$15,000)</t>
  </si>
  <si>
    <t>Engage Town planning department early to confirm flood fringe development requirements.</t>
  </si>
  <si>
    <t>DEL-03-05::RSK-05</t>
  </si>
  <si>
    <t>RSK-05</t>
  </si>
  <si>
    <t>Upstream DEL-03-02 outputs reveal that stormwater discharge points or earthwork volumes near the flood fringe require additional environmental assessment or regulatory coordination.</t>
  </si>
  <si>
    <t>Coordinate DEL-03-02 and DEL-03-05 concurrently; flag any flood fringe earthwork volumes for environmental review.</t>
  </si>
  <si>
    <t>DEL-04-01::RISK-001</t>
  </si>
  <si>
    <t>Market</t>
  </si>
  <si>
    <t>PEMB manufacturer pricing may differ from parametric rate ($32/sf) due to steel market volatility, lead times, or regional supply constraints.</t>
  </si>
  <si>
    <t>MEDIUM ($24,000 variance at range endpoints: $168K to $210K)</t>
  </si>
  <si>
    <t>DEL-04-01::RISK-002</t>
  </si>
  <si>
    <t>Scope</t>
  </si>
  <si>
    <t>PB-01 parametric rate may exclude minor shell components (e.g., specialized flashing, snow guards, fall protection anchors) that could be required for code compliance.</t>
  </si>
  <si>
    <t>LOW (estimated $2,000-$8,000 for add-on items)</t>
  </si>
  <si>
    <t>DEL-04-01::RISK-003</t>
  </si>
  <si>
    <t>Design</t>
  </si>
  <si>
    <t>Design engineering allowance ($10,000) may be insufficient if cold storage configuration requires more coordination effort than typical (e.g., complex aesthetic integration, specialized structural analysis).</t>
  </si>
  <si>
    <t>LOW ($5,000-$10,000 additional)</t>
  </si>
  <si>
    <t>DEL-05-02::RSK-001</t>
  </si>
  <si>
    <t>Actual pole quantity significantly differs from assumed 12 (could be 6-20 depending on site layout and spacing requirements)</t>
  </si>
  <si>
    <t>HIGH (total cost scales linearly at $7,500/pole)</t>
  </si>
  <si>
    <t>Provide scaling formula to Owner; present as unit rate so total adjusts transparently</t>
  </si>
  <si>
    <t>DEL-05-02::RSK-002</t>
  </si>
  <si>
    <t>Conduit run distance materially longer or shorter than 100 lm assumed</t>
  </si>
  <si>
    <t>MEDIUM (fixed cost changes at $80/lm; +/- $2,000-$4,000 likely range)</t>
  </si>
  <si>
    <t>Update when site plan from DEL-03-01 is available</t>
  </si>
  <si>
    <t>DEL-05-02::RSK-003</t>
  </si>
  <si>
    <t>Parametric-origin rates ($7,500/pole; $80/lm) may not reflect actual supplier pricing at time of procurement</t>
  </si>
  <si>
    <t>MEDIUM (source range: $6,500-$9,000/pole; $65-$95/lm)</t>
  </si>
  <si>
    <t>Obtain supplier quotes before final submission; consider using PriceMax for conservative estimate</t>
  </si>
  <si>
    <t>DEL-05-02::RSK-004</t>
  </si>
  <si>
    <t>Soil conditions or underground obstructions increase conduit installation cost</t>
  </si>
  <si>
    <t>Geotech investigation and utility locate as part of site development (DEL-03-02) would inform</t>
  </si>
  <si>
    <t>DEL-05-03::RSK-001</t>
  </si>
  <si>
    <t>Actual zone count exceeds 10 once DEL-02-01 floor plan is finalized</t>
  </si>
  <si>
    <t>Each additional zone adds ~$3,200 (range $2,500-$4,000 per OPT-07). 5 extra zones = ~$16,000 increase.</t>
  </si>
  <si>
    <t>Re-run estimate with confirmed zone count once DEL-02-01 is available. Carry OPT-07 per-zone rate for sensitivity analysis.</t>
  </si>
  <si>
    <t>DEL-05-03::RSK-002</t>
  </si>
  <si>
    <t>Parametric pricing significantly understates or overstates actual vendor quote</t>
  </si>
  <si>
    <t>OPT-06 range is $35,000-$55,000 (57% spread). Vendor quote could fall outside this range.</t>
  </si>
  <si>
    <t>Replace with vendor quote as soon as available. Flag to Owner that this is a placeholder estimate.</t>
  </si>
  <si>
    <t>DEL-05-03::RSK-003</t>
  </si>
  <si>
    <t>Scope boundary disputes at interface with DEL-02-06 (electrical/IT)</t>
  </si>
  <si>
    <t>Conduit, low-voltage power, or network costs may be double-counted or missed between deliverables if interface is not clearly coordinated.</t>
  </si>
  <si>
    <t>Enforce cost ownership rules from brief. Coordinate with DEL-02-06 estimate during aggregation.</t>
  </si>
  <si>
    <t>DEL-05-03::RSK-004</t>
  </si>
  <si>
    <t>Owner elects both access control (DEL-05-03) and security cameras (DEL-05-04), requiring integration</t>
  </si>
  <si>
    <t>Integration costs (shared head-end, software, wiring synergies) are not priced. Could be a cost savings or additional cost depending on system selection.</t>
  </si>
  <si>
    <t>If both options are elected, re-scope for integration opportunities per Guidance.md.</t>
  </si>
  <si>
    <t>DEL-05-04::RSK-01</t>
  </si>
  <si>
    <t>Camera count changes significantly once floor plan is finalized (DEL-02-01)</t>
  </si>
  <si>
    <t>MEDIUM -- price range for OPT-08 is $40k-$60k; more cameras could exceed range</t>
  </si>
  <si>
    <t>Re-estimate after DEL-02-01 layout is available; obtain vendor quote with actual camera schedule</t>
  </si>
  <si>
    <t>DEL-05-04::RSK-02</t>
  </si>
  <si>
    <t>Scope boundary between camera system (DEL-05-04) and IT infrastructure (DEL-02-06) is unclear for network equipment</t>
  </si>
  <si>
    <t>MEDIUM -- potential for double-count or cost gap in network switches/PoE</t>
  </si>
  <si>
    <t>Coordinate DEL-05-04 and DEL-02-06 estimates; define explicit scope split for network equipment before final pricing</t>
  </si>
  <si>
    <t>DEL-05-04::RSK-03</t>
  </si>
  <si>
    <t>Parametric pricing significantly under- or over-estimates actual vendor quote</t>
  </si>
  <si>
    <t>HIGH -- all lines are LOW confidence; OPT-08 range spans $20k ($40k-$60k)</t>
  </si>
  <si>
    <t>Replace parametric pricing with competitive vendor quotes as soon as possible</t>
  </si>
  <si>
    <t>DEL-05-04::RSK-04</t>
  </si>
  <si>
    <t>Monitoring service pricing does not reflect actual contract terms (multi-year, escalation, service levels)</t>
  </si>
  <si>
    <t>LOW -- annual cost is $5,400; variance within $3,600-$7,200 range</t>
  </si>
  <si>
    <t>Obtain monitoring service proposals; confirm contract structure (annual vs multi-year)</t>
  </si>
  <si>
    <t>DEL-05-04::RSK-05</t>
  </si>
  <si>
    <t>Integration with access control (DEL-05-03) adds unpriced cost if both options are elected</t>
  </si>
  <si>
    <t>LOW -- integration cost likely modest relative to system total</t>
  </si>
  <si>
    <t>If both options are elected, add integration line item in a future estimate revision</t>
  </si>
  <si>
    <t>Basis of Estimate Collection (Project Level)</t>
  </si>
  <si>
    <t xml:space="preserve"># Basis of Estimate Collection -- Project Level
## Overview
This document collects the basis-of-estimate evidence from all 30 deliverable-level estimate snapshots. The authoritative per-deliverable source is each snapshot's `Run_Context.md`. This collection is a convenience index for project-level review.
**Project:** Town of Penhold -- Public Services Building (PSB)
**Currency:** CAD
**Base Year:** 2024
**BOE Strategy Document:** `_Estimates/BASIS_OF_ESTIMATE.md`
---
## Basis Summary by Package
### PKG-001 -- General Requirements &amp; Delivery Controls
All 7 deliverables use `BASIS_OF_ESTIMATE = RATE_TABLE` with rates from `Professional_Staff_Rates.csv` and hours from `Level_of_Effort.csv`. Permit fees in DEL-01-04 use ALLOWANCE method (authorized by `FALLBACK_POLICY=ALLOW_ALLOWANCE`).
**Update (2130 snapshot):** DEL-01-02, DEL-01-03, and DEL-01-06 were re-estimated with `FALLBACK_POLICY=ALLOW_ALLOWANCE` to resolve previously-TBD line items. DEL-01-02 added 1 ALLOWANCE line (scheduling software $3,500). DEL-01-03 added 2 ALLOWANCE lines (training $4,500 + PPE/signage $3,500). DEL-01-06 added 2 ALLOWANCE lines (temporary facilities $35,000 + site cleaning $25,000). All 5 ALLOWANCE lines are LOW confidence parametric allowances authorized by DEC-EST-005 in the source snapshots.
| DEL | Declared Basis | Actual Methods | Fallback Policy | Run Status |
|---|---|---|---|---|
| DEL-01-01 | RATE_TABLE | RATE_TABLE | STRICT | OK |
| DEL-01-02 | RATE_TABLE | ALLOWANCE, RATE_TABLE | ALLOW_ALLOWANCE | WARNINGS |
| DEL-01-03 | RATE_TABLE | ALLOWANCE, RATE_TABLE | ALLOW_ALLOWANCE | WARNINGS |
| DEL-01-04 | RATE_TABLE | ALLOWANCE, RATE_TABLE | ALLOW_ALLOWANCE | WARNINGS |
| DEL-01-05 | RATE_TABLE | RATE_TABLE | STRICT | WARNINGS |
| DEL-01-06 | RATE_TABLE | ALLOWANCE, RATE_TABLE | ALLOW_ALLOWANCE | WARNINGS |
| DEL-01-07 | RATE_TABLE | RATE_TABLE | STRICT | OK |
**Key price sources:** Professional_Staff_Rates.csv, Level_of_Effort.csv, Assumed_Project_Parameters.csv, Fees_Permits_Insurance.csv
---
### PKG-002 -- Main Public Services Building
6 of 7 deliverables use `BASIS_OF_ESTIMATE = RATE_TABLE`. DEL-02-07 declares `QUOTE` but falls back to `ALLOWANCE` (no vendor quote available).
**Update (2130 snapshot):** DEL-02-01 was re-estimated with the new `Interior_Architectural_Rates.csv` price source (PS-27). All 7 previously-TBD lines (partitions, floor finishes, ceiling, accessibility, wayfinding signage, paint, and interior design fees) are now priced using RATE_TABLE method. DEL-02-01 total increased from $47,200 to $168,329 (+$121,129 / +256%). Fallback policy remains STRICT as all lines use RATE_TABLE.
| DEL | Declared Basis | Actual Methods | Fallback Policy | Run Status |
|---|---|---|---|---|
| DEL-02-01 | RATE_TABLE | RATE_TABLE | STRICT | WARNINGS |
| DEL-02-02 | RATE_TABLE | ALLOWANCE, RATE_TABLE | ALLOW_ALLOWANCE | WARNINGS |
| DEL-02-03 | RATE_TABLE | ALLOWANCE, RATE_TABLE | ALLOW_ALLOWANCE | WARNINGS |
| DEL-02-04 | RATE_TABLE | RATE_TABLE | STRICT | WARNINGS |
| DEL-02-05 | RATE_TABLE | RATE_TABLE | STRICT | OK |
| DEL-02-06 | RATE_TABLE | RATE_TABLE | STRICT | OK |
| DEL-02-07 | QUOTE | ALLOWANCE | ALLOW_ALLOWANCE | WARNINGS |
**Key price sources:** Structural_Concrete_Rates.csv, Building_Envelope_Rates.csv, Interior_Architectural_Rates.csv, Equipment_Pricing.csv, Mechanical_System_Rates.csv, Electrical_System_Rates.csv, Construction_Labour_Rates.csv, Professional_Design_Fees.csv
---
### PKG-003 -- Site &amp; Civil Works
All 5 deliverables use `BASIS_OF_ESTIMATE = RATE_TABLE`. Several include ALLOWANCE fallback lines for fees and tie-in costs.
| DEL | Declared Basis | Actual Methods | Fallback Policy | Run Status |
|---|---|---|---|---|
| DEL-03-01 | RATE_TABLE | RATE_TABLE | STRICT | WARNINGS |
| DEL-03-02 | RATE_TABLE | RATE_TABLE | STRICT | WARNINGS |
| DEL-03-03 | RATE_TABLE | RATE_TABLE | STRICT | WARNINGS |
| DEL-03-04 | RATE_TABLE | ALLOWANCE, RATE_TABLE | ALLOW_ALLOWANCE | WARNINGS |
| DEL-03-05 | RATE_TABLE | ALLOWANCE, RATE_TABLE | ALLOW_ALLOWANCE | WARNINGS |
**Key price sources:** Earthwork_Civil_Rates.csv, Paving_Surfacing_Rates.csv, Underground_Utility_Rates.csv, Fees_Permits_Insurance.csv, Professional_Design_Fees.csv
---
### PKG-004 -- Cold Storage Building
4 deliverables. DEL-04-01 uses PARAMETRIC basis (shell rate x area). Others use RATE_TABLE.
| DEL | Declared Basis | Actual Methods | Fallback Policy | Run Status |
|---|---|---|---|---|
| DEL-04-01 | PARAMETRIC | ALLOWANCE, PARAMETRIC | ALLOW_ALLOWANCE | OK |
| DEL-04-02 | RATE_TABLE | RATE_TABLE | STRICT | OK |
| DEL-04-03 | RATE_TABLE | RATE_TABLE | STRICT | WARNINGS |
| DEL-04-04 | RATE_TABLE | RATE_TABLE | STRICT | OK |
**Key price sources:** Parametric_Building_Rates.csv, Structural_Concrete_Rates.csv, Building_Envelope_Rates.csv, Equipment_Pricing.csv, Construction_Labour_Rates.csv, Electrical_System_Rates.csv, Mechanical_System_Rates.csv
---
### PKG-005 -- Optional Priced Items
Mixed basis across deliverables. Several use QUOTE with ALLOWANCE fallback. DEL-05-03 and DEL-05-04 use PARAMETRIC.
| DEL | Declared Basis | Actual Methods | Fallback Policy | Run Status |
|---|---|---|---|---|
| DEL-05-01 | QUOTE | ALLOWANCE | ALLOW_ALLOWANCE | WARNINGS |
| DEL-05-02 | RATE_TABLE | RATE_TABLE | STRICT | WARNINGS |
| DEL-05-03 | QUOTE | PARAMETRIC | ALLOW_ALLOWANCE | WARNINGS |
| DEL-05-04 | QUOTE | PARAMETRIC | ALLOW_ALLOWANCE | WARNINGS |
| DEL-05-05 | QUOTE | ALLOWANCE | ALLOW_ALLOWANCE | WARNINGS |
| DEL-05-06 | QUOTE | QUOTE | STRICT | WARNINGS |
| DEL-05-07 | ALLOWANCE | ALLOWANCE | STRICT | OK |
**Key price sources:** Optional_Items_Pricing.csv
---
## Method Mix Summary (All 266 Priced Lines)
| Method | Lines | Amount (CAD) | % of Amount |
|---|---|---|---|
| RATE_TABLE | 220 | $6,216,696 | 86.1% |
| ALLOWANCE | 36 | $692,150 | 9.6% |
| PARAMETRIC | 4 | $292,400 | 4.1% |
| QUOTE | 6 | $18,600 | 0.3% |
| TBD (unpriced) | 0 | -- | -- |
---
## Confidence Summary (266 Priced Lines)
| Confidence | Lines | Amount (CAD) |
|---|---|---|
| HIGH | 2 | $30,770 |
| MED / MEDIUM | 216 | $6,118,156 |
| LOW | 48 | $1,070,920 |
The LOW-confidence lines are concentrated in:
- PKG-005 optional items (ALLOWANCE/PARAMETRIC; no vendor quotes)
- DEL-02-07 emergency generator (ALLOWANCE; no vendor quote)
- DEL-03-02 earthwork quantities (assumed cut/fill volumes)
- DEL-03-04 utility connection fees and tie-in allowances
- DEL-01-02 scheduling software allowance ($3,500)
- DEL-01-03 training and PPE allowances ($8,000)
- DEL-01-06 temporary facilities and site cleaning allowances ($60,000)
</t>
  </si>
  <si>
    <t>Packages</t>
  </si>
  <si>
    <t>Deliverables</t>
  </si>
  <si>
    <t>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</si>
</sst>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0.0%"/>
    <numFmt numFmtId="166" formatCode="&quot;$&quot;#,##0;[Red]\(&quot;$&quot;#,##0\)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4"/>
      <color rgb="FF1F4E79"/>
      <name val="Calibri"/>
      <family val="2"/>
    </font>
    <font>
      <b/>
      <sz val="11"/>
      <name val="Calibri"/>
      <family val="2"/>
    </font>
    <font>
      <b/>
      <sz val="20"/>
      <color rgb="FFFFFFFF"/>
      <name val="Calibri"/>
      <family val="2"/>
    </font>
    <font>
      <b/>
      <sz val="11"/>
      <color rgb="FF1F4E79"/>
      <name val="Calibri"/>
      <family val="2"/>
    </font>
    <font>
      <b/>
      <sz val="11"/>
      <color rgb="FF0000FF"/>
      <name val="Calibri"/>
      <family val="2"/>
    </font>
    <font>
      <i/>
      <sz val="11"/>
      <color rgb="FF808080"/>
      <name val="Calibri"/>
      <family val="2"/>
    </font>
    <font>
      <b/>
      <sz val="18"/>
      <color rgb="FF000000"/>
      <name val="Calibri"/>
      <family val="2"/>
    </font>
    <font>
      <sz val="12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F75B5"/>
      </patternFill>
    </fill>
    <fill>
      <patternFill patternType="solid">
        <fgColor rgb="FFD9E1F2"/>
      </patternFill>
    </fill>
    <fill>
      <patternFill patternType="solid">
        <fgColor rgb="FFF2F2F2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9" fillId="0" borderId="0"/>
  </cellStyleXfs>
  <cellXfs count="34">
    <xf numFmtId="0" fontId="0" fillId="0" borderId="0" xfId="0"/>
    <xf numFmtId="0" fontId="5" fillId="0" borderId="0" xfId="0" applyFont="1"/>
    <xf numFmtId="0" fontId="6" fillId="4" borderId="0" xfId="0" applyFont="1" applyFill="1" applyAlignment="1">
      <alignment horizontal="left"/>
    </xf>
    <xf numFmtId="0" fontId="7" fillId="0" borderId="0" xfId="0" applyFont="1"/>
    <xf numFmtId="0" fontId="1" fillId="2" borderId="0" xfId="0" applyFont="1" applyFill="1" applyAlignment="1">
      <alignment horizontal="center"/>
    </xf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0" fontId="1" fillId="2" borderId="0" xfId="0" applyFont="1" applyFill="1"/>
    <xf numFmtId="0" fontId="0" fillId="0" borderId="0" xfId="0" applyAlignment="1">
      <alignment horizontal="center"/>
    </xf>
    <xf numFmtId="0" fontId="9" fillId="0" borderId="0" xfId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horizontal="right" vertical="top"/>
    </xf>
    <xf numFmtId="166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2" fillId="0" borderId="0" xfId="0" applyFont="1"/>
    <xf numFmtId="0" fontId="5" fillId="5" borderId="1" xfId="0" applyFont="1" applyFill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165" fontId="8" fillId="5" borderId="1" xfId="0" applyNumberFormat="1" applyFont="1" applyFill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6" xfId="0" applyBorder="1"/>
    <xf numFmtId="0" fontId="0" fillId="0" borderId="0" xfId="0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3" borderId="0" xfId="0" applyFont="1" applyFill="1" applyAlignment="1">
      <alignment horizontal="left" vertical="center"/>
    </xf>
    <xf numFmtId="164" fontId="8" fillId="5" borderId="1" xfId="0" applyNumberFormat="1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" fontId="8" fillId="5" borderId="1" xfId="0" applyNumberFormat="1" applyFont="1" applyFill="1" applyBorder="1" applyAlignment="1">
      <alignment horizontal="left" vertic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CA"/>
              <a:t>Method Mix (Amount)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/>
          </c:spPr>
          <c:cat>
            <c:strRef>
              <c:f>Dashboard!$J$8:$J$11</c:f>
              <c:strCache>
                <c:ptCount val="4"/>
                <c:pt idx="0">
                  <c:v>RATE_TABLE</c:v>
                </c:pt>
                <c:pt idx="1">
                  <c:v>ALLOWANCE</c:v>
                </c:pt>
                <c:pt idx="2">
                  <c:v>PARAMETRIC</c:v>
                </c:pt>
                <c:pt idx="3">
                  <c:v>QUOTE</c:v>
                </c:pt>
              </c:strCache>
            </c:strRef>
          </c:cat>
          <c:val>
            <c:numRef>
              <c:f>Dashboard!$K$8:$K$11</c:f>
              <c:numCache>
                <c:formatCode>"$"#,##0</c:formatCode>
                <c:ptCount val="4"/>
                <c:pt idx="0">
                  <c:v>6216696</c:v>
                </c:pt>
                <c:pt idx="1">
                  <c:v>692150</c:v>
                </c:pt>
                <c:pt idx="2">
                  <c:v>292400</c:v>
                </c:pt>
                <c:pt idx="3">
                  <c:v>18600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A4-834B-A6EA-3860D20324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CA"/>
              <a:t>Package Subtotals (CAD)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/>
          </c:spPr>
          <c:invertIfNegative val="1"/>
          <c:cat>
            <c:strRef>
              <c:f>Dashboard!$J$22:$J$26</c:f>
              <c:strCache>
                <c:ptCount val="5"/>
                <c:pt idx="0">
                  <c:v>PKG-001</c:v>
                </c:pt>
                <c:pt idx="1">
                  <c:v>PKG-002</c:v>
                </c:pt>
                <c:pt idx="2">
                  <c:v>PKG-003</c:v>
                </c:pt>
                <c:pt idx="3">
                  <c:v>PKG-004</c:v>
                </c:pt>
                <c:pt idx="4">
                  <c:v>PKG-005</c:v>
                </c:pt>
              </c:strCache>
            </c:strRef>
          </c:cat>
          <c:val>
            <c:numRef>
              <c:f>Dashboard!$K$21:$K$26</c:f>
              <c:numCache>
                <c:formatCode>"$"#,##0</c:formatCode>
                <c:ptCount val="6"/>
                <c:pt idx="0" formatCode="General">
                  <c:v>0</c:v>
                </c:pt>
                <c:pt idx="1">
                  <c:v>464450</c:v>
                </c:pt>
                <c:pt idx="2">
                  <c:v>4239304</c:v>
                </c:pt>
                <c:pt idx="3">
                  <c:v>1657342</c:v>
                </c:pt>
                <c:pt idx="4">
                  <c:v>464750</c:v>
                </c:pt>
                <c:pt idx="5">
                  <c:v>394000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59-BA49-9F94-6C5DB7347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CA"/>
              <a:t>Confidence Distribution (CAD)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/>
          </c:spPr>
          <c:invertIfNegative val="1"/>
          <c:cat>
            <c:strRef>
              <c:f>Dashboard!$J$15:$J$18</c:f>
              <c:strCache>
                <c:ptCount val="4"/>
                <c:pt idx="0">
                  <c:v>HIGH</c:v>
                </c:pt>
                <c:pt idx="1">
                  <c:v>MED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Dashboard!$K$14:$K$18</c:f>
              <c:numCache>
                <c:formatCode>"$"#,##0</c:formatCode>
                <c:ptCount val="5"/>
                <c:pt idx="0" formatCode="General">
                  <c:v>0</c:v>
                </c:pt>
                <c:pt idx="1">
                  <c:v>30770</c:v>
                </c:pt>
                <c:pt idx="2">
                  <c:v>6028056</c:v>
                </c:pt>
                <c:pt idx="3">
                  <c:v>18600</c:v>
                </c:pt>
                <c:pt idx="4">
                  <c:v>1142420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BC-6F41-934D-354D65939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23</xdr:row>
      <xdr:rowOff>165100</xdr:rowOff>
    </xdr:from>
    <xdr:to>
      <xdr:col>4</xdr:col>
      <xdr:colOff>139700</xdr:colOff>
      <xdr:row>42</xdr:row>
      <xdr:rowOff>38100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139700</xdr:colOff>
      <xdr:row>1</xdr:row>
      <xdr:rowOff>215900</xdr:rowOff>
    </xdr:from>
    <xdr:to>
      <xdr:col>23</xdr:col>
      <xdr:colOff>165100</xdr:colOff>
      <xdr:row>28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215900</xdr:colOff>
      <xdr:row>24</xdr:row>
      <xdr:rowOff>12700</xdr:rowOff>
    </xdr:from>
    <xdr:to>
      <xdr:col>8</xdr:col>
      <xdr:colOff>88900</xdr:colOff>
      <xdr:row>42</xdr:row>
      <xdr:rowOff>76200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etail" displayName="tblDetail" ref="A1:R267">
  <autoFilter ref="A1:R267" xr:uid="{00000000-0009-0000-0100-000001000000}"/>
  <tableColumns count="18">
    <tableColumn id="1" xr3:uid="{00000000-0010-0000-0000-000001000000}" name="LineUID"/>
    <tableColumn id="2" xr3:uid="{00000000-0010-0000-0000-000002000000}" name="FromDeliverableID"/>
    <tableColumn id="3" xr3:uid="{00000000-0010-0000-0000-000003000000}" name="FromPackageID"/>
    <tableColumn id="4" xr3:uid="{00000000-0010-0000-0000-000004000000}" name="LineID"/>
    <tableColumn id="5" xr3:uid="{00000000-0010-0000-0000-000005000000}" name="CBS"/>
    <tableColumn id="6" xr3:uid="{00000000-0010-0000-0000-000006000000}" name="WBS_PackageID"/>
    <tableColumn id="7" xr3:uid="{00000000-0010-0000-0000-000007000000}" name="WBS_DeliverableID"/>
    <tableColumn id="8" xr3:uid="{00000000-0010-0000-0000-000008000000}" name="Description"/>
    <tableColumn id="9" xr3:uid="{00000000-0010-0000-0000-000009000000}" name="Qty"/>
    <tableColumn id="10" xr3:uid="{00000000-0010-0000-0000-00000A000000}" name="Unit"/>
    <tableColumn id="11" xr3:uid="{00000000-0010-0000-0000-00000B000000}" name="UnitRate"/>
    <tableColumn id="12" xr3:uid="{00000000-0010-0000-0000-00000C000000}" name="Amount"/>
    <tableColumn id="13" xr3:uid="{00000000-0010-0000-0000-00000D000000}" name="Currency"/>
    <tableColumn id="14" xr3:uid="{00000000-0010-0000-0000-00000E000000}" name="Method"/>
    <tableColumn id="15" xr3:uid="{00000000-0010-0000-0000-00000F000000}" name="SourceRef"/>
    <tableColumn id="16" xr3:uid="{00000000-0010-0000-0000-000010000000}" name="Confidence"/>
    <tableColumn id="17" xr3:uid="{00000000-0010-0000-0000-000011000000}" name="Notes"/>
    <tableColumn id="18" xr3:uid="{00000000-0010-0000-0000-000012000000}" name="SourceSnapsho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WBS" displayName="tblWBS" ref="A1:F37">
  <autoFilter ref="A1:F37" xr:uid="{00000000-0009-0000-0100-000002000000}"/>
  <tableColumns count="6">
    <tableColumn id="1" xr3:uid="{00000000-0010-0000-0100-000001000000}" name="WBS_PackageID"/>
    <tableColumn id="2" xr3:uid="{00000000-0010-0000-0100-000002000000}" name="WBS_DeliverableID"/>
    <tableColumn id="3" xr3:uid="{00000000-0010-0000-0100-000003000000}" name="Amount_Total_CAD"/>
    <tableColumn id="4" xr3:uid="{00000000-0010-0000-0100-000004000000}" name="LineCount"/>
    <tableColumn id="5" xr3:uid="{00000000-0010-0000-0100-000005000000}" name="TBD_Count"/>
    <tableColumn id="6" xr3:uid="{00000000-0010-0000-0100-000006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CBS" displayName="tblCBS" ref="A1:E107">
  <autoFilter ref="A1:E107" xr:uid="{00000000-0009-0000-0100-000003000000}"/>
  <tableColumns count="5">
    <tableColumn id="1" xr3:uid="{00000000-0010-0000-0200-000001000000}" name="CBS"/>
    <tableColumn id="2" xr3:uid="{00000000-0010-0000-0200-000002000000}" name="Amount_Total_CAD"/>
    <tableColumn id="3" xr3:uid="{00000000-0010-0000-0200-000003000000}" name="LineCount"/>
    <tableColumn id="4" xr3:uid="{00000000-0010-0000-0200-000004000000}" name="TBD_Count"/>
    <tableColumn id="5" xr3:uid="{00000000-0010-0000-0200-000005000000}" name="Note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Matrix" displayName="tblMatrix" ref="A1:H111">
  <autoFilter ref="A1:H111" xr:uid="{00000000-0009-0000-0100-000004000000}"/>
  <tableColumns count="8">
    <tableColumn id="1" xr3:uid="{00000000-0010-0000-0300-000001000000}" name="WBS_PackageID"/>
    <tableColumn id="2" xr3:uid="{00000000-0010-0000-0300-000002000000}" name="WBS_DeliverableID"/>
    <tableColumn id="3" xr3:uid="{00000000-0010-0000-0300-000003000000}" name="CBS"/>
    <tableColumn id="4" xr3:uid="{00000000-0010-0000-0300-000004000000}" name="Currency"/>
    <tableColumn id="5" xr3:uid="{00000000-0010-0000-0300-000005000000}" name="Amount_Total"/>
    <tableColumn id="6" xr3:uid="{00000000-0010-0000-0300-000006000000}" name="LineCount"/>
    <tableColumn id="7" xr3:uid="{00000000-0010-0000-0300-000007000000}" name="ProvenanceCompletenessPct"/>
    <tableColumn id="8" xr3:uid="{00000000-0010-0000-0300-000008000000}" name="Notes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BOE" displayName="tblBOE" ref="A1:H31">
  <autoFilter ref="A1:H31" xr:uid="{00000000-0009-0000-0100-000005000000}"/>
  <tableColumns count="8">
    <tableColumn id="1" xr3:uid="{00000000-0010-0000-0400-000001000000}" name="FromDeliverableID"/>
    <tableColumn id="2" xr3:uid="{00000000-0010-0000-0400-000002000000}" name="FromPackageID"/>
    <tableColumn id="3" xr3:uid="{00000000-0010-0000-0400-000003000000}" name="DeclaredBasis"/>
    <tableColumn id="4" xr3:uid="{00000000-0010-0000-0400-000004000000}" name="FallbackPolicy"/>
    <tableColumn id="5" xr3:uid="{00000000-0010-0000-0400-000005000000}" name="AllowMixed"/>
    <tableColumn id="6" xr3:uid="{00000000-0010-0000-0400-000006000000}" name="ActualMethodsUsed"/>
    <tableColumn id="7" xr3:uid="{00000000-0010-0000-0400-000007000000}" name="RunStatus"/>
    <tableColumn id="8" xr3:uid="{00000000-0010-0000-0400-000008000000}" name="RunContextPath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Coverage" displayName="tblCoverage" ref="A1:I31">
  <autoFilter ref="A1:I31" xr:uid="{00000000-0009-0000-0100-000006000000}"/>
  <tableColumns count="9">
    <tableColumn id="1" xr3:uid="{00000000-0010-0000-0500-000001000000}" name="FromPackageID"/>
    <tableColumn id="2" xr3:uid="{00000000-0010-0000-0500-000002000000}" name="FromDeliverableID"/>
    <tableColumn id="3" xr3:uid="{00000000-0010-0000-0500-000003000000}" name="FromDeliverableName"/>
    <tableColumn id="4" xr3:uid="{00000000-0010-0000-0500-000004000000}" name="DetailPath"/>
    <tableColumn id="5" xr3:uid="{00000000-0010-0000-0500-000005000000}" name="RunContextPath"/>
    <tableColumn id="6" xr3:uid="{00000000-0010-0000-0500-000006000000}" name="AssumptionsPath"/>
    <tableColumn id="7" xr3:uid="{00000000-0010-0000-0500-000007000000}" name="RisksPath"/>
    <tableColumn id="8" xr3:uid="{00000000-0010-0000-0500-000008000000}" name="SchemaStatus"/>
    <tableColumn id="9" xr3:uid="{00000000-0010-0000-0500-000009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Assumptions" displayName="tblAssumptions" ref="A1:G58">
  <autoFilter ref="A1:G58" xr:uid="{00000000-0009-0000-0100-000007000000}"/>
  <tableColumns count="7">
    <tableColumn id="1" xr3:uid="{00000000-0010-0000-0600-000001000000}" name="AssumptionUID"/>
    <tableColumn id="2" xr3:uid="{00000000-0010-0000-0600-000002000000}" name="FromDeliverableID"/>
    <tableColumn id="3" xr3:uid="{00000000-0010-0000-0600-000003000000}" name="AssumptionID"/>
    <tableColumn id="4" xr3:uid="{00000000-0010-0000-0600-000004000000}" name="Title"/>
    <tableColumn id="5" xr3:uid="{00000000-0010-0000-0600-000005000000}" name="Assumption"/>
    <tableColumn id="6" xr3:uid="{00000000-0010-0000-0600-000006000000}" name="Source"/>
    <tableColumn id="7" xr3:uid="{00000000-0010-0000-0600-000007000000}" name="SourcePath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isks" displayName="tblRisks" ref="A1:J41">
  <autoFilter ref="A1:J41" xr:uid="{00000000-0009-0000-0100-000008000000}"/>
  <tableColumns count="10">
    <tableColumn id="1" xr3:uid="{00000000-0010-0000-0700-000001000000}" name="RiskUID"/>
    <tableColumn id="2" xr3:uid="{00000000-0010-0000-0700-000002000000}" name="FromDeliverableID"/>
    <tableColumn id="3" xr3:uid="{00000000-0010-0000-0700-000003000000}" name="RiskID"/>
    <tableColumn id="4" xr3:uid="{00000000-0010-0000-0700-000004000000}" name="Title"/>
    <tableColumn id="5" xr3:uid="{00000000-0010-0000-0700-000005000000}" name="Description"/>
    <tableColumn id="6" xr3:uid="{00000000-0010-0000-0700-000006000000}" name="Likelihood"/>
    <tableColumn id="7" xr3:uid="{00000000-0010-0000-0700-000007000000}" name="Impact"/>
    <tableColumn id="8" xr3:uid="{00000000-0010-0000-0700-000008000000}" name="SourcePath"/>
    <tableColumn id="9" xr3:uid="{00000000-0010-0000-0700-000009000000}" name="Likelihood_Level"/>
    <tableColumn id="10" xr3:uid="{00000000-0010-0000-0700-00000A000000}" name="Impact_Lev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M53"/>
  <sheetViews>
    <sheetView showGridLines="0" tabSelected="1" workbookViewId="0"/>
  </sheetViews>
  <sheetFormatPr baseColWidth="10" defaultColWidth="8.83203125" defaultRowHeight="15" x14ac:dyDescent="0.2"/>
  <cols>
    <col min="1" max="1" width="3" customWidth="1"/>
    <col min="2" max="2" width="18" customWidth="1"/>
    <col min="3" max="3" width="16" customWidth="1"/>
    <col min="4" max="4" width="18" customWidth="1"/>
    <col min="5" max="5" width="16" customWidth="1"/>
    <col min="6" max="6" width="18" customWidth="1"/>
    <col min="7" max="7" width="16" customWidth="1"/>
    <col min="8" max="8" width="2" customWidth="1"/>
    <col min="9" max="9" width="3" customWidth="1"/>
    <col min="10" max="13" width="18" customWidth="1"/>
    <col min="14" max="14" width="2" customWidth="1"/>
    <col min="15" max="15" width="18" customWidth="1"/>
  </cols>
  <sheetData>
    <row r="2" spans="2:11" ht="32" customHeight="1" x14ac:dyDescent="0.2">
      <c r="B2" s="32" t="s">
        <v>0</v>
      </c>
      <c r="C2" s="25"/>
      <c r="D2" s="25"/>
      <c r="E2" s="25"/>
      <c r="F2" s="25"/>
      <c r="G2" s="25"/>
      <c r="H2" s="25"/>
    </row>
    <row r="3" spans="2:11" x14ac:dyDescent="0.2">
      <c r="B3" s="1" t="s">
        <v>1</v>
      </c>
      <c r="C3" s="25" t="s">
        <v>2</v>
      </c>
      <c r="D3" s="25"/>
      <c r="E3" s="25"/>
      <c r="F3" s="25"/>
      <c r="G3" s="25"/>
      <c r="H3" s="25"/>
    </row>
    <row r="4" spans="2:11" x14ac:dyDescent="0.2">
      <c r="B4" s="1" t="s">
        <v>3</v>
      </c>
      <c r="C4" s="25" t="s">
        <v>4</v>
      </c>
      <c r="D4" s="25"/>
      <c r="E4" s="1" t="s">
        <v>5</v>
      </c>
      <c r="F4" s="25" t="s">
        <v>6</v>
      </c>
      <c r="G4" s="25"/>
      <c r="H4" s="25"/>
    </row>
    <row r="6" spans="2:11" ht="20" customHeight="1" x14ac:dyDescent="0.2">
      <c r="B6" s="30" t="s">
        <v>7</v>
      </c>
      <c r="C6" s="25"/>
      <c r="D6" s="25"/>
      <c r="E6" s="25"/>
      <c r="F6" s="25"/>
      <c r="G6" s="25"/>
      <c r="H6" s="25"/>
      <c r="J6" s="1" t="s">
        <v>8</v>
      </c>
    </row>
    <row r="7" spans="2:11" x14ac:dyDescent="0.2">
      <c r="B7" s="1" t="s">
        <v>9</v>
      </c>
      <c r="C7" s="2" t="s">
        <v>10</v>
      </c>
      <c r="E7" s="1" t="s">
        <v>11</v>
      </c>
      <c r="F7" s="2" t="s">
        <v>10</v>
      </c>
      <c r="H7" s="3" t="str">
        <f>IF(C7="All","*",C7)</f>
        <v>*</v>
      </c>
      <c r="J7" s="4" t="s">
        <v>11</v>
      </c>
      <c r="K7" s="4" t="s">
        <v>12</v>
      </c>
    </row>
    <row r="8" spans="2:11" x14ac:dyDescent="0.2">
      <c r="B8" s="1" t="s">
        <v>13</v>
      </c>
      <c r="C8" s="2" t="s">
        <v>10</v>
      </c>
      <c r="E8" s="1" t="s">
        <v>14</v>
      </c>
      <c r="F8" s="2" t="s">
        <v>10</v>
      </c>
      <c r="H8" s="3" t="str">
        <f>IF(C8="All","*",C8)</f>
        <v>*</v>
      </c>
      <c r="J8" t="s">
        <v>15</v>
      </c>
      <c r="K8" s="5">
        <f>SUMIFS(Detail_Lines!$L$2:$L$267,Detail_Lines!$C$2:$C$267,$H$7,Detail_Lines!$B$2:$B$267,$H$8,Detail_Lines!$P$2:$P$267,$H$10,Detail_Lines!$N$2:$N$267,J8)</f>
        <v>6216696</v>
      </c>
    </row>
    <row r="9" spans="2:11" x14ac:dyDescent="0.2">
      <c r="H9" s="3" t="str">
        <f>IF(F7="All","*",F7)</f>
        <v>*</v>
      </c>
      <c r="J9" t="s">
        <v>16</v>
      </c>
      <c r="K9" s="5">
        <f>SUMIFS(Detail_Lines!$L$2:$L$267,Detail_Lines!$C$2:$C$267,$H$7,Detail_Lines!$B$2:$B$267,$H$8,Detail_Lines!$P$2:$P$267,$H$10,Detail_Lines!$N$2:$N$267,J9)</f>
        <v>692150</v>
      </c>
    </row>
    <row r="10" spans="2:11" x14ac:dyDescent="0.2">
      <c r="H10" s="3" t="str">
        <f>IF(F8="All","*",F8)</f>
        <v>*</v>
      </c>
      <c r="J10" t="s">
        <v>17</v>
      </c>
      <c r="K10" s="5">
        <f>SUMIFS(Detail_Lines!$L$2:$L$267,Detail_Lines!$C$2:$C$267,$H$7,Detail_Lines!$B$2:$B$267,$H$8,Detail_Lines!$P$2:$P$267,$H$10,Detail_Lines!$N$2:$N$267,J10)</f>
        <v>292400</v>
      </c>
    </row>
    <row r="11" spans="2:11" ht="18" customHeight="1" x14ac:dyDescent="0.2">
      <c r="B11" s="18" t="s">
        <v>18</v>
      </c>
      <c r="C11" s="19"/>
      <c r="D11" s="20"/>
      <c r="E11" s="18" t="s">
        <v>19</v>
      </c>
      <c r="F11" s="19"/>
      <c r="G11" s="19"/>
      <c r="H11" s="20"/>
      <c r="J11" t="s">
        <v>20</v>
      </c>
      <c r="K11" s="5">
        <f>SUMIFS(Detail_Lines!$L$2:$L$267,Detail_Lines!$C$2:$C$267,$H$7,Detail_Lines!$B$2:$B$267,$H$8,Detail_Lines!$P$2:$P$267,$H$10,Detail_Lines!$N$2:$N$267,J11)</f>
        <v>18600</v>
      </c>
    </row>
    <row r="12" spans="2:11" ht="22" customHeight="1" x14ac:dyDescent="0.2">
      <c r="B12" s="31">
        <f>SUMIFS(Summary_WBS!$C$2:$C$37,Summary_WBS!$B$2:$B$37,"&lt;&gt;SUBTOTAL")</f>
        <v>7219846</v>
      </c>
      <c r="C12" s="22"/>
      <c r="D12" s="23"/>
      <c r="E12" s="31">
        <f>SUMIFS(Detail_Lines!$L$2:$L$267,Detail_Lines!$C$2:$C$267,$H$7,Detail_Lines!$B$2:$B$267,$H$8,Detail_Lines!$N$2:$N$267,$H$9,Detail_Lines!$P$2:$P$267,$H$10)</f>
        <v>7219846</v>
      </c>
      <c r="F12" s="22"/>
      <c r="G12" s="22"/>
      <c r="H12" s="23"/>
      <c r="J12" s="6" t="s">
        <v>21</v>
      </c>
      <c r="K12" s="7">
        <f>SUM(K8:K11)</f>
        <v>7219846</v>
      </c>
    </row>
    <row r="13" spans="2:11" ht="22" customHeight="1" x14ac:dyDescent="0.2">
      <c r="B13" s="24"/>
      <c r="C13" s="25"/>
      <c r="D13" s="26"/>
      <c r="E13" s="24"/>
      <c r="F13" s="25"/>
      <c r="G13" s="25"/>
      <c r="H13" s="26"/>
    </row>
    <row r="14" spans="2:11" ht="22" customHeight="1" x14ac:dyDescent="0.2">
      <c r="B14" s="27"/>
      <c r="C14" s="28"/>
      <c r="D14" s="29"/>
      <c r="E14" s="27"/>
      <c r="F14" s="28"/>
      <c r="G14" s="28"/>
      <c r="H14" s="29"/>
      <c r="J14" s="4" t="s">
        <v>14</v>
      </c>
      <c r="K14" s="4" t="s">
        <v>12</v>
      </c>
    </row>
    <row r="15" spans="2:11" x14ac:dyDescent="0.2">
      <c r="J15" t="s">
        <v>22</v>
      </c>
      <c r="K15" s="5">
        <f>SUMIFS(Detail_Lines!$L$2:$L$267,Detail_Lines!$C$2:$C$267,$H$7,Detail_Lines!$B$2:$B$267,$H$8,Detail_Lines!$N$2:$N$267,$H$9,Detail_Lines!$P$2:$P$267,J15)</f>
        <v>30770</v>
      </c>
    </row>
    <row r="16" spans="2:11" ht="18" customHeight="1" x14ac:dyDescent="0.2">
      <c r="B16" s="18" t="s">
        <v>23</v>
      </c>
      <c r="C16" s="19"/>
      <c r="D16" s="20"/>
      <c r="E16" s="18" t="s">
        <v>24</v>
      </c>
      <c r="F16" s="19"/>
      <c r="G16" s="19"/>
      <c r="H16" s="20"/>
      <c r="J16" t="s">
        <v>25</v>
      </c>
      <c r="K16" s="5">
        <f>SUMIFS(Detail_Lines!$L$2:$L$267,Detail_Lines!$C$2:$C$267,$H$7,Detail_Lines!$B$2:$B$267,$H$8,Detail_Lines!$N$2:$N$267,$H$9,Detail_Lines!$P$2:$P$267,J16)</f>
        <v>6028056</v>
      </c>
    </row>
    <row r="17" spans="2:13" ht="22" customHeight="1" x14ac:dyDescent="0.2">
      <c r="B17" s="21">
        <f>IFERROR(SUMIFS(Detail_Lines!$L$2:$L$267,Detail_Lines!$C$2:$C$267,$H$7,Detail_Lines!$B$2:$B$267,$H$8,Detail_Lines!$N$2:$N$267,"ALLOWANCE",Detail_Lines!$P$2:$P$267,$H$10)/E12,0)</f>
        <v>9.5867695792957355E-2</v>
      </c>
      <c r="C17" s="22"/>
      <c r="D17" s="23"/>
      <c r="E17" s="21">
        <f>IFERROR(SUMIFS(Detail_Lines!$L$2:$L$267,Detail_Lines!$C$2:$C$267,$H$7,Detail_Lines!$B$2:$B$267,$H$8,Detail_Lines!$P$2:$P$267,"LOW",Detail_Lines!$N$2:$N$267,$H$9)/E12,0)</f>
        <v>0.15823329195664285</v>
      </c>
      <c r="F17" s="22"/>
      <c r="G17" s="22"/>
      <c r="H17" s="23"/>
      <c r="J17" t="s">
        <v>26</v>
      </c>
      <c r="K17" s="5">
        <f>SUMIFS(Detail_Lines!$L$2:$L$267,Detail_Lines!$C$2:$C$267,$H$7,Detail_Lines!$B$2:$B$267,$H$8,Detail_Lines!$N$2:$N$267,$H$9,Detail_Lines!$P$2:$P$267,J17)</f>
        <v>18600</v>
      </c>
    </row>
    <row r="18" spans="2:13" ht="22" customHeight="1" x14ac:dyDescent="0.2">
      <c r="B18" s="24"/>
      <c r="C18" s="25"/>
      <c r="D18" s="26"/>
      <c r="E18" s="24"/>
      <c r="F18" s="25"/>
      <c r="G18" s="25"/>
      <c r="H18" s="26"/>
      <c r="J18" t="s">
        <v>27</v>
      </c>
      <c r="K18" s="5">
        <f>SUMIFS(Detail_Lines!$L$2:$L$267,Detail_Lines!$C$2:$C$267,$H$7,Detail_Lines!$B$2:$B$267,$H$8,Detail_Lines!$N$2:$N$267,$H$9,Detail_Lines!$P$2:$P$267,J18)</f>
        <v>1142420</v>
      </c>
    </row>
    <row r="19" spans="2:13" ht="22" customHeight="1" x14ac:dyDescent="0.2">
      <c r="B19" s="27"/>
      <c r="C19" s="28"/>
      <c r="D19" s="29"/>
      <c r="E19" s="27"/>
      <c r="F19" s="28"/>
      <c r="G19" s="28"/>
      <c r="H19" s="29"/>
      <c r="J19" s="6" t="s">
        <v>21</v>
      </c>
      <c r="K19" s="7">
        <f>SUM(K15:K18)</f>
        <v>7219846</v>
      </c>
    </row>
    <row r="21" spans="2:13" ht="18" customHeight="1" x14ac:dyDescent="0.2">
      <c r="B21" s="18" t="s">
        <v>28</v>
      </c>
      <c r="C21" s="19"/>
      <c r="D21" s="20"/>
      <c r="E21" s="18" t="s">
        <v>29</v>
      </c>
      <c r="F21" s="19"/>
      <c r="G21" s="19"/>
      <c r="H21" s="20"/>
      <c r="J21" s="4" t="s">
        <v>9</v>
      </c>
      <c r="K21" s="4" t="s">
        <v>30</v>
      </c>
    </row>
    <row r="22" spans="2:13" ht="22" customHeight="1" x14ac:dyDescent="0.2">
      <c r="B22" s="33">
        <f>COUNTIFS(Detail_Lines!$C$2:$C$267,$H$7,Detail_Lines!$B$2:$B$267,$H$8,Detail_Lines!$N$2:$N$267,$H$9,Detail_Lines!$P$2:$P$267,$H$10)</f>
        <v>266</v>
      </c>
      <c r="C22" s="22"/>
      <c r="D22" s="23"/>
      <c r="E22" s="33">
        <f>SUMIFS(Summary_WBS!$D$2:$D$37,Summary_WBS!$A$2:$A$37,$H$7,Summary_WBS!$B$2:$B$37,$H$8,Summary_WBS!$B$2:$B$37,"&lt;&gt;SUBTOTAL")</f>
        <v>266</v>
      </c>
      <c r="F22" s="22"/>
      <c r="G22" s="22"/>
      <c r="H22" s="23"/>
      <c r="J22" t="s">
        <v>31</v>
      </c>
      <c r="K22" s="5">
        <f>SUMIFS(Summary_WBS!$C$2:$C$37,Summary_WBS!$A$2:$A$37,J22,Summary_WBS!$B$2:$B$37,"SUBTOTAL")</f>
        <v>464450</v>
      </c>
    </row>
    <row r="23" spans="2:13" ht="22" customHeight="1" x14ac:dyDescent="0.2">
      <c r="B23" s="27"/>
      <c r="C23" s="28"/>
      <c r="D23" s="29"/>
      <c r="E23" s="27"/>
      <c r="F23" s="28"/>
      <c r="G23" s="28"/>
      <c r="H23" s="29"/>
      <c r="J23" t="s">
        <v>32</v>
      </c>
      <c r="K23" s="5">
        <f>SUMIFS(Summary_WBS!$C$2:$C$37,Summary_WBS!$A$2:$A$37,J23,Summary_WBS!$B$2:$B$37,"SUBTOTAL")</f>
        <v>4239304</v>
      </c>
    </row>
    <row r="24" spans="2:13" x14ac:dyDescent="0.2">
      <c r="J24" t="s">
        <v>33</v>
      </c>
      <c r="K24" s="5">
        <f>SUMIFS(Summary_WBS!$C$2:$C$37,Summary_WBS!$A$2:$A$37,J24,Summary_WBS!$B$2:$B$37,"SUBTOTAL")</f>
        <v>1657342</v>
      </c>
    </row>
    <row r="25" spans="2:13" x14ac:dyDescent="0.2">
      <c r="J25" t="s">
        <v>34</v>
      </c>
      <c r="K25" s="5">
        <f>SUMIFS(Summary_WBS!$C$2:$C$37,Summary_WBS!$A$2:$A$37,J25,Summary_WBS!$B$2:$B$37,"SUBTOTAL")</f>
        <v>464750</v>
      </c>
    </row>
    <row r="26" spans="2:13" x14ac:dyDescent="0.2">
      <c r="J26" t="s">
        <v>35</v>
      </c>
      <c r="K26" s="5">
        <f>SUMIFS(Summary_WBS!$C$2:$C$37,Summary_WBS!$A$2:$A$37,J26,Summary_WBS!$B$2:$B$37,"SUBTOTAL")</f>
        <v>394000</v>
      </c>
    </row>
    <row r="27" spans="2:13" x14ac:dyDescent="0.2">
      <c r="J27" s="6" t="s">
        <v>21</v>
      </c>
      <c r="K27" s="7">
        <f>SUM(K22:K26)</f>
        <v>7219846</v>
      </c>
    </row>
    <row r="29" spans="2:13" x14ac:dyDescent="0.2">
      <c r="J29" s="1" t="s">
        <v>36</v>
      </c>
    </row>
    <row r="30" spans="2:13" x14ac:dyDescent="0.2">
      <c r="J30" s="8" t="s">
        <v>37</v>
      </c>
      <c r="K30" s="4" t="s">
        <v>27</v>
      </c>
      <c r="L30" s="4" t="s">
        <v>26</v>
      </c>
      <c r="M30" s="4" t="s">
        <v>22</v>
      </c>
    </row>
    <row r="31" spans="2:13" x14ac:dyDescent="0.2">
      <c r="J31" s="4" t="s">
        <v>27</v>
      </c>
      <c r="K31" s="9">
        <f>COUNTIFS(Risks!$B$2:$B$41,$H$8,Risks!$I$2:$I$41,J31,Risks!$J$2:$J$41,K30)</f>
        <v>8</v>
      </c>
      <c r="L31" s="9">
        <f>COUNTIFS(Risks!$B$2:$B$41,$H$8,Risks!$I$2:$I$41,J31,Risks!$J$2:$J$41,L30)</f>
        <v>0</v>
      </c>
      <c r="M31" s="9">
        <f>COUNTIFS(Risks!$B$2:$B$41,$H$8,Risks!$I$2:$I$41,J31,Risks!$J$2:$J$41,M30)</f>
        <v>1</v>
      </c>
    </row>
    <row r="32" spans="2:13" x14ac:dyDescent="0.2">
      <c r="J32" s="4" t="s">
        <v>26</v>
      </c>
      <c r="K32" s="9">
        <f>COUNTIFS(Risks!$B$2:$B$41,$H$8,Risks!$I$2:$I$41,J32,Risks!$J$2:$J$41,K30)</f>
        <v>0</v>
      </c>
      <c r="L32" s="9">
        <f>COUNTIFS(Risks!$B$2:$B$41,$H$8,Risks!$I$2:$I$41,J32,Risks!$J$2:$J$41,L30)</f>
        <v>13</v>
      </c>
      <c r="M32" s="9">
        <f>COUNTIFS(Risks!$B$2:$B$41,$H$8,Risks!$I$2:$I$41,J32,Risks!$J$2:$J$41,M30)</f>
        <v>1</v>
      </c>
    </row>
    <row r="33" spans="2:13" x14ac:dyDescent="0.2">
      <c r="J33" s="4" t="s">
        <v>22</v>
      </c>
      <c r="K33" s="9">
        <f>COUNTIFS(Risks!$B$2:$B$41,$H$8,Risks!$I$2:$I$41,J33,Risks!$J$2:$J$41,K30)</f>
        <v>0</v>
      </c>
      <c r="L33" s="9">
        <f>COUNTIFS(Risks!$B$2:$B$41,$H$8,Risks!$I$2:$I$41,J33,Risks!$J$2:$J$41,L30)</f>
        <v>1</v>
      </c>
      <c r="M33" s="9">
        <f>COUNTIFS(Risks!$B$2:$B$41,$H$8,Risks!$I$2:$I$41,J33,Risks!$J$2:$J$41,M30)</f>
        <v>6</v>
      </c>
    </row>
    <row r="44" spans="2:13" x14ac:dyDescent="0.2">
      <c r="B44" s="1" t="s">
        <v>38</v>
      </c>
    </row>
    <row r="45" spans="2:13" ht="16" x14ac:dyDescent="0.2">
      <c r="B45" s="10" t="s">
        <v>39</v>
      </c>
    </row>
    <row r="46" spans="2:13" ht="16" x14ac:dyDescent="0.2">
      <c r="B46" s="10" t="s">
        <v>40</v>
      </c>
    </row>
    <row r="47" spans="2:13" ht="16" x14ac:dyDescent="0.2">
      <c r="B47" s="10" t="s">
        <v>41</v>
      </c>
    </row>
    <row r="48" spans="2:13" ht="16" x14ac:dyDescent="0.2">
      <c r="B48" s="10" t="s">
        <v>42</v>
      </c>
    </row>
    <row r="49" spans="2:2" ht="16" x14ac:dyDescent="0.2">
      <c r="B49" s="10" t="s">
        <v>43</v>
      </c>
    </row>
    <row r="50" spans="2:2" ht="16" x14ac:dyDescent="0.2">
      <c r="B50" s="10" t="s">
        <v>44</v>
      </c>
    </row>
    <row r="51" spans="2:2" ht="16" x14ac:dyDescent="0.2">
      <c r="B51" s="10" t="s">
        <v>45</v>
      </c>
    </row>
    <row r="52" spans="2:2" ht="16" x14ac:dyDescent="0.2">
      <c r="B52" s="10" t="s">
        <v>46</v>
      </c>
    </row>
    <row r="53" spans="2:2" ht="16" x14ac:dyDescent="0.2">
      <c r="B53" s="10" t="s">
        <v>47</v>
      </c>
    </row>
  </sheetData>
  <mergeCells count="17">
    <mergeCell ref="B22:D23"/>
    <mergeCell ref="E22:H23"/>
    <mergeCell ref="B16:D16"/>
    <mergeCell ref="C4:D4"/>
    <mergeCell ref="B2:H2"/>
    <mergeCell ref="F4:H4"/>
    <mergeCell ref="B17:D19"/>
    <mergeCell ref="B12:D14"/>
    <mergeCell ref="C3:H3"/>
    <mergeCell ref="E16:H16"/>
    <mergeCell ref="E11:H11"/>
    <mergeCell ref="B11:D11"/>
    <mergeCell ref="E17:H19"/>
    <mergeCell ref="E21:H21"/>
    <mergeCell ref="B6:H6"/>
    <mergeCell ref="E12:H14"/>
    <mergeCell ref="B21:D21"/>
  </mergeCells>
  <conditionalFormatting sqref="K31:M33">
    <cfRule type="colorScale" priority="1">
      <colorScale>
        <cfvo type="min"/>
        <cfvo type="percentile" val="50"/>
        <cfvo type="max"/>
        <color rgb="FFFFFFFF"/>
        <color rgb="FFFFF2CC"/>
        <color rgb="FFF4B084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67"/>
  <sheetViews>
    <sheetView showGridLines="0" topLeftCell="A259" workbookViewId="0"/>
  </sheetViews>
  <sheetFormatPr baseColWidth="10" defaultColWidth="8.83203125" defaultRowHeight="15" x14ac:dyDescent="0.2"/>
  <cols>
    <col min="1" max="1" width="23" customWidth="1"/>
    <col min="2" max="2" width="19" customWidth="1"/>
    <col min="3" max="3" width="15" customWidth="1"/>
    <col min="4" max="4" width="12" customWidth="1"/>
    <col min="5" max="5" width="20" customWidth="1"/>
    <col min="6" max="6" width="15" customWidth="1"/>
    <col min="7" max="7" width="19" customWidth="1"/>
    <col min="8" max="8" width="55" customWidth="1"/>
    <col min="9" max="13" width="10" customWidth="1"/>
    <col min="14" max="14" width="12" customWidth="1"/>
    <col min="15" max="15" width="55" customWidth="1"/>
    <col min="16" max="16" width="12" customWidth="1"/>
    <col min="17" max="17" width="55" customWidth="1"/>
    <col min="18" max="18" width="31" customWidth="1"/>
  </cols>
  <sheetData>
    <row r="1" spans="1:18" ht="24" customHeight="1" x14ac:dyDescent="0.2">
      <c r="A1" s="11" t="s">
        <v>48</v>
      </c>
      <c r="B1" s="11" t="s">
        <v>49</v>
      </c>
      <c r="C1" s="11" t="s">
        <v>50</v>
      </c>
      <c r="D1" s="11" t="s">
        <v>51</v>
      </c>
      <c r="E1" s="11" t="s">
        <v>52</v>
      </c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12</v>
      </c>
      <c r="M1" s="11" t="s">
        <v>59</v>
      </c>
      <c r="N1" s="11" t="s">
        <v>11</v>
      </c>
      <c r="O1" s="11" t="s">
        <v>60</v>
      </c>
      <c r="P1" s="11" t="s">
        <v>14</v>
      </c>
      <c r="Q1" s="11" t="s">
        <v>61</v>
      </c>
      <c r="R1" s="11" t="s">
        <v>62</v>
      </c>
    </row>
    <row r="2" spans="1:18" ht="48" x14ac:dyDescent="0.2">
      <c r="A2" s="12" t="s">
        <v>63</v>
      </c>
      <c r="B2" s="12" t="s">
        <v>64</v>
      </c>
      <c r="C2" s="12" t="s">
        <v>31</v>
      </c>
      <c r="D2" s="12" t="s">
        <v>65</v>
      </c>
      <c r="E2" s="12" t="s">
        <v>66</v>
      </c>
      <c r="F2" s="12" t="s">
        <v>31</v>
      </c>
      <c r="G2" s="12" t="s">
        <v>64</v>
      </c>
      <c r="H2" s="13" t="s">
        <v>67</v>
      </c>
      <c r="I2" s="14">
        <v>120</v>
      </c>
      <c r="J2" s="12" t="s">
        <v>68</v>
      </c>
      <c r="K2" s="15">
        <v>175</v>
      </c>
      <c r="L2" s="15">
        <v>21000</v>
      </c>
      <c r="M2" s="12" t="s">
        <v>69</v>
      </c>
      <c r="N2" s="12" t="s">
        <v>15</v>
      </c>
      <c r="O2" s="13" t="s">
        <v>70</v>
      </c>
      <c r="P2" s="12" t="s">
        <v>25</v>
      </c>
      <c r="Q2" s="13" t="s">
        <v>71</v>
      </c>
      <c r="R2" s="12" t="s">
        <v>72</v>
      </c>
    </row>
    <row r="3" spans="1:18" ht="48" x14ac:dyDescent="0.2">
      <c r="A3" s="12" t="s">
        <v>73</v>
      </c>
      <c r="B3" s="12" t="s">
        <v>64</v>
      </c>
      <c r="C3" s="12" t="s">
        <v>31</v>
      </c>
      <c r="D3" s="12" t="s">
        <v>74</v>
      </c>
      <c r="E3" s="12" t="s">
        <v>66</v>
      </c>
      <c r="F3" s="12" t="s">
        <v>31</v>
      </c>
      <c r="G3" s="12" t="s">
        <v>64</v>
      </c>
      <c r="H3" s="13" t="s">
        <v>75</v>
      </c>
      <c r="I3" s="14">
        <v>80</v>
      </c>
      <c r="J3" s="12" t="s">
        <v>68</v>
      </c>
      <c r="K3" s="15">
        <v>165</v>
      </c>
      <c r="L3" s="15">
        <v>13200</v>
      </c>
      <c r="M3" s="12" t="s">
        <v>69</v>
      </c>
      <c r="N3" s="12" t="s">
        <v>15</v>
      </c>
      <c r="O3" s="13" t="s">
        <v>76</v>
      </c>
      <c r="P3" s="12" t="s">
        <v>25</v>
      </c>
      <c r="Q3" s="13" t="s">
        <v>77</v>
      </c>
      <c r="R3" s="12" t="s">
        <v>72</v>
      </c>
    </row>
    <row r="4" spans="1:18" ht="32" x14ac:dyDescent="0.2">
      <c r="A4" s="12" t="s">
        <v>78</v>
      </c>
      <c r="B4" s="12" t="s">
        <v>64</v>
      </c>
      <c r="C4" s="12" t="s">
        <v>31</v>
      </c>
      <c r="D4" s="12" t="s">
        <v>79</v>
      </c>
      <c r="E4" s="12" t="s">
        <v>80</v>
      </c>
      <c r="F4" s="12" t="s">
        <v>31</v>
      </c>
      <c r="G4" s="12" t="s">
        <v>64</v>
      </c>
      <c r="H4" s="13" t="s">
        <v>81</v>
      </c>
      <c r="I4" s="14">
        <v>40</v>
      </c>
      <c r="J4" s="12" t="s">
        <v>68</v>
      </c>
      <c r="K4" s="15">
        <v>145</v>
      </c>
      <c r="L4" s="15">
        <v>5800</v>
      </c>
      <c r="M4" s="12" t="s">
        <v>69</v>
      </c>
      <c r="N4" s="12" t="s">
        <v>15</v>
      </c>
      <c r="O4" s="13" t="s">
        <v>82</v>
      </c>
      <c r="P4" s="12" t="s">
        <v>25</v>
      </c>
      <c r="Q4" s="13" t="s">
        <v>83</v>
      </c>
      <c r="R4" s="12" t="s">
        <v>72</v>
      </c>
    </row>
    <row r="5" spans="1:18" ht="48" x14ac:dyDescent="0.2">
      <c r="A5" s="12" t="s">
        <v>84</v>
      </c>
      <c r="B5" s="12" t="s">
        <v>64</v>
      </c>
      <c r="C5" s="12" t="s">
        <v>31</v>
      </c>
      <c r="D5" s="12" t="s">
        <v>85</v>
      </c>
      <c r="E5" s="12" t="s">
        <v>86</v>
      </c>
      <c r="F5" s="12" t="s">
        <v>31</v>
      </c>
      <c r="G5" s="12" t="s">
        <v>64</v>
      </c>
      <c r="H5" s="13" t="s">
        <v>87</v>
      </c>
      <c r="I5" s="14">
        <v>60</v>
      </c>
      <c r="J5" s="12" t="s">
        <v>68</v>
      </c>
      <c r="K5" s="15">
        <v>80</v>
      </c>
      <c r="L5" s="15">
        <v>4800</v>
      </c>
      <c r="M5" s="12" t="s">
        <v>69</v>
      </c>
      <c r="N5" s="12" t="s">
        <v>15</v>
      </c>
      <c r="O5" s="13" t="s">
        <v>88</v>
      </c>
      <c r="P5" s="12" t="s">
        <v>25</v>
      </c>
      <c r="Q5" s="13" t="s">
        <v>89</v>
      </c>
      <c r="R5" s="12" t="s">
        <v>72</v>
      </c>
    </row>
    <row r="6" spans="1:18" ht="32" x14ac:dyDescent="0.2">
      <c r="A6" s="12" t="s">
        <v>90</v>
      </c>
      <c r="B6" s="12" t="s">
        <v>91</v>
      </c>
      <c r="C6" s="12" t="s">
        <v>31</v>
      </c>
      <c r="D6" s="12" t="s">
        <v>65</v>
      </c>
      <c r="E6" s="12" t="s">
        <v>92</v>
      </c>
      <c r="F6" s="12" t="s">
        <v>31</v>
      </c>
      <c r="G6" s="12" t="s">
        <v>91</v>
      </c>
      <c r="H6" s="13" t="s">
        <v>93</v>
      </c>
      <c r="I6" s="14">
        <v>80</v>
      </c>
      <c r="J6" s="12" t="s">
        <v>68</v>
      </c>
      <c r="K6" s="15">
        <v>130</v>
      </c>
      <c r="L6" s="15">
        <v>10400</v>
      </c>
      <c r="M6" s="12" t="s">
        <v>69</v>
      </c>
      <c r="N6" s="12" t="s">
        <v>15</v>
      </c>
      <c r="O6" s="13" t="s">
        <v>94</v>
      </c>
      <c r="P6" s="12" t="s">
        <v>25</v>
      </c>
      <c r="Q6" s="13" t="s">
        <v>95</v>
      </c>
      <c r="R6" s="12" t="s">
        <v>96</v>
      </c>
    </row>
    <row r="7" spans="1:18" ht="32" x14ac:dyDescent="0.2">
      <c r="A7" s="12" t="s">
        <v>97</v>
      </c>
      <c r="B7" s="12" t="s">
        <v>91</v>
      </c>
      <c r="C7" s="12" t="s">
        <v>31</v>
      </c>
      <c r="D7" s="12" t="s">
        <v>74</v>
      </c>
      <c r="E7" s="12" t="s">
        <v>92</v>
      </c>
      <c r="F7" s="12" t="s">
        <v>31</v>
      </c>
      <c r="G7" s="12" t="s">
        <v>91</v>
      </c>
      <c r="H7" s="13" t="s">
        <v>98</v>
      </c>
      <c r="I7" s="14">
        <v>20</v>
      </c>
      <c r="J7" s="12" t="s">
        <v>68</v>
      </c>
      <c r="K7" s="15">
        <v>175</v>
      </c>
      <c r="L7" s="15">
        <v>3500</v>
      </c>
      <c r="M7" s="12" t="s">
        <v>69</v>
      </c>
      <c r="N7" s="12" t="s">
        <v>15</v>
      </c>
      <c r="O7" s="13" t="s">
        <v>99</v>
      </c>
      <c r="P7" s="12" t="s">
        <v>25</v>
      </c>
      <c r="Q7" s="13" t="s">
        <v>100</v>
      </c>
      <c r="R7" s="12" t="s">
        <v>96</v>
      </c>
    </row>
    <row r="8" spans="1:18" ht="32" x14ac:dyDescent="0.2">
      <c r="A8" s="12" t="s">
        <v>101</v>
      </c>
      <c r="B8" s="12" t="s">
        <v>91</v>
      </c>
      <c r="C8" s="12" t="s">
        <v>31</v>
      </c>
      <c r="D8" s="12" t="s">
        <v>79</v>
      </c>
      <c r="E8" s="12" t="s">
        <v>92</v>
      </c>
      <c r="F8" s="12" t="s">
        <v>31</v>
      </c>
      <c r="G8" s="12" t="s">
        <v>91</v>
      </c>
      <c r="H8" s="13" t="s">
        <v>102</v>
      </c>
      <c r="I8" s="14">
        <v>1</v>
      </c>
      <c r="J8" s="12" t="s">
        <v>103</v>
      </c>
      <c r="K8" s="15">
        <v>3500</v>
      </c>
      <c r="L8" s="15">
        <v>3500</v>
      </c>
      <c r="M8" s="12" t="s">
        <v>69</v>
      </c>
      <c r="N8" s="12" t="s">
        <v>16</v>
      </c>
      <c r="O8" s="13" t="s">
        <v>104</v>
      </c>
      <c r="P8" s="12" t="s">
        <v>27</v>
      </c>
      <c r="Q8" s="13" t="s">
        <v>105</v>
      </c>
      <c r="R8" s="12" t="s">
        <v>96</v>
      </c>
    </row>
    <row r="9" spans="1:18" ht="32" x14ac:dyDescent="0.2">
      <c r="A9" s="12" t="s">
        <v>106</v>
      </c>
      <c r="B9" s="12" t="s">
        <v>107</v>
      </c>
      <c r="C9" s="12" t="s">
        <v>31</v>
      </c>
      <c r="D9" s="12" t="s">
        <v>108</v>
      </c>
      <c r="E9" s="12" t="s">
        <v>109</v>
      </c>
      <c r="F9" s="12" t="s">
        <v>31</v>
      </c>
      <c r="G9" s="12" t="s">
        <v>107</v>
      </c>
      <c r="H9" s="13" t="s">
        <v>110</v>
      </c>
      <c r="I9" s="14">
        <v>60</v>
      </c>
      <c r="J9" s="12" t="s">
        <v>68</v>
      </c>
      <c r="K9" s="15">
        <v>110</v>
      </c>
      <c r="L9" s="15">
        <v>6600</v>
      </c>
      <c r="M9" s="12" t="s">
        <v>69</v>
      </c>
      <c r="N9" s="12" t="s">
        <v>15</v>
      </c>
      <c r="O9" s="13" t="s">
        <v>111</v>
      </c>
      <c r="P9" s="12" t="s">
        <v>25</v>
      </c>
      <c r="Q9" s="13" t="s">
        <v>112</v>
      </c>
      <c r="R9" s="12" t="s">
        <v>113</v>
      </c>
    </row>
    <row r="10" spans="1:18" ht="32" x14ac:dyDescent="0.2">
      <c r="A10" s="12" t="s">
        <v>114</v>
      </c>
      <c r="B10" s="12" t="s">
        <v>107</v>
      </c>
      <c r="C10" s="12" t="s">
        <v>31</v>
      </c>
      <c r="D10" s="12" t="s">
        <v>115</v>
      </c>
      <c r="E10" s="12" t="s">
        <v>116</v>
      </c>
      <c r="F10" s="12" t="s">
        <v>31</v>
      </c>
      <c r="G10" s="12" t="s">
        <v>107</v>
      </c>
      <c r="H10" s="13" t="s">
        <v>117</v>
      </c>
      <c r="I10" s="14">
        <v>8</v>
      </c>
      <c r="J10" s="12" t="s">
        <v>68</v>
      </c>
      <c r="K10" s="15">
        <v>80</v>
      </c>
      <c r="L10" s="15">
        <v>640</v>
      </c>
      <c r="M10" s="12" t="s">
        <v>69</v>
      </c>
      <c r="N10" s="12" t="s">
        <v>15</v>
      </c>
      <c r="O10" s="13" t="s">
        <v>118</v>
      </c>
      <c r="P10" s="12" t="s">
        <v>25</v>
      </c>
      <c r="Q10" s="13" t="s">
        <v>119</v>
      </c>
      <c r="R10" s="12" t="s">
        <v>113</v>
      </c>
    </row>
    <row r="11" spans="1:18" ht="48" x14ac:dyDescent="0.2">
      <c r="A11" s="12" t="s">
        <v>120</v>
      </c>
      <c r="B11" s="12" t="s">
        <v>107</v>
      </c>
      <c r="C11" s="12" t="s">
        <v>31</v>
      </c>
      <c r="D11" s="12" t="s">
        <v>121</v>
      </c>
      <c r="E11" s="12" t="s">
        <v>122</v>
      </c>
      <c r="F11" s="12" t="s">
        <v>31</v>
      </c>
      <c r="G11" s="12" t="s">
        <v>107</v>
      </c>
      <c r="H11" s="13" t="s">
        <v>123</v>
      </c>
      <c r="I11" s="14">
        <v>1</v>
      </c>
      <c r="J11" s="12" t="s">
        <v>103</v>
      </c>
      <c r="K11" s="15">
        <v>4500</v>
      </c>
      <c r="L11" s="15">
        <v>4500</v>
      </c>
      <c r="M11" s="12" t="s">
        <v>69</v>
      </c>
      <c r="N11" s="12" t="s">
        <v>16</v>
      </c>
      <c r="O11" s="13" t="s">
        <v>124</v>
      </c>
      <c r="P11" s="12" t="s">
        <v>27</v>
      </c>
      <c r="Q11" s="13" t="s">
        <v>125</v>
      </c>
      <c r="R11" s="12" t="s">
        <v>113</v>
      </c>
    </row>
    <row r="12" spans="1:18" ht="48" x14ac:dyDescent="0.2">
      <c r="A12" s="12" t="s">
        <v>126</v>
      </c>
      <c r="B12" s="12" t="s">
        <v>107</v>
      </c>
      <c r="C12" s="12" t="s">
        <v>31</v>
      </c>
      <c r="D12" s="12" t="s">
        <v>127</v>
      </c>
      <c r="E12" s="12" t="s">
        <v>128</v>
      </c>
      <c r="F12" s="12" t="s">
        <v>31</v>
      </c>
      <c r="G12" s="12" t="s">
        <v>107</v>
      </c>
      <c r="H12" s="13" t="s">
        <v>129</v>
      </c>
      <c r="I12" s="14">
        <v>1</v>
      </c>
      <c r="J12" s="12" t="s">
        <v>103</v>
      </c>
      <c r="K12" s="15">
        <v>3500</v>
      </c>
      <c r="L12" s="15">
        <v>3500</v>
      </c>
      <c r="M12" s="12" t="s">
        <v>69</v>
      </c>
      <c r="N12" s="12" t="s">
        <v>16</v>
      </c>
      <c r="O12" s="13" t="s">
        <v>130</v>
      </c>
      <c r="P12" s="12" t="s">
        <v>27</v>
      </c>
      <c r="Q12" s="13" t="s">
        <v>131</v>
      </c>
      <c r="R12" s="12" t="s">
        <v>113</v>
      </c>
    </row>
    <row r="13" spans="1:18" ht="32" x14ac:dyDescent="0.2">
      <c r="A13" s="12" t="s">
        <v>132</v>
      </c>
      <c r="B13" s="12" t="s">
        <v>133</v>
      </c>
      <c r="C13" s="12" t="s">
        <v>31</v>
      </c>
      <c r="D13" s="12" t="s">
        <v>134</v>
      </c>
      <c r="E13" s="12" t="s">
        <v>135</v>
      </c>
      <c r="F13" s="12" t="s">
        <v>31</v>
      </c>
      <c r="G13" s="12" t="s">
        <v>133</v>
      </c>
      <c r="H13" s="13" t="s">
        <v>136</v>
      </c>
      <c r="I13" s="14">
        <v>40</v>
      </c>
      <c r="J13" s="12" t="s">
        <v>68</v>
      </c>
      <c r="K13" s="15">
        <v>175</v>
      </c>
      <c r="L13" s="15">
        <v>7000</v>
      </c>
      <c r="M13" s="12" t="s">
        <v>69</v>
      </c>
      <c r="N13" s="12" t="s">
        <v>15</v>
      </c>
      <c r="O13" s="13" t="s">
        <v>137</v>
      </c>
      <c r="P13" s="12" t="s">
        <v>25</v>
      </c>
      <c r="Q13" s="13" t="s">
        <v>138</v>
      </c>
      <c r="R13" s="12" t="s">
        <v>139</v>
      </c>
    </row>
    <row r="14" spans="1:18" ht="32" x14ac:dyDescent="0.2">
      <c r="A14" s="12" t="s">
        <v>140</v>
      </c>
      <c r="B14" s="12" t="s">
        <v>133</v>
      </c>
      <c r="C14" s="12" t="s">
        <v>31</v>
      </c>
      <c r="D14" s="12" t="s">
        <v>141</v>
      </c>
      <c r="E14" s="12" t="s">
        <v>135</v>
      </c>
      <c r="F14" s="12" t="s">
        <v>31</v>
      </c>
      <c r="G14" s="12" t="s">
        <v>133</v>
      </c>
      <c r="H14" s="13" t="s">
        <v>142</v>
      </c>
      <c r="I14" s="14">
        <v>12</v>
      </c>
      <c r="J14" s="12" t="s">
        <v>68</v>
      </c>
      <c r="K14" s="15">
        <v>80</v>
      </c>
      <c r="L14" s="15">
        <v>960</v>
      </c>
      <c r="M14" s="12" t="s">
        <v>69</v>
      </c>
      <c r="N14" s="12" t="s">
        <v>15</v>
      </c>
      <c r="O14" s="13" t="s">
        <v>143</v>
      </c>
      <c r="P14" s="12" t="s">
        <v>25</v>
      </c>
      <c r="Q14" s="13" t="s">
        <v>144</v>
      </c>
      <c r="R14" s="12" t="s">
        <v>139</v>
      </c>
    </row>
    <row r="15" spans="1:18" ht="32" x14ac:dyDescent="0.2">
      <c r="A15" s="12" t="s">
        <v>145</v>
      </c>
      <c r="B15" s="12" t="s">
        <v>133</v>
      </c>
      <c r="C15" s="12" t="s">
        <v>31</v>
      </c>
      <c r="D15" s="12" t="s">
        <v>146</v>
      </c>
      <c r="E15" s="12" t="s">
        <v>147</v>
      </c>
      <c r="F15" s="12" t="s">
        <v>31</v>
      </c>
      <c r="G15" s="12" t="s">
        <v>133</v>
      </c>
      <c r="H15" s="13" t="s">
        <v>148</v>
      </c>
      <c r="I15" s="14">
        <v>1</v>
      </c>
      <c r="J15" s="12" t="s">
        <v>103</v>
      </c>
      <c r="K15" s="15">
        <v>65250</v>
      </c>
      <c r="L15" s="15">
        <v>65250</v>
      </c>
      <c r="M15" s="12" t="s">
        <v>69</v>
      </c>
      <c r="N15" s="12" t="s">
        <v>16</v>
      </c>
      <c r="O15" s="13" t="s">
        <v>149</v>
      </c>
      <c r="P15" s="12" t="s">
        <v>27</v>
      </c>
      <c r="Q15" s="13" t="s">
        <v>150</v>
      </c>
      <c r="R15" s="12" t="s">
        <v>139</v>
      </c>
    </row>
    <row r="16" spans="1:18" ht="16" x14ac:dyDescent="0.2">
      <c r="A16" s="12" t="s">
        <v>151</v>
      </c>
      <c r="B16" s="12" t="s">
        <v>133</v>
      </c>
      <c r="C16" s="12" t="s">
        <v>31</v>
      </c>
      <c r="D16" s="12" t="s">
        <v>152</v>
      </c>
      <c r="E16" s="12" t="s">
        <v>147</v>
      </c>
      <c r="F16" s="12" t="s">
        <v>31</v>
      </c>
      <c r="G16" s="12" t="s">
        <v>133</v>
      </c>
      <c r="H16" s="13" t="s">
        <v>153</v>
      </c>
      <c r="I16" s="14">
        <v>1</v>
      </c>
      <c r="J16" s="12" t="s">
        <v>103</v>
      </c>
      <c r="K16" s="15">
        <v>1200</v>
      </c>
      <c r="L16" s="15">
        <v>1200</v>
      </c>
      <c r="M16" s="12" t="s">
        <v>69</v>
      </c>
      <c r="N16" s="12" t="s">
        <v>16</v>
      </c>
      <c r="O16" s="13" t="s">
        <v>154</v>
      </c>
      <c r="P16" s="12" t="s">
        <v>27</v>
      </c>
      <c r="Q16" s="13" t="s">
        <v>155</v>
      </c>
      <c r="R16" s="12" t="s">
        <v>139</v>
      </c>
    </row>
    <row r="17" spans="1:18" ht="16" x14ac:dyDescent="0.2">
      <c r="A17" s="12" t="s">
        <v>156</v>
      </c>
      <c r="B17" s="12" t="s">
        <v>133</v>
      </c>
      <c r="C17" s="12" t="s">
        <v>31</v>
      </c>
      <c r="D17" s="12" t="s">
        <v>157</v>
      </c>
      <c r="E17" s="12" t="s">
        <v>147</v>
      </c>
      <c r="F17" s="12" t="s">
        <v>31</v>
      </c>
      <c r="G17" s="12" t="s">
        <v>133</v>
      </c>
      <c r="H17" s="13" t="s">
        <v>158</v>
      </c>
      <c r="I17" s="14">
        <v>1</v>
      </c>
      <c r="J17" s="12" t="s">
        <v>103</v>
      </c>
      <c r="K17" s="15">
        <v>2500</v>
      </c>
      <c r="L17" s="15">
        <v>2500</v>
      </c>
      <c r="M17" s="12" t="s">
        <v>69</v>
      </c>
      <c r="N17" s="12" t="s">
        <v>16</v>
      </c>
      <c r="O17" s="13" t="s">
        <v>159</v>
      </c>
      <c r="P17" s="12" t="s">
        <v>25</v>
      </c>
      <c r="Q17" s="13" t="s">
        <v>160</v>
      </c>
      <c r="R17" s="12" t="s">
        <v>139</v>
      </c>
    </row>
    <row r="18" spans="1:18" ht="16" x14ac:dyDescent="0.2">
      <c r="A18" s="12" t="s">
        <v>161</v>
      </c>
      <c r="B18" s="12" t="s">
        <v>133</v>
      </c>
      <c r="C18" s="12" t="s">
        <v>31</v>
      </c>
      <c r="D18" s="12" t="s">
        <v>162</v>
      </c>
      <c r="E18" s="12" t="s">
        <v>147</v>
      </c>
      <c r="F18" s="12" t="s">
        <v>31</v>
      </c>
      <c r="G18" s="12" t="s">
        <v>133</v>
      </c>
      <c r="H18" s="13" t="s">
        <v>163</v>
      </c>
      <c r="I18" s="14">
        <v>1</v>
      </c>
      <c r="J18" s="12" t="s">
        <v>103</v>
      </c>
      <c r="K18" s="15">
        <v>2000</v>
      </c>
      <c r="L18" s="15">
        <v>2000</v>
      </c>
      <c r="M18" s="12" t="s">
        <v>69</v>
      </c>
      <c r="N18" s="12" t="s">
        <v>16</v>
      </c>
      <c r="O18" s="13" t="s">
        <v>164</v>
      </c>
      <c r="P18" s="12" t="s">
        <v>25</v>
      </c>
      <c r="Q18" s="13" t="s">
        <v>165</v>
      </c>
      <c r="R18" s="12" t="s">
        <v>139</v>
      </c>
    </row>
    <row r="19" spans="1:18" ht="16" x14ac:dyDescent="0.2">
      <c r="A19" s="12" t="s">
        <v>166</v>
      </c>
      <c r="B19" s="12" t="s">
        <v>133</v>
      </c>
      <c r="C19" s="12" t="s">
        <v>31</v>
      </c>
      <c r="D19" s="12" t="s">
        <v>167</v>
      </c>
      <c r="E19" s="12" t="s">
        <v>147</v>
      </c>
      <c r="F19" s="12" t="s">
        <v>31</v>
      </c>
      <c r="G19" s="12" t="s">
        <v>133</v>
      </c>
      <c r="H19" s="13" t="s">
        <v>168</v>
      </c>
      <c r="I19" s="14">
        <v>1</v>
      </c>
      <c r="J19" s="12" t="s">
        <v>103</v>
      </c>
      <c r="K19" s="15">
        <v>1000</v>
      </c>
      <c r="L19" s="15">
        <v>1000</v>
      </c>
      <c r="M19" s="12" t="s">
        <v>69</v>
      </c>
      <c r="N19" s="12" t="s">
        <v>16</v>
      </c>
      <c r="O19" s="13" t="s">
        <v>169</v>
      </c>
      <c r="P19" s="12" t="s">
        <v>25</v>
      </c>
      <c r="Q19" s="13" t="s">
        <v>170</v>
      </c>
      <c r="R19" s="12" t="s">
        <v>139</v>
      </c>
    </row>
    <row r="20" spans="1:18" ht="32" x14ac:dyDescent="0.2">
      <c r="A20" s="12" t="s">
        <v>171</v>
      </c>
      <c r="B20" s="12" t="s">
        <v>172</v>
      </c>
      <c r="C20" s="12" t="s">
        <v>31</v>
      </c>
      <c r="D20" s="12" t="s">
        <v>134</v>
      </c>
      <c r="E20" s="12" t="s">
        <v>173</v>
      </c>
      <c r="F20" s="12" t="s">
        <v>31</v>
      </c>
      <c r="G20" s="12" t="s">
        <v>172</v>
      </c>
      <c r="H20" s="13" t="s">
        <v>174</v>
      </c>
      <c r="I20" s="14">
        <v>90</v>
      </c>
      <c r="J20" s="12" t="s">
        <v>68</v>
      </c>
      <c r="K20" s="15">
        <v>175</v>
      </c>
      <c r="L20" s="15">
        <v>15750</v>
      </c>
      <c r="M20" s="12" t="s">
        <v>69</v>
      </c>
      <c r="N20" s="12" t="s">
        <v>15</v>
      </c>
      <c r="O20" s="13" t="s">
        <v>175</v>
      </c>
      <c r="P20" s="12" t="s">
        <v>25</v>
      </c>
      <c r="Q20" s="13" t="s">
        <v>176</v>
      </c>
      <c r="R20" s="12" t="s">
        <v>177</v>
      </c>
    </row>
    <row r="21" spans="1:18" ht="32" x14ac:dyDescent="0.2">
      <c r="A21" s="12" t="s">
        <v>178</v>
      </c>
      <c r="B21" s="12" t="s">
        <v>172</v>
      </c>
      <c r="C21" s="12" t="s">
        <v>31</v>
      </c>
      <c r="D21" s="12" t="s">
        <v>141</v>
      </c>
      <c r="E21" s="12" t="s">
        <v>86</v>
      </c>
      <c r="F21" s="12" t="s">
        <v>31</v>
      </c>
      <c r="G21" s="12" t="s">
        <v>172</v>
      </c>
      <c r="H21" s="13" t="s">
        <v>179</v>
      </c>
      <c r="I21" s="14">
        <v>50</v>
      </c>
      <c r="J21" s="12" t="s">
        <v>68</v>
      </c>
      <c r="K21" s="15">
        <v>80</v>
      </c>
      <c r="L21" s="15">
        <v>4000</v>
      </c>
      <c r="M21" s="12" t="s">
        <v>69</v>
      </c>
      <c r="N21" s="12" t="s">
        <v>15</v>
      </c>
      <c r="O21" s="13" t="s">
        <v>180</v>
      </c>
      <c r="P21" s="12" t="s">
        <v>25</v>
      </c>
      <c r="Q21" s="13" t="s">
        <v>181</v>
      </c>
      <c r="R21" s="12" t="s">
        <v>177</v>
      </c>
    </row>
    <row r="22" spans="1:18" ht="64" x14ac:dyDescent="0.2">
      <c r="A22" s="12" t="s">
        <v>182</v>
      </c>
      <c r="B22" s="12" t="s">
        <v>183</v>
      </c>
      <c r="C22" s="12" t="s">
        <v>31</v>
      </c>
      <c r="D22" s="12" t="s">
        <v>184</v>
      </c>
      <c r="E22" s="12" t="s">
        <v>185</v>
      </c>
      <c r="F22" s="12" t="s">
        <v>31</v>
      </c>
      <c r="G22" s="12" t="s">
        <v>183</v>
      </c>
      <c r="H22" s="13" t="s">
        <v>186</v>
      </c>
      <c r="I22" s="14">
        <v>1440</v>
      </c>
      <c r="J22" s="12" t="s">
        <v>68</v>
      </c>
      <c r="K22" s="15">
        <v>135</v>
      </c>
      <c r="L22" s="15">
        <v>194400</v>
      </c>
      <c r="M22" s="12" t="s">
        <v>69</v>
      </c>
      <c r="N22" s="12" t="s">
        <v>15</v>
      </c>
      <c r="O22" s="13" t="s">
        <v>187</v>
      </c>
      <c r="P22" s="12" t="s">
        <v>25</v>
      </c>
      <c r="Q22" s="13" t="s">
        <v>188</v>
      </c>
      <c r="R22" s="12" t="s">
        <v>189</v>
      </c>
    </row>
    <row r="23" spans="1:18" ht="32" x14ac:dyDescent="0.2">
      <c r="A23" s="12" t="s">
        <v>190</v>
      </c>
      <c r="B23" s="12" t="s">
        <v>183</v>
      </c>
      <c r="C23" s="12" t="s">
        <v>31</v>
      </c>
      <c r="D23" s="12" t="s">
        <v>191</v>
      </c>
      <c r="E23" s="12" t="s">
        <v>185</v>
      </c>
      <c r="F23" s="12" t="s">
        <v>31</v>
      </c>
      <c r="G23" s="12" t="s">
        <v>183</v>
      </c>
      <c r="H23" s="13" t="s">
        <v>192</v>
      </c>
      <c r="I23" s="14">
        <v>60</v>
      </c>
      <c r="J23" s="12" t="s">
        <v>68</v>
      </c>
      <c r="K23" s="15">
        <v>155</v>
      </c>
      <c r="L23" s="15">
        <v>9300</v>
      </c>
      <c r="M23" s="12" t="s">
        <v>69</v>
      </c>
      <c r="N23" s="12" t="s">
        <v>15</v>
      </c>
      <c r="O23" s="13" t="s">
        <v>193</v>
      </c>
      <c r="P23" s="12" t="s">
        <v>25</v>
      </c>
      <c r="Q23" s="13" t="s">
        <v>194</v>
      </c>
      <c r="R23" s="12" t="s">
        <v>189</v>
      </c>
    </row>
    <row r="24" spans="1:18" ht="64" x14ac:dyDescent="0.2">
      <c r="A24" s="12" t="s">
        <v>195</v>
      </c>
      <c r="B24" s="12" t="s">
        <v>183</v>
      </c>
      <c r="C24" s="12" t="s">
        <v>31</v>
      </c>
      <c r="D24" s="12" t="s">
        <v>196</v>
      </c>
      <c r="E24" s="12" t="s">
        <v>197</v>
      </c>
      <c r="F24" s="12" t="s">
        <v>31</v>
      </c>
      <c r="G24" s="12" t="s">
        <v>183</v>
      </c>
      <c r="H24" s="13" t="s">
        <v>198</v>
      </c>
      <c r="I24" s="14">
        <v>1</v>
      </c>
      <c r="J24" s="12" t="s">
        <v>103</v>
      </c>
      <c r="K24" s="15">
        <v>35000</v>
      </c>
      <c r="L24" s="15">
        <v>35000</v>
      </c>
      <c r="M24" s="12" t="s">
        <v>69</v>
      </c>
      <c r="N24" s="12" t="s">
        <v>16</v>
      </c>
      <c r="O24" s="13" t="s">
        <v>199</v>
      </c>
      <c r="P24" s="12" t="s">
        <v>27</v>
      </c>
      <c r="Q24" s="13" t="s">
        <v>200</v>
      </c>
      <c r="R24" s="12" t="s">
        <v>189</v>
      </c>
    </row>
    <row r="25" spans="1:18" ht="32" x14ac:dyDescent="0.2">
      <c r="A25" s="12" t="s">
        <v>201</v>
      </c>
      <c r="B25" s="12" t="s">
        <v>183</v>
      </c>
      <c r="C25" s="12" t="s">
        <v>31</v>
      </c>
      <c r="D25" s="12" t="s">
        <v>202</v>
      </c>
      <c r="E25" s="12" t="s">
        <v>197</v>
      </c>
      <c r="F25" s="12" t="s">
        <v>31</v>
      </c>
      <c r="G25" s="12" t="s">
        <v>183</v>
      </c>
      <c r="H25" s="13" t="s">
        <v>203</v>
      </c>
      <c r="I25" s="14">
        <v>1</v>
      </c>
      <c r="J25" s="12" t="s">
        <v>103</v>
      </c>
      <c r="K25" s="15">
        <v>25000</v>
      </c>
      <c r="L25" s="15">
        <v>25000</v>
      </c>
      <c r="M25" s="12" t="s">
        <v>69</v>
      </c>
      <c r="N25" s="12" t="s">
        <v>16</v>
      </c>
      <c r="O25" s="13" t="s">
        <v>204</v>
      </c>
      <c r="P25" s="12" t="s">
        <v>27</v>
      </c>
      <c r="Q25" s="13" t="s">
        <v>200</v>
      </c>
      <c r="R25" s="12" t="s">
        <v>189</v>
      </c>
    </row>
    <row r="26" spans="1:18" ht="48" x14ac:dyDescent="0.2">
      <c r="A26" s="12" t="s">
        <v>205</v>
      </c>
      <c r="B26" s="12" t="s">
        <v>206</v>
      </c>
      <c r="C26" s="12" t="s">
        <v>31</v>
      </c>
      <c r="D26" s="12" t="s">
        <v>207</v>
      </c>
      <c r="E26" s="12" t="s">
        <v>208</v>
      </c>
      <c r="F26" s="12" t="s">
        <v>31</v>
      </c>
      <c r="G26" s="12" t="s">
        <v>206</v>
      </c>
      <c r="H26" s="13" t="s">
        <v>209</v>
      </c>
      <c r="I26" s="14">
        <v>120</v>
      </c>
      <c r="J26" s="12" t="s">
        <v>68</v>
      </c>
      <c r="K26" s="15">
        <v>140</v>
      </c>
      <c r="L26" s="15">
        <v>16800</v>
      </c>
      <c r="M26" s="12" t="s">
        <v>69</v>
      </c>
      <c r="N26" s="12" t="s">
        <v>15</v>
      </c>
      <c r="O26" s="13" t="s">
        <v>210</v>
      </c>
      <c r="P26" s="12" t="s">
        <v>25</v>
      </c>
      <c r="Q26" s="13" t="s">
        <v>211</v>
      </c>
      <c r="R26" s="12" t="s">
        <v>212</v>
      </c>
    </row>
    <row r="27" spans="1:18" ht="32" x14ac:dyDescent="0.2">
      <c r="A27" s="12" t="s">
        <v>213</v>
      </c>
      <c r="B27" s="12" t="s">
        <v>206</v>
      </c>
      <c r="C27" s="12" t="s">
        <v>31</v>
      </c>
      <c r="D27" s="12" t="s">
        <v>214</v>
      </c>
      <c r="E27" s="12" t="s">
        <v>215</v>
      </c>
      <c r="F27" s="12" t="s">
        <v>31</v>
      </c>
      <c r="G27" s="12" t="s">
        <v>206</v>
      </c>
      <c r="H27" s="13" t="s">
        <v>216</v>
      </c>
      <c r="I27" s="14">
        <v>30</v>
      </c>
      <c r="J27" s="12" t="s">
        <v>68</v>
      </c>
      <c r="K27" s="15">
        <v>175</v>
      </c>
      <c r="L27" s="15">
        <v>5250</v>
      </c>
      <c r="M27" s="12" t="s">
        <v>69</v>
      </c>
      <c r="N27" s="12" t="s">
        <v>15</v>
      </c>
      <c r="O27" s="13" t="s">
        <v>217</v>
      </c>
      <c r="P27" s="12" t="s">
        <v>25</v>
      </c>
      <c r="Q27" s="13" t="s">
        <v>218</v>
      </c>
      <c r="R27" s="12" t="s">
        <v>212</v>
      </c>
    </row>
    <row r="28" spans="1:18" ht="48" x14ac:dyDescent="0.2">
      <c r="A28" s="12" t="s">
        <v>219</v>
      </c>
      <c r="B28" s="12" t="s">
        <v>206</v>
      </c>
      <c r="C28" s="12" t="s">
        <v>31</v>
      </c>
      <c r="D28" s="12" t="s">
        <v>220</v>
      </c>
      <c r="E28" s="12" t="s">
        <v>221</v>
      </c>
      <c r="F28" s="12" t="s">
        <v>31</v>
      </c>
      <c r="G28" s="12" t="s">
        <v>206</v>
      </c>
      <c r="H28" s="13" t="s">
        <v>222</v>
      </c>
      <c r="I28" s="14">
        <v>20</v>
      </c>
      <c r="J28" s="12" t="s">
        <v>68</v>
      </c>
      <c r="K28" s="15">
        <v>80</v>
      </c>
      <c r="L28" s="15">
        <v>1600</v>
      </c>
      <c r="M28" s="12" t="s">
        <v>69</v>
      </c>
      <c r="N28" s="12" t="s">
        <v>15</v>
      </c>
      <c r="O28" s="13" t="s">
        <v>223</v>
      </c>
      <c r="P28" s="12" t="s">
        <v>25</v>
      </c>
      <c r="Q28" s="13" t="s">
        <v>224</v>
      </c>
      <c r="R28" s="12" t="s">
        <v>212</v>
      </c>
    </row>
    <row r="29" spans="1:18" ht="32" x14ac:dyDescent="0.2">
      <c r="A29" s="12" t="s">
        <v>225</v>
      </c>
      <c r="B29" s="12" t="s">
        <v>226</v>
      </c>
      <c r="C29" s="12" t="s">
        <v>32</v>
      </c>
      <c r="D29" s="12" t="s">
        <v>65</v>
      </c>
      <c r="E29" s="12" t="s">
        <v>227</v>
      </c>
      <c r="F29" s="12" t="s">
        <v>32</v>
      </c>
      <c r="G29" s="12" t="s">
        <v>226</v>
      </c>
      <c r="H29" s="13" t="s">
        <v>228</v>
      </c>
      <c r="I29" s="14">
        <v>18</v>
      </c>
      <c r="J29" s="12" t="s">
        <v>229</v>
      </c>
      <c r="K29" s="15">
        <v>1800</v>
      </c>
      <c r="L29" s="15">
        <v>32400</v>
      </c>
      <c r="M29" s="12" t="s">
        <v>69</v>
      </c>
      <c r="N29" s="12" t="s">
        <v>15</v>
      </c>
      <c r="O29" s="13" t="s">
        <v>230</v>
      </c>
      <c r="P29" s="12" t="s">
        <v>25</v>
      </c>
      <c r="Q29" s="13" t="s">
        <v>231</v>
      </c>
      <c r="R29" s="12" t="s">
        <v>232</v>
      </c>
    </row>
    <row r="30" spans="1:18" ht="32" x14ac:dyDescent="0.2">
      <c r="A30" s="12" t="s">
        <v>233</v>
      </c>
      <c r="B30" s="12" t="s">
        <v>226</v>
      </c>
      <c r="C30" s="12" t="s">
        <v>32</v>
      </c>
      <c r="D30" s="12" t="s">
        <v>74</v>
      </c>
      <c r="E30" s="12" t="s">
        <v>227</v>
      </c>
      <c r="F30" s="12" t="s">
        <v>32</v>
      </c>
      <c r="G30" s="12" t="s">
        <v>226</v>
      </c>
      <c r="H30" s="13" t="s">
        <v>234</v>
      </c>
      <c r="I30" s="14">
        <v>1</v>
      </c>
      <c r="J30" s="12" t="s">
        <v>229</v>
      </c>
      <c r="K30" s="15">
        <v>3400</v>
      </c>
      <c r="L30" s="15">
        <v>3400</v>
      </c>
      <c r="M30" s="12" t="s">
        <v>69</v>
      </c>
      <c r="N30" s="12" t="s">
        <v>15</v>
      </c>
      <c r="O30" s="13" t="s">
        <v>235</v>
      </c>
      <c r="P30" s="12" t="s">
        <v>25</v>
      </c>
      <c r="Q30" s="13" t="s">
        <v>236</v>
      </c>
      <c r="R30" s="12" t="s">
        <v>232</v>
      </c>
    </row>
    <row r="31" spans="1:18" ht="16" x14ac:dyDescent="0.2">
      <c r="A31" s="12" t="s">
        <v>237</v>
      </c>
      <c r="B31" s="12" t="s">
        <v>226</v>
      </c>
      <c r="C31" s="12" t="s">
        <v>32</v>
      </c>
      <c r="D31" s="12" t="s">
        <v>79</v>
      </c>
      <c r="E31" s="12" t="s">
        <v>227</v>
      </c>
      <c r="F31" s="12" t="s">
        <v>32</v>
      </c>
      <c r="G31" s="12" t="s">
        <v>226</v>
      </c>
      <c r="H31" s="13" t="s">
        <v>238</v>
      </c>
      <c r="I31" s="14">
        <v>19</v>
      </c>
      <c r="J31" s="12" t="s">
        <v>229</v>
      </c>
      <c r="K31" s="15">
        <v>600</v>
      </c>
      <c r="L31" s="15">
        <v>11400</v>
      </c>
      <c r="M31" s="12" t="s">
        <v>69</v>
      </c>
      <c r="N31" s="12" t="s">
        <v>15</v>
      </c>
      <c r="O31" s="13" t="s">
        <v>239</v>
      </c>
      <c r="P31" s="12" t="s">
        <v>25</v>
      </c>
      <c r="Q31" s="13" t="s">
        <v>240</v>
      </c>
      <c r="R31" s="12" t="s">
        <v>232</v>
      </c>
    </row>
    <row r="32" spans="1:18" ht="32" x14ac:dyDescent="0.2">
      <c r="A32" s="12" t="s">
        <v>241</v>
      </c>
      <c r="B32" s="12" t="s">
        <v>226</v>
      </c>
      <c r="C32" s="12" t="s">
        <v>32</v>
      </c>
      <c r="D32" s="12" t="s">
        <v>85</v>
      </c>
      <c r="E32" s="12" t="s">
        <v>242</v>
      </c>
      <c r="F32" s="12" t="s">
        <v>32</v>
      </c>
      <c r="G32" s="12" t="s">
        <v>226</v>
      </c>
      <c r="H32" s="13" t="s">
        <v>243</v>
      </c>
      <c r="I32" s="14">
        <v>325</v>
      </c>
      <c r="J32" s="12" t="s">
        <v>244</v>
      </c>
      <c r="K32" s="15">
        <v>93</v>
      </c>
      <c r="L32" s="15">
        <v>30225</v>
      </c>
      <c r="M32" s="12" t="s">
        <v>69</v>
      </c>
      <c r="N32" s="12" t="s">
        <v>15</v>
      </c>
      <c r="O32" s="13" t="s">
        <v>245</v>
      </c>
      <c r="P32" s="12" t="s">
        <v>25</v>
      </c>
      <c r="Q32" s="13" t="s">
        <v>246</v>
      </c>
      <c r="R32" s="12" t="s">
        <v>232</v>
      </c>
    </row>
    <row r="33" spans="1:18" ht="16" x14ac:dyDescent="0.2">
      <c r="A33" s="12" t="s">
        <v>247</v>
      </c>
      <c r="B33" s="12" t="s">
        <v>226</v>
      </c>
      <c r="C33" s="12" t="s">
        <v>32</v>
      </c>
      <c r="D33" s="12" t="s">
        <v>248</v>
      </c>
      <c r="E33" s="12" t="s">
        <v>249</v>
      </c>
      <c r="F33" s="12" t="s">
        <v>32</v>
      </c>
      <c r="G33" s="12" t="s">
        <v>226</v>
      </c>
      <c r="H33" s="13" t="s">
        <v>250</v>
      </c>
      <c r="I33" s="14">
        <v>483</v>
      </c>
      <c r="J33" s="12" t="s">
        <v>244</v>
      </c>
      <c r="K33" s="15">
        <v>35</v>
      </c>
      <c r="L33" s="15">
        <v>16905</v>
      </c>
      <c r="M33" s="12" t="s">
        <v>69</v>
      </c>
      <c r="N33" s="12" t="s">
        <v>15</v>
      </c>
      <c r="O33" s="13" t="s">
        <v>251</v>
      </c>
      <c r="P33" s="12" t="s">
        <v>25</v>
      </c>
      <c r="Q33" s="13" t="s">
        <v>246</v>
      </c>
      <c r="R33" s="12" t="s">
        <v>232</v>
      </c>
    </row>
    <row r="34" spans="1:18" ht="16" x14ac:dyDescent="0.2">
      <c r="A34" s="12" t="s">
        <v>252</v>
      </c>
      <c r="B34" s="12" t="s">
        <v>226</v>
      </c>
      <c r="C34" s="12" t="s">
        <v>32</v>
      </c>
      <c r="D34" s="12" t="s">
        <v>253</v>
      </c>
      <c r="E34" s="12" t="s">
        <v>249</v>
      </c>
      <c r="F34" s="12" t="s">
        <v>32</v>
      </c>
      <c r="G34" s="12" t="s">
        <v>226</v>
      </c>
      <c r="H34" s="13" t="s">
        <v>254</v>
      </c>
      <c r="I34" s="14">
        <v>483</v>
      </c>
      <c r="J34" s="12" t="s">
        <v>244</v>
      </c>
      <c r="K34" s="15">
        <v>68</v>
      </c>
      <c r="L34" s="15">
        <v>32844</v>
      </c>
      <c r="M34" s="12" t="s">
        <v>69</v>
      </c>
      <c r="N34" s="12" t="s">
        <v>15</v>
      </c>
      <c r="O34" s="13" t="s">
        <v>255</v>
      </c>
      <c r="P34" s="12" t="s">
        <v>25</v>
      </c>
      <c r="Q34" s="13" t="s">
        <v>246</v>
      </c>
      <c r="R34" s="12" t="s">
        <v>232</v>
      </c>
    </row>
    <row r="35" spans="1:18" ht="16" x14ac:dyDescent="0.2">
      <c r="A35" s="12" t="s">
        <v>256</v>
      </c>
      <c r="B35" s="12" t="s">
        <v>226</v>
      </c>
      <c r="C35" s="12" t="s">
        <v>32</v>
      </c>
      <c r="D35" s="12" t="s">
        <v>257</v>
      </c>
      <c r="E35" s="12" t="s">
        <v>258</v>
      </c>
      <c r="F35" s="12" t="s">
        <v>32</v>
      </c>
      <c r="G35" s="12" t="s">
        <v>226</v>
      </c>
      <c r="H35" s="13" t="s">
        <v>259</v>
      </c>
      <c r="I35" s="14">
        <v>1</v>
      </c>
      <c r="J35" s="12" t="s">
        <v>103</v>
      </c>
      <c r="K35" s="15">
        <v>9490</v>
      </c>
      <c r="L35" s="15">
        <v>9490</v>
      </c>
      <c r="M35" s="12" t="s">
        <v>69</v>
      </c>
      <c r="N35" s="12" t="s">
        <v>15</v>
      </c>
      <c r="O35" s="13" t="s">
        <v>260</v>
      </c>
      <c r="P35" s="12" t="s">
        <v>25</v>
      </c>
      <c r="Q35" s="13" t="s">
        <v>246</v>
      </c>
      <c r="R35" s="12" t="s">
        <v>232</v>
      </c>
    </row>
    <row r="36" spans="1:18" ht="16" x14ac:dyDescent="0.2">
      <c r="A36" s="12" t="s">
        <v>261</v>
      </c>
      <c r="B36" s="12" t="s">
        <v>226</v>
      </c>
      <c r="C36" s="12" t="s">
        <v>32</v>
      </c>
      <c r="D36" s="12" t="s">
        <v>262</v>
      </c>
      <c r="E36" s="12" t="s">
        <v>263</v>
      </c>
      <c r="F36" s="12" t="s">
        <v>32</v>
      </c>
      <c r="G36" s="12" t="s">
        <v>226</v>
      </c>
      <c r="H36" s="13" t="s">
        <v>264</v>
      </c>
      <c r="I36" s="14">
        <v>1</v>
      </c>
      <c r="J36" s="12" t="s">
        <v>103</v>
      </c>
      <c r="K36" s="15">
        <v>11520</v>
      </c>
      <c r="L36" s="15">
        <v>11520</v>
      </c>
      <c r="M36" s="12" t="s">
        <v>69</v>
      </c>
      <c r="N36" s="12" t="s">
        <v>15</v>
      </c>
      <c r="O36" s="13" t="s">
        <v>265</v>
      </c>
      <c r="P36" s="12" t="s">
        <v>25</v>
      </c>
      <c r="Q36" s="13" t="s">
        <v>246</v>
      </c>
      <c r="R36" s="12" t="s">
        <v>232</v>
      </c>
    </row>
    <row r="37" spans="1:18" ht="16" x14ac:dyDescent="0.2">
      <c r="A37" s="12" t="s">
        <v>266</v>
      </c>
      <c r="B37" s="12" t="s">
        <v>226</v>
      </c>
      <c r="C37" s="12" t="s">
        <v>32</v>
      </c>
      <c r="D37" s="12" t="s">
        <v>267</v>
      </c>
      <c r="E37" s="12" t="s">
        <v>249</v>
      </c>
      <c r="F37" s="12" t="s">
        <v>32</v>
      </c>
      <c r="G37" s="12" t="s">
        <v>226</v>
      </c>
      <c r="H37" s="13" t="s">
        <v>268</v>
      </c>
      <c r="I37" s="14">
        <v>650</v>
      </c>
      <c r="J37" s="12" t="s">
        <v>244</v>
      </c>
      <c r="K37" s="15">
        <v>14.05</v>
      </c>
      <c r="L37" s="15">
        <v>9133</v>
      </c>
      <c r="M37" s="12" t="s">
        <v>69</v>
      </c>
      <c r="N37" s="12" t="s">
        <v>15</v>
      </c>
      <c r="O37" s="13" t="s">
        <v>269</v>
      </c>
      <c r="P37" s="12" t="s">
        <v>25</v>
      </c>
      <c r="Q37" s="13" t="s">
        <v>246</v>
      </c>
      <c r="R37" s="12" t="s">
        <v>232</v>
      </c>
    </row>
    <row r="38" spans="1:18" ht="16" x14ac:dyDescent="0.2">
      <c r="A38" s="12" t="s">
        <v>270</v>
      </c>
      <c r="B38" s="12" t="s">
        <v>226</v>
      </c>
      <c r="C38" s="12" t="s">
        <v>32</v>
      </c>
      <c r="D38" s="12" t="s">
        <v>271</v>
      </c>
      <c r="E38" s="12" t="s">
        <v>272</v>
      </c>
      <c r="F38" s="12" t="s">
        <v>32</v>
      </c>
      <c r="G38" s="12" t="s">
        <v>226</v>
      </c>
      <c r="H38" s="13" t="s">
        <v>273</v>
      </c>
      <c r="I38" s="14">
        <v>1</v>
      </c>
      <c r="J38" s="12" t="s">
        <v>103</v>
      </c>
      <c r="K38" s="15">
        <v>11012</v>
      </c>
      <c r="L38" s="15">
        <v>11012</v>
      </c>
      <c r="M38" s="12" t="s">
        <v>69</v>
      </c>
      <c r="N38" s="12" t="s">
        <v>15</v>
      </c>
      <c r="O38" s="13" t="s">
        <v>274</v>
      </c>
      <c r="P38" s="12" t="s">
        <v>25</v>
      </c>
      <c r="Q38" s="13" t="s">
        <v>275</v>
      </c>
      <c r="R38" s="12" t="s">
        <v>232</v>
      </c>
    </row>
    <row r="39" spans="1:18" ht="48" x14ac:dyDescent="0.2">
      <c r="A39" s="12" t="s">
        <v>276</v>
      </c>
      <c r="B39" s="12" t="s">
        <v>277</v>
      </c>
      <c r="C39" s="12" t="s">
        <v>32</v>
      </c>
      <c r="D39" s="12" t="s">
        <v>65</v>
      </c>
      <c r="E39" s="12" t="s">
        <v>278</v>
      </c>
      <c r="F39" s="12" t="s">
        <v>32</v>
      </c>
      <c r="G39" s="12" t="s">
        <v>277</v>
      </c>
      <c r="H39" s="13" t="s">
        <v>279</v>
      </c>
      <c r="I39" s="14">
        <v>780</v>
      </c>
      <c r="J39" s="12" t="s">
        <v>244</v>
      </c>
      <c r="K39" s="15">
        <v>35</v>
      </c>
      <c r="L39" s="15">
        <v>27300</v>
      </c>
      <c r="M39" s="12" t="s">
        <v>69</v>
      </c>
      <c r="N39" s="12" t="s">
        <v>15</v>
      </c>
      <c r="O39" s="13" t="s">
        <v>280</v>
      </c>
      <c r="P39" s="12" t="s">
        <v>25</v>
      </c>
      <c r="Q39" s="13" t="s">
        <v>281</v>
      </c>
      <c r="R39" s="12" t="s">
        <v>282</v>
      </c>
    </row>
    <row r="40" spans="1:18" ht="32" x14ac:dyDescent="0.2">
      <c r="A40" s="12" t="s">
        <v>283</v>
      </c>
      <c r="B40" s="12" t="s">
        <v>277</v>
      </c>
      <c r="C40" s="12" t="s">
        <v>32</v>
      </c>
      <c r="D40" s="12" t="s">
        <v>74</v>
      </c>
      <c r="E40" s="12" t="s">
        <v>284</v>
      </c>
      <c r="F40" s="12" t="s">
        <v>32</v>
      </c>
      <c r="G40" s="12" t="s">
        <v>277</v>
      </c>
      <c r="H40" s="13" t="s">
        <v>285</v>
      </c>
      <c r="I40" s="14">
        <v>780</v>
      </c>
      <c r="J40" s="12" t="s">
        <v>244</v>
      </c>
      <c r="K40" s="15">
        <v>22</v>
      </c>
      <c r="L40" s="15">
        <v>17160</v>
      </c>
      <c r="M40" s="12" t="s">
        <v>69</v>
      </c>
      <c r="N40" s="12" t="s">
        <v>15</v>
      </c>
      <c r="O40" s="13" t="s">
        <v>286</v>
      </c>
      <c r="P40" s="12" t="s">
        <v>25</v>
      </c>
      <c r="Q40" s="13" t="s">
        <v>287</v>
      </c>
      <c r="R40" s="12" t="s">
        <v>282</v>
      </c>
    </row>
    <row r="41" spans="1:18" ht="32" x14ac:dyDescent="0.2">
      <c r="A41" s="12" t="s">
        <v>288</v>
      </c>
      <c r="B41" s="12" t="s">
        <v>277</v>
      </c>
      <c r="C41" s="12" t="s">
        <v>32</v>
      </c>
      <c r="D41" s="12" t="s">
        <v>79</v>
      </c>
      <c r="E41" s="12" t="s">
        <v>289</v>
      </c>
      <c r="F41" s="12" t="s">
        <v>32</v>
      </c>
      <c r="G41" s="12" t="s">
        <v>277</v>
      </c>
      <c r="H41" s="13" t="s">
        <v>290</v>
      </c>
      <c r="I41" s="14">
        <v>40</v>
      </c>
      <c r="J41" s="12" t="s">
        <v>229</v>
      </c>
      <c r="K41" s="15">
        <v>2200</v>
      </c>
      <c r="L41" s="15">
        <v>88000</v>
      </c>
      <c r="M41" s="12" t="s">
        <v>69</v>
      </c>
      <c r="N41" s="12" t="s">
        <v>15</v>
      </c>
      <c r="O41" s="13" t="s">
        <v>291</v>
      </c>
      <c r="P41" s="12" t="s">
        <v>25</v>
      </c>
      <c r="Q41" s="13" t="s">
        <v>292</v>
      </c>
      <c r="R41" s="12" t="s">
        <v>282</v>
      </c>
    </row>
    <row r="42" spans="1:18" ht="48" x14ac:dyDescent="0.2">
      <c r="A42" s="12" t="s">
        <v>293</v>
      </c>
      <c r="B42" s="12" t="s">
        <v>277</v>
      </c>
      <c r="C42" s="12" t="s">
        <v>32</v>
      </c>
      <c r="D42" s="12" t="s">
        <v>85</v>
      </c>
      <c r="E42" s="12" t="s">
        <v>294</v>
      </c>
      <c r="F42" s="12" t="s">
        <v>32</v>
      </c>
      <c r="G42" s="12" t="s">
        <v>277</v>
      </c>
      <c r="H42" s="13" t="s">
        <v>295</v>
      </c>
      <c r="I42" s="14">
        <v>1</v>
      </c>
      <c r="J42" s="12" t="s">
        <v>103</v>
      </c>
      <c r="K42" s="15">
        <v>55000</v>
      </c>
      <c r="L42" s="15">
        <v>55000</v>
      </c>
      <c r="M42" s="12" t="s">
        <v>69</v>
      </c>
      <c r="N42" s="12" t="s">
        <v>15</v>
      </c>
      <c r="O42" s="13" t="s">
        <v>296</v>
      </c>
      <c r="P42" s="12" t="s">
        <v>27</v>
      </c>
      <c r="Q42" s="13" t="s">
        <v>297</v>
      </c>
      <c r="R42" s="12" t="s">
        <v>282</v>
      </c>
    </row>
    <row r="43" spans="1:18" ht="48" x14ac:dyDescent="0.2">
      <c r="A43" s="12" t="s">
        <v>298</v>
      </c>
      <c r="B43" s="12" t="s">
        <v>277</v>
      </c>
      <c r="C43" s="12" t="s">
        <v>32</v>
      </c>
      <c r="D43" s="12" t="s">
        <v>248</v>
      </c>
      <c r="E43" s="12" t="s">
        <v>299</v>
      </c>
      <c r="F43" s="12" t="s">
        <v>32</v>
      </c>
      <c r="G43" s="12" t="s">
        <v>277</v>
      </c>
      <c r="H43" s="13" t="s">
        <v>300</v>
      </c>
      <c r="I43" s="14">
        <v>1</v>
      </c>
      <c r="J43" s="12" t="s">
        <v>103</v>
      </c>
      <c r="K43" s="15">
        <v>20000</v>
      </c>
      <c r="L43" s="15">
        <v>20000</v>
      </c>
      <c r="M43" s="12" t="s">
        <v>69</v>
      </c>
      <c r="N43" s="12" t="s">
        <v>16</v>
      </c>
      <c r="O43" s="13" t="s">
        <v>301</v>
      </c>
      <c r="P43" s="12" t="s">
        <v>27</v>
      </c>
      <c r="Q43" s="13" t="s">
        <v>302</v>
      </c>
      <c r="R43" s="12" t="s">
        <v>282</v>
      </c>
    </row>
    <row r="44" spans="1:18" ht="32" x14ac:dyDescent="0.2">
      <c r="A44" s="12" t="s">
        <v>303</v>
      </c>
      <c r="B44" s="12" t="s">
        <v>277</v>
      </c>
      <c r="C44" s="12" t="s">
        <v>32</v>
      </c>
      <c r="D44" s="12" t="s">
        <v>253</v>
      </c>
      <c r="E44" s="12" t="s">
        <v>304</v>
      </c>
      <c r="F44" s="12" t="s">
        <v>32</v>
      </c>
      <c r="G44" s="12" t="s">
        <v>277</v>
      </c>
      <c r="H44" s="13" t="s">
        <v>305</v>
      </c>
      <c r="I44" s="14">
        <v>4</v>
      </c>
      <c r="J44" s="12" t="s">
        <v>229</v>
      </c>
      <c r="K44" s="15">
        <v>4500</v>
      </c>
      <c r="L44" s="15">
        <v>18000</v>
      </c>
      <c r="M44" s="12" t="s">
        <v>69</v>
      </c>
      <c r="N44" s="12" t="s">
        <v>15</v>
      </c>
      <c r="O44" s="13" t="s">
        <v>306</v>
      </c>
      <c r="P44" s="12" t="s">
        <v>25</v>
      </c>
      <c r="Q44" s="13" t="s">
        <v>307</v>
      </c>
      <c r="R44" s="12" t="s">
        <v>282</v>
      </c>
    </row>
    <row r="45" spans="1:18" ht="32" x14ac:dyDescent="0.2">
      <c r="A45" s="12" t="s">
        <v>308</v>
      </c>
      <c r="B45" s="12" t="s">
        <v>277</v>
      </c>
      <c r="C45" s="12" t="s">
        <v>32</v>
      </c>
      <c r="D45" s="12" t="s">
        <v>257</v>
      </c>
      <c r="E45" s="12" t="s">
        <v>284</v>
      </c>
      <c r="F45" s="12" t="s">
        <v>32</v>
      </c>
      <c r="G45" s="12" t="s">
        <v>277</v>
      </c>
      <c r="H45" s="13" t="s">
        <v>309</v>
      </c>
      <c r="I45" s="14">
        <v>50</v>
      </c>
      <c r="J45" s="12" t="s">
        <v>244</v>
      </c>
      <c r="K45" s="15">
        <v>132</v>
      </c>
      <c r="L45" s="15">
        <v>6600</v>
      </c>
      <c r="M45" s="12" t="s">
        <v>69</v>
      </c>
      <c r="N45" s="12" t="s">
        <v>15</v>
      </c>
      <c r="O45" s="13" t="s">
        <v>310</v>
      </c>
      <c r="P45" s="12" t="s">
        <v>25</v>
      </c>
      <c r="Q45" s="13" t="s">
        <v>311</v>
      </c>
      <c r="R45" s="12" t="s">
        <v>282</v>
      </c>
    </row>
    <row r="46" spans="1:18" ht="32" x14ac:dyDescent="0.2">
      <c r="A46" s="12" t="s">
        <v>312</v>
      </c>
      <c r="B46" s="12" t="s">
        <v>277</v>
      </c>
      <c r="C46" s="12" t="s">
        <v>32</v>
      </c>
      <c r="D46" s="12" t="s">
        <v>262</v>
      </c>
      <c r="E46" s="12" t="s">
        <v>284</v>
      </c>
      <c r="F46" s="12" t="s">
        <v>32</v>
      </c>
      <c r="G46" s="12" t="s">
        <v>277</v>
      </c>
      <c r="H46" s="13" t="s">
        <v>313</v>
      </c>
      <c r="I46" s="14">
        <v>26.5</v>
      </c>
      <c r="J46" s="12" t="s">
        <v>244</v>
      </c>
      <c r="K46" s="15">
        <v>118</v>
      </c>
      <c r="L46" s="15">
        <v>3127</v>
      </c>
      <c r="M46" s="12" t="s">
        <v>69</v>
      </c>
      <c r="N46" s="12" t="s">
        <v>15</v>
      </c>
      <c r="O46" s="13" t="s">
        <v>314</v>
      </c>
      <c r="P46" s="12" t="s">
        <v>25</v>
      </c>
      <c r="Q46" s="13" t="s">
        <v>315</v>
      </c>
      <c r="R46" s="12" t="s">
        <v>282</v>
      </c>
    </row>
    <row r="47" spans="1:18" ht="16" x14ac:dyDescent="0.2">
      <c r="A47" s="12" t="s">
        <v>316</v>
      </c>
      <c r="B47" s="12" t="s">
        <v>277</v>
      </c>
      <c r="C47" s="12" t="s">
        <v>32</v>
      </c>
      <c r="D47" s="12" t="s">
        <v>267</v>
      </c>
      <c r="E47" s="12" t="s">
        <v>284</v>
      </c>
      <c r="F47" s="12" t="s">
        <v>32</v>
      </c>
      <c r="G47" s="12" t="s">
        <v>277</v>
      </c>
      <c r="H47" s="13" t="s">
        <v>317</v>
      </c>
      <c r="I47" s="14">
        <v>20</v>
      </c>
      <c r="J47" s="12" t="s">
        <v>244</v>
      </c>
      <c r="K47" s="15">
        <v>118</v>
      </c>
      <c r="L47" s="15">
        <v>2360</v>
      </c>
      <c r="M47" s="12" t="s">
        <v>69</v>
      </c>
      <c r="N47" s="12" t="s">
        <v>15</v>
      </c>
      <c r="O47" s="13" t="s">
        <v>314</v>
      </c>
      <c r="P47" s="12" t="s">
        <v>25</v>
      </c>
      <c r="Q47" s="13" t="s">
        <v>318</v>
      </c>
      <c r="R47" s="12" t="s">
        <v>282</v>
      </c>
    </row>
    <row r="48" spans="1:18" ht="16" x14ac:dyDescent="0.2">
      <c r="A48" s="12" t="s">
        <v>319</v>
      </c>
      <c r="B48" s="12" t="s">
        <v>277</v>
      </c>
      <c r="C48" s="12" t="s">
        <v>32</v>
      </c>
      <c r="D48" s="12" t="s">
        <v>271</v>
      </c>
      <c r="E48" s="12" t="s">
        <v>284</v>
      </c>
      <c r="F48" s="12" t="s">
        <v>32</v>
      </c>
      <c r="G48" s="12" t="s">
        <v>277</v>
      </c>
      <c r="H48" s="13" t="s">
        <v>320</v>
      </c>
      <c r="I48" s="14">
        <v>30</v>
      </c>
      <c r="J48" s="12" t="s">
        <v>244</v>
      </c>
      <c r="K48" s="15">
        <v>20</v>
      </c>
      <c r="L48" s="15">
        <v>600</v>
      </c>
      <c r="M48" s="12" t="s">
        <v>69</v>
      </c>
      <c r="N48" s="12" t="s">
        <v>15</v>
      </c>
      <c r="O48" s="13" t="s">
        <v>321</v>
      </c>
      <c r="P48" s="12" t="s">
        <v>25</v>
      </c>
      <c r="Q48" s="13" t="s">
        <v>322</v>
      </c>
      <c r="R48" s="12" t="s">
        <v>282</v>
      </c>
    </row>
    <row r="49" spans="1:18" ht="16" x14ac:dyDescent="0.2">
      <c r="A49" s="12" t="s">
        <v>323</v>
      </c>
      <c r="B49" s="12" t="s">
        <v>277</v>
      </c>
      <c r="C49" s="12" t="s">
        <v>32</v>
      </c>
      <c r="D49" s="12" t="s">
        <v>324</v>
      </c>
      <c r="E49" s="12" t="s">
        <v>289</v>
      </c>
      <c r="F49" s="12" t="s">
        <v>32</v>
      </c>
      <c r="G49" s="12" t="s">
        <v>277</v>
      </c>
      <c r="H49" s="13" t="s">
        <v>325</v>
      </c>
      <c r="I49" s="14">
        <v>2</v>
      </c>
      <c r="J49" s="12" t="s">
        <v>229</v>
      </c>
      <c r="K49" s="15">
        <v>800</v>
      </c>
      <c r="L49" s="15">
        <v>1600</v>
      </c>
      <c r="M49" s="12" t="s">
        <v>69</v>
      </c>
      <c r="N49" s="12" t="s">
        <v>15</v>
      </c>
      <c r="O49" s="13" t="s">
        <v>326</v>
      </c>
      <c r="P49" s="12" t="s">
        <v>25</v>
      </c>
      <c r="Q49" s="13" t="s">
        <v>327</v>
      </c>
      <c r="R49" s="12" t="s">
        <v>282</v>
      </c>
    </row>
    <row r="50" spans="1:18" ht="16" x14ac:dyDescent="0.2">
      <c r="A50" s="12" t="s">
        <v>328</v>
      </c>
      <c r="B50" s="12" t="s">
        <v>277</v>
      </c>
      <c r="C50" s="12" t="s">
        <v>32</v>
      </c>
      <c r="D50" s="12" t="s">
        <v>329</v>
      </c>
      <c r="E50" s="12" t="s">
        <v>289</v>
      </c>
      <c r="F50" s="12" t="s">
        <v>32</v>
      </c>
      <c r="G50" s="12" t="s">
        <v>277</v>
      </c>
      <c r="H50" s="13" t="s">
        <v>330</v>
      </c>
      <c r="I50" s="14">
        <v>2</v>
      </c>
      <c r="J50" s="12" t="s">
        <v>229</v>
      </c>
      <c r="K50" s="15">
        <v>1500</v>
      </c>
      <c r="L50" s="15">
        <v>3000</v>
      </c>
      <c r="M50" s="12" t="s">
        <v>69</v>
      </c>
      <c r="N50" s="12" t="s">
        <v>15</v>
      </c>
      <c r="O50" s="13" t="s">
        <v>331</v>
      </c>
      <c r="P50" s="12" t="s">
        <v>25</v>
      </c>
      <c r="Q50" s="13" t="s">
        <v>332</v>
      </c>
      <c r="R50" s="12" t="s">
        <v>282</v>
      </c>
    </row>
    <row r="51" spans="1:18" ht="32" x14ac:dyDescent="0.2">
      <c r="A51" s="12" t="s">
        <v>333</v>
      </c>
      <c r="B51" s="12" t="s">
        <v>277</v>
      </c>
      <c r="C51" s="12" t="s">
        <v>32</v>
      </c>
      <c r="D51" s="12" t="s">
        <v>334</v>
      </c>
      <c r="E51" s="12" t="s">
        <v>284</v>
      </c>
      <c r="F51" s="12" t="s">
        <v>32</v>
      </c>
      <c r="G51" s="12" t="s">
        <v>277</v>
      </c>
      <c r="H51" s="13" t="s">
        <v>335</v>
      </c>
      <c r="I51" s="14">
        <v>30</v>
      </c>
      <c r="J51" s="12" t="s">
        <v>244</v>
      </c>
      <c r="K51" s="15">
        <v>82</v>
      </c>
      <c r="L51" s="15">
        <v>2460</v>
      </c>
      <c r="M51" s="12" t="s">
        <v>69</v>
      </c>
      <c r="N51" s="12" t="s">
        <v>15</v>
      </c>
      <c r="O51" s="13" t="s">
        <v>336</v>
      </c>
      <c r="P51" s="12" t="s">
        <v>25</v>
      </c>
      <c r="Q51" s="13" t="s">
        <v>337</v>
      </c>
      <c r="R51" s="12" t="s">
        <v>282</v>
      </c>
    </row>
    <row r="52" spans="1:18" ht="16" x14ac:dyDescent="0.2">
      <c r="A52" s="12" t="s">
        <v>338</v>
      </c>
      <c r="B52" s="12" t="s">
        <v>277</v>
      </c>
      <c r="C52" s="12" t="s">
        <v>32</v>
      </c>
      <c r="D52" s="12" t="s">
        <v>339</v>
      </c>
      <c r="E52" s="12" t="s">
        <v>278</v>
      </c>
      <c r="F52" s="12" t="s">
        <v>32</v>
      </c>
      <c r="G52" s="12" t="s">
        <v>277</v>
      </c>
      <c r="H52" s="13" t="s">
        <v>340</v>
      </c>
      <c r="I52" s="14">
        <v>41.8</v>
      </c>
      <c r="J52" s="12" t="s">
        <v>244</v>
      </c>
      <c r="K52" s="15">
        <v>35</v>
      </c>
      <c r="L52" s="15">
        <v>1463</v>
      </c>
      <c r="M52" s="12" t="s">
        <v>69</v>
      </c>
      <c r="N52" s="12" t="s">
        <v>15</v>
      </c>
      <c r="O52" s="13" t="s">
        <v>341</v>
      </c>
      <c r="P52" s="12" t="s">
        <v>25</v>
      </c>
      <c r="Q52" s="13" t="s">
        <v>342</v>
      </c>
      <c r="R52" s="12" t="s">
        <v>282</v>
      </c>
    </row>
    <row r="53" spans="1:18" ht="16" x14ac:dyDescent="0.2">
      <c r="A53" s="12" t="s">
        <v>343</v>
      </c>
      <c r="B53" s="12" t="s">
        <v>277</v>
      </c>
      <c r="C53" s="12" t="s">
        <v>32</v>
      </c>
      <c r="D53" s="12" t="s">
        <v>344</v>
      </c>
      <c r="E53" s="12" t="s">
        <v>284</v>
      </c>
      <c r="F53" s="12" t="s">
        <v>32</v>
      </c>
      <c r="G53" s="12" t="s">
        <v>277</v>
      </c>
      <c r="H53" s="13" t="s">
        <v>345</v>
      </c>
      <c r="I53" s="14">
        <v>41.8</v>
      </c>
      <c r="J53" s="12" t="s">
        <v>244</v>
      </c>
      <c r="K53" s="15">
        <v>68</v>
      </c>
      <c r="L53" s="15">
        <v>2842</v>
      </c>
      <c r="M53" s="12" t="s">
        <v>69</v>
      </c>
      <c r="N53" s="12" t="s">
        <v>15</v>
      </c>
      <c r="O53" s="13" t="s">
        <v>346</v>
      </c>
      <c r="P53" s="12" t="s">
        <v>25</v>
      </c>
      <c r="Q53" s="13" t="s">
        <v>347</v>
      </c>
      <c r="R53" s="12" t="s">
        <v>282</v>
      </c>
    </row>
    <row r="54" spans="1:18" ht="16" x14ac:dyDescent="0.2">
      <c r="A54" s="12" t="s">
        <v>348</v>
      </c>
      <c r="B54" s="12" t="s">
        <v>277</v>
      </c>
      <c r="C54" s="12" t="s">
        <v>32</v>
      </c>
      <c r="D54" s="12" t="s">
        <v>349</v>
      </c>
      <c r="E54" s="12" t="s">
        <v>284</v>
      </c>
      <c r="F54" s="12" t="s">
        <v>32</v>
      </c>
      <c r="G54" s="12" t="s">
        <v>277</v>
      </c>
      <c r="H54" s="13" t="s">
        <v>350</v>
      </c>
      <c r="I54" s="14">
        <v>60</v>
      </c>
      <c r="J54" s="12" t="s">
        <v>244</v>
      </c>
      <c r="K54" s="15">
        <v>13</v>
      </c>
      <c r="L54" s="15">
        <v>780</v>
      </c>
      <c r="M54" s="12" t="s">
        <v>69</v>
      </c>
      <c r="N54" s="12" t="s">
        <v>15</v>
      </c>
      <c r="O54" s="13" t="s">
        <v>351</v>
      </c>
      <c r="P54" s="12" t="s">
        <v>25</v>
      </c>
      <c r="Q54" s="13" t="s">
        <v>352</v>
      </c>
      <c r="R54" s="12" t="s">
        <v>282</v>
      </c>
    </row>
    <row r="55" spans="1:18" ht="16" x14ac:dyDescent="0.2">
      <c r="A55" s="12" t="s">
        <v>353</v>
      </c>
      <c r="B55" s="12" t="s">
        <v>277</v>
      </c>
      <c r="C55" s="12" t="s">
        <v>32</v>
      </c>
      <c r="D55" s="12" t="s">
        <v>354</v>
      </c>
      <c r="E55" s="12" t="s">
        <v>284</v>
      </c>
      <c r="F55" s="12" t="s">
        <v>32</v>
      </c>
      <c r="G55" s="12" t="s">
        <v>277</v>
      </c>
      <c r="H55" s="13" t="s">
        <v>355</v>
      </c>
      <c r="I55" s="14">
        <v>20</v>
      </c>
      <c r="J55" s="12" t="s">
        <v>244</v>
      </c>
      <c r="K55" s="15">
        <v>82</v>
      </c>
      <c r="L55" s="15">
        <v>1640</v>
      </c>
      <c r="M55" s="12" t="s">
        <v>69</v>
      </c>
      <c r="N55" s="12" t="s">
        <v>15</v>
      </c>
      <c r="O55" s="13" t="s">
        <v>336</v>
      </c>
      <c r="P55" s="12" t="s">
        <v>25</v>
      </c>
      <c r="Q55" s="13" t="s">
        <v>356</v>
      </c>
      <c r="R55" s="12" t="s">
        <v>282</v>
      </c>
    </row>
    <row r="56" spans="1:18" ht="16" x14ac:dyDescent="0.2">
      <c r="A56" s="12" t="s">
        <v>357</v>
      </c>
      <c r="B56" s="12" t="s">
        <v>277</v>
      </c>
      <c r="C56" s="12" t="s">
        <v>32</v>
      </c>
      <c r="D56" s="12" t="s">
        <v>358</v>
      </c>
      <c r="E56" s="12" t="s">
        <v>278</v>
      </c>
      <c r="F56" s="12" t="s">
        <v>32</v>
      </c>
      <c r="G56" s="12" t="s">
        <v>277</v>
      </c>
      <c r="H56" s="13" t="s">
        <v>359</v>
      </c>
      <c r="I56" s="14">
        <v>25.5</v>
      </c>
      <c r="J56" s="12" t="s">
        <v>244</v>
      </c>
      <c r="K56" s="15">
        <v>35</v>
      </c>
      <c r="L56" s="15">
        <v>893</v>
      </c>
      <c r="M56" s="12" t="s">
        <v>69</v>
      </c>
      <c r="N56" s="12" t="s">
        <v>15</v>
      </c>
      <c r="O56" s="13" t="s">
        <v>341</v>
      </c>
      <c r="P56" s="12" t="s">
        <v>25</v>
      </c>
      <c r="Q56" s="13" t="s">
        <v>360</v>
      </c>
      <c r="R56" s="12" t="s">
        <v>282</v>
      </c>
    </row>
    <row r="57" spans="1:18" ht="16" x14ac:dyDescent="0.2">
      <c r="A57" s="12" t="s">
        <v>361</v>
      </c>
      <c r="B57" s="12" t="s">
        <v>277</v>
      </c>
      <c r="C57" s="12" t="s">
        <v>32</v>
      </c>
      <c r="D57" s="12" t="s">
        <v>362</v>
      </c>
      <c r="E57" s="12" t="s">
        <v>284</v>
      </c>
      <c r="F57" s="12" t="s">
        <v>32</v>
      </c>
      <c r="G57" s="12" t="s">
        <v>277</v>
      </c>
      <c r="H57" s="13" t="s">
        <v>363</v>
      </c>
      <c r="I57" s="14">
        <v>25.5</v>
      </c>
      <c r="J57" s="12" t="s">
        <v>244</v>
      </c>
      <c r="K57" s="15">
        <v>68</v>
      </c>
      <c r="L57" s="15">
        <v>1734</v>
      </c>
      <c r="M57" s="12" t="s">
        <v>69</v>
      </c>
      <c r="N57" s="12" t="s">
        <v>15</v>
      </c>
      <c r="O57" s="13" t="s">
        <v>346</v>
      </c>
      <c r="P57" s="12" t="s">
        <v>25</v>
      </c>
      <c r="Q57" s="13" t="s">
        <v>360</v>
      </c>
      <c r="R57" s="12" t="s">
        <v>282</v>
      </c>
    </row>
    <row r="58" spans="1:18" ht="16" x14ac:dyDescent="0.2">
      <c r="A58" s="12" t="s">
        <v>364</v>
      </c>
      <c r="B58" s="12" t="s">
        <v>277</v>
      </c>
      <c r="C58" s="12" t="s">
        <v>32</v>
      </c>
      <c r="D58" s="12" t="s">
        <v>365</v>
      </c>
      <c r="E58" s="12" t="s">
        <v>284</v>
      </c>
      <c r="F58" s="12" t="s">
        <v>32</v>
      </c>
      <c r="G58" s="12" t="s">
        <v>277</v>
      </c>
      <c r="H58" s="13" t="s">
        <v>366</v>
      </c>
      <c r="I58" s="14">
        <v>40</v>
      </c>
      <c r="J58" s="12" t="s">
        <v>244</v>
      </c>
      <c r="K58" s="15">
        <v>13</v>
      </c>
      <c r="L58" s="15">
        <v>520</v>
      </c>
      <c r="M58" s="12" t="s">
        <v>69</v>
      </c>
      <c r="N58" s="12" t="s">
        <v>15</v>
      </c>
      <c r="O58" s="13" t="s">
        <v>351</v>
      </c>
      <c r="P58" s="12" t="s">
        <v>25</v>
      </c>
      <c r="Q58" s="13" t="s">
        <v>360</v>
      </c>
      <c r="R58" s="12" t="s">
        <v>282</v>
      </c>
    </row>
    <row r="59" spans="1:18" ht="16" x14ac:dyDescent="0.2">
      <c r="A59" s="12" t="s">
        <v>367</v>
      </c>
      <c r="B59" s="12" t="s">
        <v>277</v>
      </c>
      <c r="C59" s="12" t="s">
        <v>32</v>
      </c>
      <c r="D59" s="12" t="s">
        <v>368</v>
      </c>
      <c r="E59" s="12" t="s">
        <v>284</v>
      </c>
      <c r="F59" s="12" t="s">
        <v>32</v>
      </c>
      <c r="G59" s="12" t="s">
        <v>277</v>
      </c>
      <c r="H59" s="13" t="s">
        <v>369</v>
      </c>
      <c r="I59" s="14">
        <v>1</v>
      </c>
      <c r="J59" s="12" t="s">
        <v>229</v>
      </c>
      <c r="K59" s="15">
        <v>2400</v>
      </c>
      <c r="L59" s="15">
        <v>2400</v>
      </c>
      <c r="M59" s="12" t="s">
        <v>69</v>
      </c>
      <c r="N59" s="12" t="s">
        <v>15</v>
      </c>
      <c r="O59" s="13" t="s">
        <v>370</v>
      </c>
      <c r="P59" s="12" t="s">
        <v>25</v>
      </c>
      <c r="Q59" s="13" t="s">
        <v>371</v>
      </c>
      <c r="R59" s="12" t="s">
        <v>282</v>
      </c>
    </row>
    <row r="60" spans="1:18" ht="16" x14ac:dyDescent="0.2">
      <c r="A60" s="12" t="s">
        <v>372</v>
      </c>
      <c r="B60" s="12" t="s">
        <v>277</v>
      </c>
      <c r="C60" s="12" t="s">
        <v>32</v>
      </c>
      <c r="D60" s="12" t="s">
        <v>373</v>
      </c>
      <c r="E60" s="12" t="s">
        <v>284</v>
      </c>
      <c r="F60" s="12" t="s">
        <v>32</v>
      </c>
      <c r="G60" s="12" t="s">
        <v>277</v>
      </c>
      <c r="H60" s="13" t="s">
        <v>374</v>
      </c>
      <c r="I60" s="14">
        <v>18</v>
      </c>
      <c r="J60" s="12" t="s">
        <v>244</v>
      </c>
      <c r="K60" s="15">
        <v>82</v>
      </c>
      <c r="L60" s="15">
        <v>1476</v>
      </c>
      <c r="M60" s="12" t="s">
        <v>69</v>
      </c>
      <c r="N60" s="12" t="s">
        <v>15</v>
      </c>
      <c r="O60" s="13" t="s">
        <v>336</v>
      </c>
      <c r="P60" s="12" t="s">
        <v>25</v>
      </c>
      <c r="Q60" s="13" t="s">
        <v>375</v>
      </c>
      <c r="R60" s="12" t="s">
        <v>282</v>
      </c>
    </row>
    <row r="61" spans="1:18" ht="16" x14ac:dyDescent="0.2">
      <c r="A61" s="12" t="s">
        <v>376</v>
      </c>
      <c r="B61" s="12" t="s">
        <v>277</v>
      </c>
      <c r="C61" s="12" t="s">
        <v>32</v>
      </c>
      <c r="D61" s="12" t="s">
        <v>377</v>
      </c>
      <c r="E61" s="12" t="s">
        <v>278</v>
      </c>
      <c r="F61" s="12" t="s">
        <v>32</v>
      </c>
      <c r="G61" s="12" t="s">
        <v>277</v>
      </c>
      <c r="H61" s="13" t="s">
        <v>378</v>
      </c>
      <c r="I61" s="14">
        <v>16.3</v>
      </c>
      <c r="J61" s="12" t="s">
        <v>244</v>
      </c>
      <c r="K61" s="15">
        <v>35</v>
      </c>
      <c r="L61" s="15">
        <v>571</v>
      </c>
      <c r="M61" s="12" t="s">
        <v>69</v>
      </c>
      <c r="N61" s="12" t="s">
        <v>15</v>
      </c>
      <c r="O61" s="13" t="s">
        <v>341</v>
      </c>
      <c r="P61" s="12" t="s">
        <v>25</v>
      </c>
      <c r="Q61" s="13" t="s">
        <v>379</v>
      </c>
      <c r="R61" s="12" t="s">
        <v>282</v>
      </c>
    </row>
    <row r="62" spans="1:18" ht="16" x14ac:dyDescent="0.2">
      <c r="A62" s="12" t="s">
        <v>380</v>
      </c>
      <c r="B62" s="12" t="s">
        <v>277</v>
      </c>
      <c r="C62" s="12" t="s">
        <v>32</v>
      </c>
      <c r="D62" s="12" t="s">
        <v>381</v>
      </c>
      <c r="E62" s="12" t="s">
        <v>284</v>
      </c>
      <c r="F62" s="12" t="s">
        <v>32</v>
      </c>
      <c r="G62" s="12" t="s">
        <v>277</v>
      </c>
      <c r="H62" s="13" t="s">
        <v>382</v>
      </c>
      <c r="I62" s="14">
        <v>16.3</v>
      </c>
      <c r="J62" s="12" t="s">
        <v>244</v>
      </c>
      <c r="K62" s="15">
        <v>22</v>
      </c>
      <c r="L62" s="15">
        <v>359</v>
      </c>
      <c r="M62" s="12" t="s">
        <v>69</v>
      </c>
      <c r="N62" s="12" t="s">
        <v>15</v>
      </c>
      <c r="O62" s="13" t="s">
        <v>383</v>
      </c>
      <c r="P62" s="12" t="s">
        <v>25</v>
      </c>
      <c r="Q62" s="13" t="s">
        <v>384</v>
      </c>
      <c r="R62" s="12" t="s">
        <v>282</v>
      </c>
    </row>
    <row r="63" spans="1:18" ht="16" x14ac:dyDescent="0.2">
      <c r="A63" s="12" t="s">
        <v>385</v>
      </c>
      <c r="B63" s="12" t="s">
        <v>277</v>
      </c>
      <c r="C63" s="12" t="s">
        <v>32</v>
      </c>
      <c r="D63" s="12" t="s">
        <v>386</v>
      </c>
      <c r="E63" s="12" t="s">
        <v>284</v>
      </c>
      <c r="F63" s="12" t="s">
        <v>32</v>
      </c>
      <c r="G63" s="12" t="s">
        <v>277</v>
      </c>
      <c r="H63" s="13" t="s">
        <v>387</v>
      </c>
      <c r="I63" s="14">
        <v>36</v>
      </c>
      <c r="J63" s="12" t="s">
        <v>244</v>
      </c>
      <c r="K63" s="15">
        <v>13</v>
      </c>
      <c r="L63" s="15">
        <v>468</v>
      </c>
      <c r="M63" s="12" t="s">
        <v>69</v>
      </c>
      <c r="N63" s="12" t="s">
        <v>15</v>
      </c>
      <c r="O63" s="13" t="s">
        <v>351</v>
      </c>
      <c r="P63" s="12" t="s">
        <v>25</v>
      </c>
      <c r="Q63" s="13" t="s">
        <v>379</v>
      </c>
      <c r="R63" s="12" t="s">
        <v>282</v>
      </c>
    </row>
    <row r="64" spans="1:18" ht="16" x14ac:dyDescent="0.2">
      <c r="A64" s="12" t="s">
        <v>388</v>
      </c>
      <c r="B64" s="12" t="s">
        <v>277</v>
      </c>
      <c r="C64" s="12" t="s">
        <v>32</v>
      </c>
      <c r="D64" s="12" t="s">
        <v>389</v>
      </c>
      <c r="E64" s="12" t="s">
        <v>284</v>
      </c>
      <c r="F64" s="12" t="s">
        <v>32</v>
      </c>
      <c r="G64" s="12" t="s">
        <v>277</v>
      </c>
      <c r="H64" s="13" t="s">
        <v>390</v>
      </c>
      <c r="I64" s="14">
        <v>1</v>
      </c>
      <c r="J64" s="12" t="s">
        <v>229</v>
      </c>
      <c r="K64" s="15">
        <v>2400</v>
      </c>
      <c r="L64" s="15">
        <v>2400</v>
      </c>
      <c r="M64" s="12" t="s">
        <v>69</v>
      </c>
      <c r="N64" s="12" t="s">
        <v>15</v>
      </c>
      <c r="O64" s="13" t="s">
        <v>370</v>
      </c>
      <c r="P64" s="12" t="s">
        <v>25</v>
      </c>
      <c r="Q64" s="13" t="s">
        <v>391</v>
      </c>
      <c r="R64" s="12" t="s">
        <v>282</v>
      </c>
    </row>
    <row r="65" spans="1:18" ht="32" x14ac:dyDescent="0.2">
      <c r="A65" s="12" t="s">
        <v>392</v>
      </c>
      <c r="B65" s="12" t="s">
        <v>277</v>
      </c>
      <c r="C65" s="12" t="s">
        <v>32</v>
      </c>
      <c r="D65" s="12" t="s">
        <v>393</v>
      </c>
      <c r="E65" s="12" t="s">
        <v>284</v>
      </c>
      <c r="F65" s="12" t="s">
        <v>32</v>
      </c>
      <c r="G65" s="12" t="s">
        <v>277</v>
      </c>
      <c r="H65" s="13" t="s">
        <v>394</v>
      </c>
      <c r="I65" s="14">
        <v>16</v>
      </c>
      <c r="J65" s="12" t="s">
        <v>244</v>
      </c>
      <c r="K65" s="15">
        <v>112</v>
      </c>
      <c r="L65" s="15">
        <v>1792</v>
      </c>
      <c r="M65" s="12" t="s">
        <v>69</v>
      </c>
      <c r="N65" s="12" t="s">
        <v>15</v>
      </c>
      <c r="O65" s="13" t="s">
        <v>395</v>
      </c>
      <c r="P65" s="12" t="s">
        <v>25</v>
      </c>
      <c r="Q65" s="13" t="s">
        <v>396</v>
      </c>
      <c r="R65" s="12" t="s">
        <v>282</v>
      </c>
    </row>
    <row r="66" spans="1:18" ht="16" x14ac:dyDescent="0.2">
      <c r="A66" s="12" t="s">
        <v>397</v>
      </c>
      <c r="B66" s="12" t="s">
        <v>277</v>
      </c>
      <c r="C66" s="12" t="s">
        <v>32</v>
      </c>
      <c r="D66" s="12" t="s">
        <v>398</v>
      </c>
      <c r="E66" s="12" t="s">
        <v>278</v>
      </c>
      <c r="F66" s="12" t="s">
        <v>32</v>
      </c>
      <c r="G66" s="12" t="s">
        <v>277</v>
      </c>
      <c r="H66" s="13" t="s">
        <v>399</v>
      </c>
      <c r="I66" s="14">
        <v>11.6</v>
      </c>
      <c r="J66" s="12" t="s">
        <v>244</v>
      </c>
      <c r="K66" s="15">
        <v>35</v>
      </c>
      <c r="L66" s="15">
        <v>406</v>
      </c>
      <c r="M66" s="12" t="s">
        <v>69</v>
      </c>
      <c r="N66" s="12" t="s">
        <v>15</v>
      </c>
      <c r="O66" s="13" t="s">
        <v>341</v>
      </c>
      <c r="P66" s="12" t="s">
        <v>25</v>
      </c>
      <c r="Q66" s="13" t="s">
        <v>400</v>
      </c>
      <c r="R66" s="12" t="s">
        <v>282</v>
      </c>
    </row>
    <row r="67" spans="1:18" ht="16" x14ac:dyDescent="0.2">
      <c r="A67" s="12" t="s">
        <v>401</v>
      </c>
      <c r="B67" s="12" t="s">
        <v>277</v>
      </c>
      <c r="C67" s="12" t="s">
        <v>32</v>
      </c>
      <c r="D67" s="12" t="s">
        <v>402</v>
      </c>
      <c r="E67" s="12" t="s">
        <v>284</v>
      </c>
      <c r="F67" s="12" t="s">
        <v>32</v>
      </c>
      <c r="G67" s="12" t="s">
        <v>277</v>
      </c>
      <c r="H67" s="13" t="s">
        <v>403</v>
      </c>
      <c r="I67" s="14">
        <v>11.6</v>
      </c>
      <c r="J67" s="12" t="s">
        <v>244</v>
      </c>
      <c r="K67" s="15">
        <v>22</v>
      </c>
      <c r="L67" s="15">
        <v>255</v>
      </c>
      <c r="M67" s="12" t="s">
        <v>69</v>
      </c>
      <c r="N67" s="12" t="s">
        <v>15</v>
      </c>
      <c r="O67" s="13" t="s">
        <v>383</v>
      </c>
      <c r="P67" s="12" t="s">
        <v>25</v>
      </c>
      <c r="Q67" s="13" t="s">
        <v>404</v>
      </c>
      <c r="R67" s="12" t="s">
        <v>282</v>
      </c>
    </row>
    <row r="68" spans="1:18" ht="16" x14ac:dyDescent="0.2">
      <c r="A68" s="12" t="s">
        <v>405</v>
      </c>
      <c r="B68" s="12" t="s">
        <v>277</v>
      </c>
      <c r="C68" s="12" t="s">
        <v>32</v>
      </c>
      <c r="D68" s="12" t="s">
        <v>406</v>
      </c>
      <c r="E68" s="12" t="s">
        <v>284</v>
      </c>
      <c r="F68" s="12" t="s">
        <v>32</v>
      </c>
      <c r="G68" s="12" t="s">
        <v>277</v>
      </c>
      <c r="H68" s="13" t="s">
        <v>407</v>
      </c>
      <c r="I68" s="14">
        <v>32</v>
      </c>
      <c r="J68" s="12" t="s">
        <v>244</v>
      </c>
      <c r="K68" s="15">
        <v>13</v>
      </c>
      <c r="L68" s="15">
        <v>416</v>
      </c>
      <c r="M68" s="12" t="s">
        <v>69</v>
      </c>
      <c r="N68" s="12" t="s">
        <v>15</v>
      </c>
      <c r="O68" s="13" t="s">
        <v>351</v>
      </c>
      <c r="P68" s="12" t="s">
        <v>25</v>
      </c>
      <c r="Q68" s="13" t="s">
        <v>400</v>
      </c>
      <c r="R68" s="12" t="s">
        <v>282</v>
      </c>
    </row>
    <row r="69" spans="1:18" ht="16" x14ac:dyDescent="0.2">
      <c r="A69" s="12" t="s">
        <v>408</v>
      </c>
      <c r="B69" s="12" t="s">
        <v>277</v>
      </c>
      <c r="C69" s="12" t="s">
        <v>32</v>
      </c>
      <c r="D69" s="12" t="s">
        <v>409</v>
      </c>
      <c r="E69" s="12" t="s">
        <v>284</v>
      </c>
      <c r="F69" s="12" t="s">
        <v>32</v>
      </c>
      <c r="G69" s="12" t="s">
        <v>277</v>
      </c>
      <c r="H69" s="13" t="s">
        <v>410</v>
      </c>
      <c r="I69" s="14">
        <v>1</v>
      </c>
      <c r="J69" s="12" t="s">
        <v>229</v>
      </c>
      <c r="K69" s="15">
        <v>2400</v>
      </c>
      <c r="L69" s="15">
        <v>2400</v>
      </c>
      <c r="M69" s="12" t="s">
        <v>69</v>
      </c>
      <c r="N69" s="12" t="s">
        <v>15</v>
      </c>
      <c r="O69" s="13" t="s">
        <v>370</v>
      </c>
      <c r="P69" s="12" t="s">
        <v>25</v>
      </c>
      <c r="Q69" s="13" t="s">
        <v>391</v>
      </c>
      <c r="R69" s="12" t="s">
        <v>282</v>
      </c>
    </row>
    <row r="70" spans="1:18" ht="16" x14ac:dyDescent="0.2">
      <c r="A70" s="12" t="s">
        <v>411</v>
      </c>
      <c r="B70" s="12" t="s">
        <v>277</v>
      </c>
      <c r="C70" s="12" t="s">
        <v>32</v>
      </c>
      <c r="D70" s="12" t="s">
        <v>412</v>
      </c>
      <c r="E70" s="12" t="s">
        <v>284</v>
      </c>
      <c r="F70" s="12" t="s">
        <v>32</v>
      </c>
      <c r="G70" s="12" t="s">
        <v>277</v>
      </c>
      <c r="H70" s="13" t="s">
        <v>413</v>
      </c>
      <c r="I70" s="14">
        <v>10</v>
      </c>
      <c r="J70" s="12" t="s">
        <v>244</v>
      </c>
      <c r="K70" s="15">
        <v>82</v>
      </c>
      <c r="L70" s="15">
        <v>820</v>
      </c>
      <c r="M70" s="12" t="s">
        <v>69</v>
      </c>
      <c r="N70" s="12" t="s">
        <v>15</v>
      </c>
      <c r="O70" s="13" t="s">
        <v>336</v>
      </c>
      <c r="P70" s="12" t="s">
        <v>25</v>
      </c>
      <c r="Q70" s="13" t="s">
        <v>414</v>
      </c>
      <c r="R70" s="12" t="s">
        <v>282</v>
      </c>
    </row>
    <row r="71" spans="1:18" ht="16" x14ac:dyDescent="0.2">
      <c r="A71" s="12" t="s">
        <v>415</v>
      </c>
      <c r="B71" s="12" t="s">
        <v>277</v>
      </c>
      <c r="C71" s="12" t="s">
        <v>32</v>
      </c>
      <c r="D71" s="12" t="s">
        <v>416</v>
      </c>
      <c r="E71" s="12" t="s">
        <v>278</v>
      </c>
      <c r="F71" s="12" t="s">
        <v>32</v>
      </c>
      <c r="G71" s="12" t="s">
        <v>277</v>
      </c>
      <c r="H71" s="13" t="s">
        <v>417</v>
      </c>
      <c r="I71" s="14">
        <v>5.6</v>
      </c>
      <c r="J71" s="12" t="s">
        <v>244</v>
      </c>
      <c r="K71" s="15">
        <v>35</v>
      </c>
      <c r="L71" s="15">
        <v>196</v>
      </c>
      <c r="M71" s="12" t="s">
        <v>69</v>
      </c>
      <c r="N71" s="12" t="s">
        <v>15</v>
      </c>
      <c r="O71" s="13" t="s">
        <v>341</v>
      </c>
      <c r="P71" s="12" t="s">
        <v>25</v>
      </c>
      <c r="Q71" s="13" t="s">
        <v>418</v>
      </c>
      <c r="R71" s="12" t="s">
        <v>282</v>
      </c>
    </row>
    <row r="72" spans="1:18" ht="16" x14ac:dyDescent="0.2">
      <c r="A72" s="12" t="s">
        <v>419</v>
      </c>
      <c r="B72" s="12" t="s">
        <v>277</v>
      </c>
      <c r="C72" s="12" t="s">
        <v>32</v>
      </c>
      <c r="D72" s="12" t="s">
        <v>420</v>
      </c>
      <c r="E72" s="12" t="s">
        <v>284</v>
      </c>
      <c r="F72" s="12" t="s">
        <v>32</v>
      </c>
      <c r="G72" s="12" t="s">
        <v>277</v>
      </c>
      <c r="H72" s="13" t="s">
        <v>421</v>
      </c>
      <c r="I72" s="14">
        <v>5.6</v>
      </c>
      <c r="J72" s="12" t="s">
        <v>244</v>
      </c>
      <c r="K72" s="15">
        <v>68</v>
      </c>
      <c r="L72" s="15">
        <v>381</v>
      </c>
      <c r="M72" s="12" t="s">
        <v>69</v>
      </c>
      <c r="N72" s="12" t="s">
        <v>15</v>
      </c>
      <c r="O72" s="13" t="s">
        <v>346</v>
      </c>
      <c r="P72" s="12" t="s">
        <v>25</v>
      </c>
      <c r="Q72" s="13" t="s">
        <v>418</v>
      </c>
      <c r="R72" s="12" t="s">
        <v>282</v>
      </c>
    </row>
    <row r="73" spans="1:18" ht="16" x14ac:dyDescent="0.2">
      <c r="A73" s="12" t="s">
        <v>422</v>
      </c>
      <c r="B73" s="12" t="s">
        <v>277</v>
      </c>
      <c r="C73" s="12" t="s">
        <v>32</v>
      </c>
      <c r="D73" s="12" t="s">
        <v>423</v>
      </c>
      <c r="E73" s="12" t="s">
        <v>284</v>
      </c>
      <c r="F73" s="12" t="s">
        <v>32</v>
      </c>
      <c r="G73" s="12" t="s">
        <v>277</v>
      </c>
      <c r="H73" s="13" t="s">
        <v>424</v>
      </c>
      <c r="I73" s="14">
        <v>20</v>
      </c>
      <c r="J73" s="12" t="s">
        <v>244</v>
      </c>
      <c r="K73" s="15">
        <v>13</v>
      </c>
      <c r="L73" s="15">
        <v>260</v>
      </c>
      <c r="M73" s="12" t="s">
        <v>69</v>
      </c>
      <c r="N73" s="12" t="s">
        <v>15</v>
      </c>
      <c r="O73" s="13" t="s">
        <v>351</v>
      </c>
      <c r="P73" s="12" t="s">
        <v>25</v>
      </c>
      <c r="Q73" s="13" t="s">
        <v>418</v>
      </c>
      <c r="R73" s="12" t="s">
        <v>282</v>
      </c>
    </row>
    <row r="74" spans="1:18" ht="32" x14ac:dyDescent="0.2">
      <c r="A74" s="12" t="s">
        <v>425</v>
      </c>
      <c r="B74" s="12" t="s">
        <v>277</v>
      </c>
      <c r="C74" s="12" t="s">
        <v>32</v>
      </c>
      <c r="D74" s="12" t="s">
        <v>426</v>
      </c>
      <c r="E74" s="12" t="s">
        <v>284</v>
      </c>
      <c r="F74" s="12" t="s">
        <v>32</v>
      </c>
      <c r="G74" s="12" t="s">
        <v>277</v>
      </c>
      <c r="H74" s="13" t="s">
        <v>427</v>
      </c>
      <c r="I74" s="14">
        <v>1</v>
      </c>
      <c r="J74" s="12" t="s">
        <v>229</v>
      </c>
      <c r="K74" s="15">
        <v>2400</v>
      </c>
      <c r="L74" s="15">
        <v>2400</v>
      </c>
      <c r="M74" s="12" t="s">
        <v>69</v>
      </c>
      <c r="N74" s="12" t="s">
        <v>15</v>
      </c>
      <c r="O74" s="13" t="s">
        <v>370</v>
      </c>
      <c r="P74" s="12" t="s">
        <v>25</v>
      </c>
      <c r="Q74" s="13" t="s">
        <v>391</v>
      </c>
      <c r="R74" s="12" t="s">
        <v>282</v>
      </c>
    </row>
    <row r="75" spans="1:18" ht="16" x14ac:dyDescent="0.2">
      <c r="A75" s="12" t="s">
        <v>428</v>
      </c>
      <c r="B75" s="12" t="s">
        <v>277</v>
      </c>
      <c r="C75" s="12" t="s">
        <v>32</v>
      </c>
      <c r="D75" s="12" t="s">
        <v>429</v>
      </c>
      <c r="E75" s="12" t="s">
        <v>284</v>
      </c>
      <c r="F75" s="12" t="s">
        <v>32</v>
      </c>
      <c r="G75" s="12" t="s">
        <v>277</v>
      </c>
      <c r="H75" s="13" t="s">
        <v>430</v>
      </c>
      <c r="I75" s="14">
        <v>2</v>
      </c>
      <c r="J75" s="12" t="s">
        <v>229</v>
      </c>
      <c r="K75" s="15">
        <v>2400</v>
      </c>
      <c r="L75" s="15">
        <v>4800</v>
      </c>
      <c r="M75" s="12" t="s">
        <v>69</v>
      </c>
      <c r="N75" s="12" t="s">
        <v>15</v>
      </c>
      <c r="O75" s="13" t="s">
        <v>370</v>
      </c>
      <c r="P75" s="12" t="s">
        <v>25</v>
      </c>
      <c r="Q75" s="13" t="s">
        <v>431</v>
      </c>
      <c r="R75" s="12" t="s">
        <v>282</v>
      </c>
    </row>
    <row r="76" spans="1:18" ht="16" x14ac:dyDescent="0.2">
      <c r="A76" s="12" t="s">
        <v>432</v>
      </c>
      <c r="B76" s="12" t="s">
        <v>277</v>
      </c>
      <c r="C76" s="12" t="s">
        <v>32</v>
      </c>
      <c r="D76" s="12" t="s">
        <v>433</v>
      </c>
      <c r="E76" s="12" t="s">
        <v>284</v>
      </c>
      <c r="F76" s="12" t="s">
        <v>32</v>
      </c>
      <c r="G76" s="12" t="s">
        <v>277</v>
      </c>
      <c r="H76" s="13" t="s">
        <v>434</v>
      </c>
      <c r="I76" s="14">
        <v>1</v>
      </c>
      <c r="J76" s="12" t="s">
        <v>229</v>
      </c>
      <c r="K76" s="15">
        <v>2400</v>
      </c>
      <c r="L76" s="15">
        <v>2400</v>
      </c>
      <c r="M76" s="12" t="s">
        <v>69</v>
      </c>
      <c r="N76" s="12" t="s">
        <v>15</v>
      </c>
      <c r="O76" s="13" t="s">
        <v>370</v>
      </c>
      <c r="P76" s="12" t="s">
        <v>25</v>
      </c>
      <c r="Q76" s="13" t="s">
        <v>435</v>
      </c>
      <c r="R76" s="12" t="s">
        <v>282</v>
      </c>
    </row>
    <row r="77" spans="1:18" ht="32" x14ac:dyDescent="0.2">
      <c r="A77" s="12" t="s">
        <v>436</v>
      </c>
      <c r="B77" s="12" t="s">
        <v>437</v>
      </c>
      <c r="C77" s="12" t="s">
        <v>32</v>
      </c>
      <c r="D77" s="12" t="s">
        <v>65</v>
      </c>
      <c r="E77" s="12" t="s">
        <v>438</v>
      </c>
      <c r="F77" s="12" t="s">
        <v>32</v>
      </c>
      <c r="G77" s="12" t="s">
        <v>437</v>
      </c>
      <c r="H77" s="13" t="s">
        <v>439</v>
      </c>
      <c r="I77" s="14">
        <v>780</v>
      </c>
      <c r="J77" s="12" t="s">
        <v>244</v>
      </c>
      <c r="K77" s="15">
        <v>35</v>
      </c>
      <c r="L77" s="15">
        <v>27300</v>
      </c>
      <c r="M77" s="12" t="s">
        <v>69</v>
      </c>
      <c r="N77" s="12" t="s">
        <v>15</v>
      </c>
      <c r="O77" s="13" t="s">
        <v>440</v>
      </c>
      <c r="P77" s="12" t="s">
        <v>25</v>
      </c>
      <c r="Q77" s="13" t="s">
        <v>441</v>
      </c>
      <c r="R77" s="12" t="s">
        <v>442</v>
      </c>
    </row>
    <row r="78" spans="1:18" ht="16" x14ac:dyDescent="0.2">
      <c r="A78" s="12" t="s">
        <v>443</v>
      </c>
      <c r="B78" s="12" t="s">
        <v>437</v>
      </c>
      <c r="C78" s="12" t="s">
        <v>32</v>
      </c>
      <c r="D78" s="12" t="s">
        <v>74</v>
      </c>
      <c r="E78" s="12" t="s">
        <v>438</v>
      </c>
      <c r="F78" s="12" t="s">
        <v>32</v>
      </c>
      <c r="G78" s="12" t="s">
        <v>437</v>
      </c>
      <c r="H78" s="13" t="s">
        <v>444</v>
      </c>
      <c r="I78" s="14">
        <v>74</v>
      </c>
      <c r="J78" s="12" t="s">
        <v>244</v>
      </c>
      <c r="K78" s="15">
        <v>35</v>
      </c>
      <c r="L78" s="15">
        <v>2590</v>
      </c>
      <c r="M78" s="12" t="s">
        <v>69</v>
      </c>
      <c r="N78" s="12" t="s">
        <v>15</v>
      </c>
      <c r="O78" s="13" t="s">
        <v>440</v>
      </c>
      <c r="P78" s="12" t="s">
        <v>25</v>
      </c>
      <c r="Q78" s="13" t="s">
        <v>445</v>
      </c>
      <c r="R78" s="12" t="s">
        <v>442</v>
      </c>
    </row>
    <row r="79" spans="1:18" ht="16" x14ac:dyDescent="0.2">
      <c r="A79" s="12" t="s">
        <v>446</v>
      </c>
      <c r="B79" s="12" t="s">
        <v>437</v>
      </c>
      <c r="C79" s="12" t="s">
        <v>32</v>
      </c>
      <c r="D79" s="12" t="s">
        <v>79</v>
      </c>
      <c r="E79" s="12" t="s">
        <v>438</v>
      </c>
      <c r="F79" s="12" t="s">
        <v>32</v>
      </c>
      <c r="G79" s="12" t="s">
        <v>437</v>
      </c>
      <c r="H79" s="13" t="s">
        <v>447</v>
      </c>
      <c r="I79" s="14">
        <v>56</v>
      </c>
      <c r="J79" s="12" t="s">
        <v>244</v>
      </c>
      <c r="K79" s="15">
        <v>35</v>
      </c>
      <c r="L79" s="15">
        <v>1960</v>
      </c>
      <c r="M79" s="12" t="s">
        <v>69</v>
      </c>
      <c r="N79" s="12" t="s">
        <v>15</v>
      </c>
      <c r="O79" s="13" t="s">
        <v>440</v>
      </c>
      <c r="P79" s="12" t="s">
        <v>25</v>
      </c>
      <c r="Q79" s="13" t="s">
        <v>448</v>
      </c>
      <c r="R79" s="12" t="s">
        <v>442</v>
      </c>
    </row>
    <row r="80" spans="1:18" ht="16" x14ac:dyDescent="0.2">
      <c r="A80" s="12" t="s">
        <v>449</v>
      </c>
      <c r="B80" s="12" t="s">
        <v>437</v>
      </c>
      <c r="C80" s="12" t="s">
        <v>32</v>
      </c>
      <c r="D80" s="12" t="s">
        <v>85</v>
      </c>
      <c r="E80" s="12" t="s">
        <v>450</v>
      </c>
      <c r="F80" s="12" t="s">
        <v>32</v>
      </c>
      <c r="G80" s="12" t="s">
        <v>437</v>
      </c>
      <c r="H80" s="13" t="s">
        <v>451</v>
      </c>
      <c r="I80" s="14">
        <v>780</v>
      </c>
      <c r="J80" s="12" t="s">
        <v>244</v>
      </c>
      <c r="K80" s="15">
        <v>22</v>
      </c>
      <c r="L80" s="15">
        <v>17160</v>
      </c>
      <c r="M80" s="12" t="s">
        <v>69</v>
      </c>
      <c r="N80" s="12" t="s">
        <v>15</v>
      </c>
      <c r="O80" s="13" t="s">
        <v>452</v>
      </c>
      <c r="P80" s="12" t="s">
        <v>25</v>
      </c>
      <c r="Q80" s="13" t="s">
        <v>453</v>
      </c>
      <c r="R80" s="12" t="s">
        <v>442</v>
      </c>
    </row>
    <row r="81" spans="1:18" ht="16" x14ac:dyDescent="0.2">
      <c r="A81" s="12" t="s">
        <v>454</v>
      </c>
      <c r="B81" s="12" t="s">
        <v>437</v>
      </c>
      <c r="C81" s="12" t="s">
        <v>32</v>
      </c>
      <c r="D81" s="12" t="s">
        <v>248</v>
      </c>
      <c r="E81" s="12" t="s">
        <v>450</v>
      </c>
      <c r="F81" s="12" t="s">
        <v>32</v>
      </c>
      <c r="G81" s="12" t="s">
        <v>437</v>
      </c>
      <c r="H81" s="13" t="s">
        <v>455</v>
      </c>
      <c r="I81" s="14">
        <v>74</v>
      </c>
      <c r="J81" s="12" t="s">
        <v>244</v>
      </c>
      <c r="K81" s="15">
        <v>22</v>
      </c>
      <c r="L81" s="15">
        <v>1628</v>
      </c>
      <c r="M81" s="12" t="s">
        <v>69</v>
      </c>
      <c r="N81" s="12" t="s">
        <v>15</v>
      </c>
      <c r="O81" s="13" t="s">
        <v>452</v>
      </c>
      <c r="P81" s="12" t="s">
        <v>25</v>
      </c>
      <c r="Q81" s="13" t="s">
        <v>456</v>
      </c>
      <c r="R81" s="12" t="s">
        <v>442</v>
      </c>
    </row>
    <row r="82" spans="1:18" ht="32" x14ac:dyDescent="0.2">
      <c r="A82" s="12" t="s">
        <v>457</v>
      </c>
      <c r="B82" s="12" t="s">
        <v>437</v>
      </c>
      <c r="C82" s="12" t="s">
        <v>32</v>
      </c>
      <c r="D82" s="12" t="s">
        <v>253</v>
      </c>
      <c r="E82" s="12" t="s">
        <v>450</v>
      </c>
      <c r="F82" s="12" t="s">
        <v>32</v>
      </c>
      <c r="G82" s="12" t="s">
        <v>437</v>
      </c>
      <c r="H82" s="13" t="s">
        <v>458</v>
      </c>
      <c r="I82" s="14">
        <v>1</v>
      </c>
      <c r="J82" s="12" t="s">
        <v>103</v>
      </c>
      <c r="K82" s="15">
        <v>15000</v>
      </c>
      <c r="L82" s="15">
        <v>15000</v>
      </c>
      <c r="M82" s="12" t="s">
        <v>69</v>
      </c>
      <c r="N82" s="12" t="s">
        <v>16</v>
      </c>
      <c r="O82" s="13" t="s">
        <v>459</v>
      </c>
      <c r="P82" s="12" t="s">
        <v>27</v>
      </c>
      <c r="Q82" s="13" t="s">
        <v>460</v>
      </c>
      <c r="R82" s="12" t="s">
        <v>442</v>
      </c>
    </row>
    <row r="83" spans="1:18" ht="32" x14ac:dyDescent="0.2">
      <c r="A83" s="12" t="s">
        <v>461</v>
      </c>
      <c r="B83" s="12" t="s">
        <v>437</v>
      </c>
      <c r="C83" s="12" t="s">
        <v>32</v>
      </c>
      <c r="D83" s="12" t="s">
        <v>257</v>
      </c>
      <c r="E83" s="12" t="s">
        <v>450</v>
      </c>
      <c r="F83" s="12" t="s">
        <v>32</v>
      </c>
      <c r="G83" s="12" t="s">
        <v>437</v>
      </c>
      <c r="H83" s="13" t="s">
        <v>462</v>
      </c>
      <c r="I83" s="14">
        <v>320</v>
      </c>
      <c r="J83" s="12" t="s">
        <v>244</v>
      </c>
      <c r="K83" s="15">
        <v>20</v>
      </c>
      <c r="L83" s="15">
        <v>6400</v>
      </c>
      <c r="M83" s="12" t="s">
        <v>69</v>
      </c>
      <c r="N83" s="12" t="s">
        <v>15</v>
      </c>
      <c r="O83" s="13" t="s">
        <v>463</v>
      </c>
      <c r="P83" s="12" t="s">
        <v>25</v>
      </c>
      <c r="Q83" s="13" t="s">
        <v>464</v>
      </c>
      <c r="R83" s="12" t="s">
        <v>442</v>
      </c>
    </row>
    <row r="84" spans="1:18" ht="32" x14ac:dyDescent="0.2">
      <c r="A84" s="12" t="s">
        <v>465</v>
      </c>
      <c r="B84" s="12" t="s">
        <v>437</v>
      </c>
      <c r="C84" s="12" t="s">
        <v>32</v>
      </c>
      <c r="D84" s="12" t="s">
        <v>262</v>
      </c>
      <c r="E84" s="12" t="s">
        <v>466</v>
      </c>
      <c r="F84" s="12" t="s">
        <v>32</v>
      </c>
      <c r="G84" s="12" t="s">
        <v>437</v>
      </c>
      <c r="H84" s="13" t="s">
        <v>467</v>
      </c>
      <c r="I84" s="14">
        <v>1</v>
      </c>
      <c r="J84" s="12" t="s">
        <v>103</v>
      </c>
      <c r="K84" s="15">
        <v>22000</v>
      </c>
      <c r="L84" s="15">
        <v>22000</v>
      </c>
      <c r="M84" s="12" t="s">
        <v>69</v>
      </c>
      <c r="N84" s="12" t="s">
        <v>16</v>
      </c>
      <c r="O84" s="13" t="s">
        <v>468</v>
      </c>
      <c r="P84" s="12" t="s">
        <v>27</v>
      </c>
      <c r="Q84" s="13" t="s">
        <v>469</v>
      </c>
      <c r="R84" s="12" t="s">
        <v>442</v>
      </c>
    </row>
    <row r="85" spans="1:18" ht="32" x14ac:dyDescent="0.2">
      <c r="A85" s="12" t="s">
        <v>470</v>
      </c>
      <c r="B85" s="12" t="s">
        <v>437</v>
      </c>
      <c r="C85" s="12" t="s">
        <v>32</v>
      </c>
      <c r="D85" s="12" t="s">
        <v>267</v>
      </c>
      <c r="E85" s="12" t="s">
        <v>466</v>
      </c>
      <c r="F85" s="12" t="s">
        <v>32</v>
      </c>
      <c r="G85" s="12" t="s">
        <v>437</v>
      </c>
      <c r="H85" s="13" t="s">
        <v>471</v>
      </c>
      <c r="I85" s="14">
        <v>1</v>
      </c>
      <c r="J85" s="12" t="s">
        <v>103</v>
      </c>
      <c r="K85" s="15">
        <v>12000</v>
      </c>
      <c r="L85" s="15">
        <v>12000</v>
      </c>
      <c r="M85" s="12" t="s">
        <v>69</v>
      </c>
      <c r="N85" s="12" t="s">
        <v>16</v>
      </c>
      <c r="O85" s="13" t="s">
        <v>472</v>
      </c>
      <c r="P85" s="12" t="s">
        <v>27</v>
      </c>
      <c r="Q85" s="13" t="s">
        <v>473</v>
      </c>
      <c r="R85" s="12" t="s">
        <v>442</v>
      </c>
    </row>
    <row r="86" spans="1:18" ht="32" x14ac:dyDescent="0.2">
      <c r="A86" s="12" t="s">
        <v>474</v>
      </c>
      <c r="B86" s="12" t="s">
        <v>437</v>
      </c>
      <c r="C86" s="12" t="s">
        <v>32</v>
      </c>
      <c r="D86" s="12" t="s">
        <v>271</v>
      </c>
      <c r="E86" s="12" t="s">
        <v>475</v>
      </c>
      <c r="F86" s="12" t="s">
        <v>32</v>
      </c>
      <c r="G86" s="12" t="s">
        <v>437</v>
      </c>
      <c r="H86" s="13" t="s">
        <v>476</v>
      </c>
      <c r="I86" s="14">
        <v>40</v>
      </c>
      <c r="J86" s="12" t="s">
        <v>229</v>
      </c>
      <c r="K86" s="15">
        <v>1000</v>
      </c>
      <c r="L86" s="15">
        <v>40000</v>
      </c>
      <c r="M86" s="12" t="s">
        <v>69</v>
      </c>
      <c r="N86" s="12" t="s">
        <v>15</v>
      </c>
      <c r="O86" s="13" t="s">
        <v>477</v>
      </c>
      <c r="P86" s="12" t="s">
        <v>25</v>
      </c>
      <c r="Q86" s="13" t="s">
        <v>478</v>
      </c>
      <c r="R86" s="12" t="s">
        <v>442</v>
      </c>
    </row>
    <row r="87" spans="1:18" ht="16" x14ac:dyDescent="0.2">
      <c r="A87" s="12" t="s">
        <v>479</v>
      </c>
      <c r="B87" s="12" t="s">
        <v>437</v>
      </c>
      <c r="C87" s="12" t="s">
        <v>32</v>
      </c>
      <c r="D87" s="12" t="s">
        <v>324</v>
      </c>
      <c r="E87" s="12" t="s">
        <v>475</v>
      </c>
      <c r="F87" s="12" t="s">
        <v>32</v>
      </c>
      <c r="G87" s="12" t="s">
        <v>437</v>
      </c>
      <c r="H87" s="13" t="s">
        <v>480</v>
      </c>
      <c r="I87" s="14">
        <v>56</v>
      </c>
      <c r="J87" s="12" t="s">
        <v>244</v>
      </c>
      <c r="K87" s="15">
        <v>118</v>
      </c>
      <c r="L87" s="15">
        <v>6608</v>
      </c>
      <c r="M87" s="12" t="s">
        <v>69</v>
      </c>
      <c r="N87" s="12" t="s">
        <v>15</v>
      </c>
      <c r="O87" s="13" t="s">
        <v>481</v>
      </c>
      <c r="P87" s="12" t="s">
        <v>25</v>
      </c>
      <c r="Q87" s="13" t="s">
        <v>482</v>
      </c>
      <c r="R87" s="12" t="s">
        <v>442</v>
      </c>
    </row>
    <row r="88" spans="1:18" ht="16" x14ac:dyDescent="0.2">
      <c r="A88" s="12" t="s">
        <v>483</v>
      </c>
      <c r="B88" s="12" t="s">
        <v>437</v>
      </c>
      <c r="C88" s="12" t="s">
        <v>32</v>
      </c>
      <c r="D88" s="12" t="s">
        <v>329</v>
      </c>
      <c r="E88" s="12" t="s">
        <v>475</v>
      </c>
      <c r="F88" s="12" t="s">
        <v>32</v>
      </c>
      <c r="G88" s="12" t="s">
        <v>437</v>
      </c>
      <c r="H88" s="13" t="s">
        <v>484</v>
      </c>
      <c r="I88" s="14">
        <v>55</v>
      </c>
      <c r="J88" s="12" t="s">
        <v>244</v>
      </c>
      <c r="K88" s="15">
        <v>35</v>
      </c>
      <c r="L88" s="15">
        <v>1925</v>
      </c>
      <c r="M88" s="12" t="s">
        <v>69</v>
      </c>
      <c r="N88" s="12" t="s">
        <v>15</v>
      </c>
      <c r="O88" s="13" t="s">
        <v>440</v>
      </c>
      <c r="P88" s="12" t="s">
        <v>25</v>
      </c>
      <c r="Q88" s="13" t="s">
        <v>485</v>
      </c>
      <c r="R88" s="12" t="s">
        <v>442</v>
      </c>
    </row>
    <row r="89" spans="1:18" ht="16" x14ac:dyDescent="0.2">
      <c r="A89" s="12" t="s">
        <v>486</v>
      </c>
      <c r="B89" s="12" t="s">
        <v>437</v>
      </c>
      <c r="C89" s="12" t="s">
        <v>32</v>
      </c>
      <c r="D89" s="12" t="s">
        <v>334</v>
      </c>
      <c r="E89" s="12" t="s">
        <v>475</v>
      </c>
      <c r="F89" s="12" t="s">
        <v>32</v>
      </c>
      <c r="G89" s="12" t="s">
        <v>437</v>
      </c>
      <c r="H89" s="13" t="s">
        <v>487</v>
      </c>
      <c r="I89" s="14">
        <v>65</v>
      </c>
      <c r="J89" s="12" t="s">
        <v>244</v>
      </c>
      <c r="K89" s="15">
        <v>132</v>
      </c>
      <c r="L89" s="15">
        <v>8580</v>
      </c>
      <c r="M89" s="12" t="s">
        <v>69</v>
      </c>
      <c r="N89" s="12" t="s">
        <v>15</v>
      </c>
      <c r="O89" s="13" t="s">
        <v>488</v>
      </c>
      <c r="P89" s="12" t="s">
        <v>25</v>
      </c>
      <c r="Q89" s="13" t="s">
        <v>489</v>
      </c>
      <c r="R89" s="12" t="s">
        <v>442</v>
      </c>
    </row>
    <row r="90" spans="1:18" ht="16" x14ac:dyDescent="0.2">
      <c r="A90" s="12" t="s">
        <v>490</v>
      </c>
      <c r="B90" s="12" t="s">
        <v>437</v>
      </c>
      <c r="C90" s="12" t="s">
        <v>32</v>
      </c>
      <c r="D90" s="12" t="s">
        <v>339</v>
      </c>
      <c r="E90" s="12" t="s">
        <v>475</v>
      </c>
      <c r="F90" s="12" t="s">
        <v>32</v>
      </c>
      <c r="G90" s="12" t="s">
        <v>437</v>
      </c>
      <c r="H90" s="13" t="s">
        <v>491</v>
      </c>
      <c r="I90" s="14">
        <v>111</v>
      </c>
      <c r="J90" s="12" t="s">
        <v>244</v>
      </c>
      <c r="K90" s="15">
        <v>102</v>
      </c>
      <c r="L90" s="15">
        <v>11322</v>
      </c>
      <c r="M90" s="12" t="s">
        <v>69</v>
      </c>
      <c r="N90" s="12" t="s">
        <v>15</v>
      </c>
      <c r="O90" s="13" t="s">
        <v>492</v>
      </c>
      <c r="P90" s="12" t="s">
        <v>25</v>
      </c>
      <c r="Q90" s="13" t="s">
        <v>493</v>
      </c>
      <c r="R90" s="12" t="s">
        <v>442</v>
      </c>
    </row>
    <row r="91" spans="1:18" ht="16" x14ac:dyDescent="0.2">
      <c r="A91" s="12" t="s">
        <v>494</v>
      </c>
      <c r="B91" s="12" t="s">
        <v>437</v>
      </c>
      <c r="C91" s="12" t="s">
        <v>32</v>
      </c>
      <c r="D91" s="12" t="s">
        <v>344</v>
      </c>
      <c r="E91" s="12" t="s">
        <v>475</v>
      </c>
      <c r="F91" s="12" t="s">
        <v>32</v>
      </c>
      <c r="G91" s="12" t="s">
        <v>437</v>
      </c>
      <c r="H91" s="13" t="s">
        <v>495</v>
      </c>
      <c r="I91" s="14">
        <v>180</v>
      </c>
      <c r="J91" s="12" t="s">
        <v>244</v>
      </c>
      <c r="K91" s="15">
        <v>20</v>
      </c>
      <c r="L91" s="15">
        <v>3600</v>
      </c>
      <c r="M91" s="12" t="s">
        <v>69</v>
      </c>
      <c r="N91" s="12" t="s">
        <v>15</v>
      </c>
      <c r="O91" s="13" t="s">
        <v>463</v>
      </c>
      <c r="P91" s="12" t="s">
        <v>25</v>
      </c>
      <c r="Q91" s="13" t="s">
        <v>496</v>
      </c>
      <c r="R91" s="12" t="s">
        <v>442</v>
      </c>
    </row>
    <row r="92" spans="1:18" ht="16" x14ac:dyDescent="0.2">
      <c r="A92" s="12" t="s">
        <v>497</v>
      </c>
      <c r="B92" s="12" t="s">
        <v>437</v>
      </c>
      <c r="C92" s="12" t="s">
        <v>32</v>
      </c>
      <c r="D92" s="12" t="s">
        <v>349</v>
      </c>
      <c r="E92" s="12" t="s">
        <v>475</v>
      </c>
      <c r="F92" s="12" t="s">
        <v>32</v>
      </c>
      <c r="G92" s="12" t="s">
        <v>437</v>
      </c>
      <c r="H92" s="13" t="s">
        <v>498</v>
      </c>
      <c r="I92" s="14">
        <v>2</v>
      </c>
      <c r="J92" s="12" t="s">
        <v>229</v>
      </c>
      <c r="K92" s="15">
        <v>800</v>
      </c>
      <c r="L92" s="15">
        <v>1600</v>
      </c>
      <c r="M92" s="12" t="s">
        <v>69</v>
      </c>
      <c r="N92" s="12" t="s">
        <v>15</v>
      </c>
      <c r="O92" s="13" t="s">
        <v>499</v>
      </c>
      <c r="P92" s="12" t="s">
        <v>25</v>
      </c>
      <c r="Q92" s="13" t="s">
        <v>500</v>
      </c>
      <c r="R92" s="12" t="s">
        <v>442</v>
      </c>
    </row>
    <row r="93" spans="1:18" ht="16" x14ac:dyDescent="0.2">
      <c r="A93" s="12" t="s">
        <v>501</v>
      </c>
      <c r="B93" s="12" t="s">
        <v>437</v>
      </c>
      <c r="C93" s="12" t="s">
        <v>32</v>
      </c>
      <c r="D93" s="12" t="s">
        <v>354</v>
      </c>
      <c r="E93" s="12" t="s">
        <v>475</v>
      </c>
      <c r="F93" s="12" t="s">
        <v>32</v>
      </c>
      <c r="G93" s="12" t="s">
        <v>437</v>
      </c>
      <c r="H93" s="13" t="s">
        <v>502</v>
      </c>
      <c r="I93" s="14">
        <v>4</v>
      </c>
      <c r="J93" s="12" t="s">
        <v>229</v>
      </c>
      <c r="K93" s="15">
        <v>1500</v>
      </c>
      <c r="L93" s="15">
        <v>6000</v>
      </c>
      <c r="M93" s="12" t="s">
        <v>69</v>
      </c>
      <c r="N93" s="12" t="s">
        <v>15</v>
      </c>
      <c r="O93" s="13" t="s">
        <v>503</v>
      </c>
      <c r="P93" s="12" t="s">
        <v>25</v>
      </c>
      <c r="Q93" s="13" t="s">
        <v>504</v>
      </c>
      <c r="R93" s="12" t="s">
        <v>442</v>
      </c>
    </row>
    <row r="94" spans="1:18" ht="16" x14ac:dyDescent="0.2">
      <c r="A94" s="12" t="s">
        <v>505</v>
      </c>
      <c r="B94" s="12" t="s">
        <v>437</v>
      </c>
      <c r="C94" s="12" t="s">
        <v>32</v>
      </c>
      <c r="D94" s="12" t="s">
        <v>358</v>
      </c>
      <c r="E94" s="12" t="s">
        <v>475</v>
      </c>
      <c r="F94" s="12" t="s">
        <v>32</v>
      </c>
      <c r="G94" s="12" t="s">
        <v>437</v>
      </c>
      <c r="H94" s="13" t="s">
        <v>506</v>
      </c>
      <c r="I94" s="14">
        <v>2</v>
      </c>
      <c r="J94" s="12" t="s">
        <v>229</v>
      </c>
      <c r="K94" s="15">
        <v>1100</v>
      </c>
      <c r="L94" s="15">
        <v>2200</v>
      </c>
      <c r="M94" s="12" t="s">
        <v>69</v>
      </c>
      <c r="N94" s="12" t="s">
        <v>15</v>
      </c>
      <c r="O94" s="13" t="s">
        <v>507</v>
      </c>
      <c r="P94" s="12" t="s">
        <v>25</v>
      </c>
      <c r="Q94" s="13" t="s">
        <v>508</v>
      </c>
      <c r="R94" s="12" t="s">
        <v>442</v>
      </c>
    </row>
    <row r="95" spans="1:18" ht="16" x14ac:dyDescent="0.2">
      <c r="A95" s="12" t="s">
        <v>509</v>
      </c>
      <c r="B95" s="12" t="s">
        <v>437</v>
      </c>
      <c r="C95" s="12" t="s">
        <v>32</v>
      </c>
      <c r="D95" s="12" t="s">
        <v>362</v>
      </c>
      <c r="E95" s="12" t="s">
        <v>475</v>
      </c>
      <c r="F95" s="12" t="s">
        <v>32</v>
      </c>
      <c r="G95" s="12" t="s">
        <v>437</v>
      </c>
      <c r="H95" s="13" t="s">
        <v>510</v>
      </c>
      <c r="I95" s="14">
        <v>3</v>
      </c>
      <c r="J95" s="12" t="s">
        <v>511</v>
      </c>
      <c r="K95" s="15">
        <v>575</v>
      </c>
      <c r="L95" s="15">
        <v>1725</v>
      </c>
      <c r="M95" s="12" t="s">
        <v>69</v>
      </c>
      <c r="N95" s="12" t="s">
        <v>15</v>
      </c>
      <c r="O95" s="13" t="s">
        <v>512</v>
      </c>
      <c r="P95" s="12" t="s">
        <v>25</v>
      </c>
      <c r="Q95" s="13" t="s">
        <v>513</v>
      </c>
      <c r="R95" s="12" t="s">
        <v>442</v>
      </c>
    </row>
    <row r="96" spans="1:18" ht="32" x14ac:dyDescent="0.2">
      <c r="A96" s="12" t="s">
        <v>514</v>
      </c>
      <c r="B96" s="12" t="s">
        <v>437</v>
      </c>
      <c r="C96" s="12" t="s">
        <v>32</v>
      </c>
      <c r="D96" s="12" t="s">
        <v>365</v>
      </c>
      <c r="E96" s="12" t="s">
        <v>475</v>
      </c>
      <c r="F96" s="12" t="s">
        <v>32</v>
      </c>
      <c r="G96" s="12" t="s">
        <v>437</v>
      </c>
      <c r="H96" s="13" t="s">
        <v>515</v>
      </c>
      <c r="I96" s="14">
        <v>1</v>
      </c>
      <c r="J96" s="12" t="s">
        <v>103</v>
      </c>
      <c r="K96" s="15">
        <v>3500</v>
      </c>
      <c r="L96" s="15">
        <v>3500</v>
      </c>
      <c r="M96" s="12" t="s">
        <v>69</v>
      </c>
      <c r="N96" s="12" t="s">
        <v>16</v>
      </c>
      <c r="O96" s="13" t="s">
        <v>516</v>
      </c>
      <c r="P96" s="12" t="s">
        <v>27</v>
      </c>
      <c r="Q96" s="13" t="s">
        <v>517</v>
      </c>
      <c r="R96" s="12" t="s">
        <v>442</v>
      </c>
    </row>
    <row r="97" spans="1:18" ht="16" x14ac:dyDescent="0.2">
      <c r="A97" s="12" t="s">
        <v>518</v>
      </c>
      <c r="B97" s="12" t="s">
        <v>437</v>
      </c>
      <c r="C97" s="12" t="s">
        <v>32</v>
      </c>
      <c r="D97" s="12" t="s">
        <v>368</v>
      </c>
      <c r="E97" s="12" t="s">
        <v>519</v>
      </c>
      <c r="F97" s="12" t="s">
        <v>32</v>
      </c>
      <c r="G97" s="12" t="s">
        <v>437</v>
      </c>
      <c r="H97" s="13" t="s">
        <v>520</v>
      </c>
      <c r="I97" s="14">
        <v>19</v>
      </c>
      <c r="J97" s="12" t="s">
        <v>244</v>
      </c>
      <c r="K97" s="15">
        <v>35</v>
      </c>
      <c r="L97" s="15">
        <v>665</v>
      </c>
      <c r="M97" s="12" t="s">
        <v>69</v>
      </c>
      <c r="N97" s="12" t="s">
        <v>15</v>
      </c>
      <c r="O97" s="13" t="s">
        <v>440</v>
      </c>
      <c r="P97" s="12" t="s">
        <v>25</v>
      </c>
      <c r="Q97" s="13" t="s">
        <v>521</v>
      </c>
      <c r="R97" s="12" t="s">
        <v>442</v>
      </c>
    </row>
    <row r="98" spans="1:18" ht="16" x14ac:dyDescent="0.2">
      <c r="A98" s="12" t="s">
        <v>522</v>
      </c>
      <c r="B98" s="12" t="s">
        <v>437</v>
      </c>
      <c r="C98" s="12" t="s">
        <v>32</v>
      </c>
      <c r="D98" s="12" t="s">
        <v>373</v>
      </c>
      <c r="E98" s="12" t="s">
        <v>519</v>
      </c>
      <c r="F98" s="12" t="s">
        <v>32</v>
      </c>
      <c r="G98" s="12" t="s">
        <v>437</v>
      </c>
      <c r="H98" s="13" t="s">
        <v>523</v>
      </c>
      <c r="I98" s="14">
        <v>19</v>
      </c>
      <c r="J98" s="12" t="s">
        <v>244</v>
      </c>
      <c r="K98" s="15">
        <v>68</v>
      </c>
      <c r="L98" s="15">
        <v>1292</v>
      </c>
      <c r="M98" s="12" t="s">
        <v>69</v>
      </c>
      <c r="N98" s="12" t="s">
        <v>15</v>
      </c>
      <c r="O98" s="13" t="s">
        <v>524</v>
      </c>
      <c r="P98" s="12" t="s">
        <v>25</v>
      </c>
      <c r="Q98" s="13" t="s">
        <v>525</v>
      </c>
      <c r="R98" s="12" t="s">
        <v>442</v>
      </c>
    </row>
    <row r="99" spans="1:18" ht="16" x14ac:dyDescent="0.2">
      <c r="A99" s="12" t="s">
        <v>526</v>
      </c>
      <c r="B99" s="12" t="s">
        <v>437</v>
      </c>
      <c r="C99" s="12" t="s">
        <v>32</v>
      </c>
      <c r="D99" s="12" t="s">
        <v>377</v>
      </c>
      <c r="E99" s="12" t="s">
        <v>519</v>
      </c>
      <c r="F99" s="12" t="s">
        <v>32</v>
      </c>
      <c r="G99" s="12" t="s">
        <v>437</v>
      </c>
      <c r="H99" s="13" t="s">
        <v>527</v>
      </c>
      <c r="I99" s="14">
        <v>50</v>
      </c>
      <c r="J99" s="12" t="s">
        <v>244</v>
      </c>
      <c r="K99" s="15">
        <v>13</v>
      </c>
      <c r="L99" s="15">
        <v>650</v>
      </c>
      <c r="M99" s="12" t="s">
        <v>69</v>
      </c>
      <c r="N99" s="12" t="s">
        <v>15</v>
      </c>
      <c r="O99" s="13" t="s">
        <v>528</v>
      </c>
      <c r="P99" s="12" t="s">
        <v>25</v>
      </c>
      <c r="Q99" s="13" t="s">
        <v>529</v>
      </c>
      <c r="R99" s="12" t="s">
        <v>442</v>
      </c>
    </row>
    <row r="100" spans="1:18" ht="16" x14ac:dyDescent="0.2">
      <c r="A100" s="12" t="s">
        <v>530</v>
      </c>
      <c r="B100" s="12" t="s">
        <v>437</v>
      </c>
      <c r="C100" s="12" t="s">
        <v>32</v>
      </c>
      <c r="D100" s="12" t="s">
        <v>381</v>
      </c>
      <c r="E100" s="12" t="s">
        <v>519</v>
      </c>
      <c r="F100" s="12" t="s">
        <v>32</v>
      </c>
      <c r="G100" s="12" t="s">
        <v>437</v>
      </c>
      <c r="H100" s="13" t="s">
        <v>531</v>
      </c>
      <c r="I100" s="14">
        <v>9</v>
      </c>
      <c r="J100" s="12" t="s">
        <v>244</v>
      </c>
      <c r="K100" s="15">
        <v>118</v>
      </c>
      <c r="L100" s="15">
        <v>1062</v>
      </c>
      <c r="M100" s="12" t="s">
        <v>69</v>
      </c>
      <c r="N100" s="12" t="s">
        <v>15</v>
      </c>
      <c r="O100" s="13" t="s">
        <v>481</v>
      </c>
      <c r="P100" s="12" t="s">
        <v>25</v>
      </c>
      <c r="Q100" s="13" t="s">
        <v>532</v>
      </c>
      <c r="R100" s="12" t="s">
        <v>442</v>
      </c>
    </row>
    <row r="101" spans="1:18" ht="16" x14ac:dyDescent="0.2">
      <c r="A101" s="12" t="s">
        <v>533</v>
      </c>
      <c r="B101" s="12" t="s">
        <v>437</v>
      </c>
      <c r="C101" s="12" t="s">
        <v>32</v>
      </c>
      <c r="D101" s="12" t="s">
        <v>386</v>
      </c>
      <c r="E101" s="12" t="s">
        <v>519</v>
      </c>
      <c r="F101" s="12" t="s">
        <v>32</v>
      </c>
      <c r="G101" s="12" t="s">
        <v>437</v>
      </c>
      <c r="H101" s="13" t="s">
        <v>534</v>
      </c>
      <c r="I101" s="14">
        <v>18</v>
      </c>
      <c r="J101" s="12" t="s">
        <v>244</v>
      </c>
      <c r="K101" s="15">
        <v>132</v>
      </c>
      <c r="L101" s="15">
        <v>2376</v>
      </c>
      <c r="M101" s="12" t="s">
        <v>69</v>
      </c>
      <c r="N101" s="12" t="s">
        <v>15</v>
      </c>
      <c r="O101" s="13" t="s">
        <v>488</v>
      </c>
      <c r="P101" s="12" t="s">
        <v>25</v>
      </c>
      <c r="Q101" s="13" t="s">
        <v>535</v>
      </c>
      <c r="R101" s="12" t="s">
        <v>442</v>
      </c>
    </row>
    <row r="102" spans="1:18" ht="16" x14ac:dyDescent="0.2">
      <c r="A102" s="12" t="s">
        <v>536</v>
      </c>
      <c r="B102" s="12" t="s">
        <v>437</v>
      </c>
      <c r="C102" s="12" t="s">
        <v>32</v>
      </c>
      <c r="D102" s="12" t="s">
        <v>389</v>
      </c>
      <c r="E102" s="12" t="s">
        <v>519</v>
      </c>
      <c r="F102" s="12" t="s">
        <v>32</v>
      </c>
      <c r="G102" s="12" t="s">
        <v>437</v>
      </c>
      <c r="H102" s="13" t="s">
        <v>537</v>
      </c>
      <c r="I102" s="14">
        <v>9</v>
      </c>
      <c r="J102" s="12" t="s">
        <v>244</v>
      </c>
      <c r="K102" s="15">
        <v>102</v>
      </c>
      <c r="L102" s="15">
        <v>918</v>
      </c>
      <c r="M102" s="12" t="s">
        <v>69</v>
      </c>
      <c r="N102" s="12" t="s">
        <v>15</v>
      </c>
      <c r="O102" s="13" t="s">
        <v>492</v>
      </c>
      <c r="P102" s="12" t="s">
        <v>25</v>
      </c>
      <c r="Q102" s="13" t="s">
        <v>538</v>
      </c>
      <c r="R102" s="12" t="s">
        <v>442</v>
      </c>
    </row>
    <row r="103" spans="1:18" ht="16" x14ac:dyDescent="0.2">
      <c r="A103" s="12" t="s">
        <v>539</v>
      </c>
      <c r="B103" s="12" t="s">
        <v>437</v>
      </c>
      <c r="C103" s="12" t="s">
        <v>32</v>
      </c>
      <c r="D103" s="12" t="s">
        <v>393</v>
      </c>
      <c r="E103" s="12" t="s">
        <v>519</v>
      </c>
      <c r="F103" s="12" t="s">
        <v>32</v>
      </c>
      <c r="G103" s="12" t="s">
        <v>437</v>
      </c>
      <c r="H103" s="13" t="s">
        <v>540</v>
      </c>
      <c r="I103" s="14">
        <v>18</v>
      </c>
      <c r="J103" s="12" t="s">
        <v>244</v>
      </c>
      <c r="K103" s="15">
        <v>20</v>
      </c>
      <c r="L103" s="15">
        <v>360</v>
      </c>
      <c r="M103" s="12" t="s">
        <v>69</v>
      </c>
      <c r="N103" s="12" t="s">
        <v>15</v>
      </c>
      <c r="O103" s="13" t="s">
        <v>463</v>
      </c>
      <c r="P103" s="12" t="s">
        <v>25</v>
      </c>
      <c r="Q103" s="13" t="s">
        <v>541</v>
      </c>
      <c r="R103" s="12" t="s">
        <v>442</v>
      </c>
    </row>
    <row r="104" spans="1:18" ht="16" x14ac:dyDescent="0.2">
      <c r="A104" s="12" t="s">
        <v>542</v>
      </c>
      <c r="B104" s="12" t="s">
        <v>437</v>
      </c>
      <c r="C104" s="12" t="s">
        <v>32</v>
      </c>
      <c r="D104" s="12" t="s">
        <v>398</v>
      </c>
      <c r="E104" s="12" t="s">
        <v>519</v>
      </c>
      <c r="F104" s="12" t="s">
        <v>32</v>
      </c>
      <c r="G104" s="12" t="s">
        <v>437</v>
      </c>
      <c r="H104" s="13" t="s">
        <v>543</v>
      </c>
      <c r="I104" s="14">
        <v>1</v>
      </c>
      <c r="J104" s="12" t="s">
        <v>229</v>
      </c>
      <c r="K104" s="15">
        <v>800</v>
      </c>
      <c r="L104" s="15">
        <v>800</v>
      </c>
      <c r="M104" s="12" t="s">
        <v>69</v>
      </c>
      <c r="N104" s="12" t="s">
        <v>15</v>
      </c>
      <c r="O104" s="13" t="s">
        <v>499</v>
      </c>
      <c r="P104" s="12" t="s">
        <v>25</v>
      </c>
      <c r="Q104" s="13" t="s">
        <v>544</v>
      </c>
      <c r="R104" s="12" t="s">
        <v>442</v>
      </c>
    </row>
    <row r="105" spans="1:18" ht="16" x14ac:dyDescent="0.2">
      <c r="A105" s="12" t="s">
        <v>545</v>
      </c>
      <c r="B105" s="12" t="s">
        <v>437</v>
      </c>
      <c r="C105" s="12" t="s">
        <v>32</v>
      </c>
      <c r="D105" s="12" t="s">
        <v>402</v>
      </c>
      <c r="E105" s="12" t="s">
        <v>519</v>
      </c>
      <c r="F105" s="12" t="s">
        <v>32</v>
      </c>
      <c r="G105" s="12" t="s">
        <v>437</v>
      </c>
      <c r="H105" s="13" t="s">
        <v>546</v>
      </c>
      <c r="I105" s="14">
        <v>1</v>
      </c>
      <c r="J105" s="12" t="s">
        <v>229</v>
      </c>
      <c r="K105" s="15">
        <v>1100</v>
      </c>
      <c r="L105" s="15">
        <v>1100</v>
      </c>
      <c r="M105" s="12" t="s">
        <v>69</v>
      </c>
      <c r="N105" s="12" t="s">
        <v>15</v>
      </c>
      <c r="O105" s="13" t="s">
        <v>507</v>
      </c>
      <c r="P105" s="12" t="s">
        <v>25</v>
      </c>
      <c r="Q105" s="13" t="s">
        <v>547</v>
      </c>
      <c r="R105" s="12" t="s">
        <v>442</v>
      </c>
    </row>
    <row r="106" spans="1:18" ht="16" x14ac:dyDescent="0.2">
      <c r="A106" s="12" t="s">
        <v>548</v>
      </c>
      <c r="B106" s="12" t="s">
        <v>437</v>
      </c>
      <c r="C106" s="12" t="s">
        <v>32</v>
      </c>
      <c r="D106" s="12" t="s">
        <v>406</v>
      </c>
      <c r="E106" s="12" t="s">
        <v>519</v>
      </c>
      <c r="F106" s="12" t="s">
        <v>32</v>
      </c>
      <c r="G106" s="12" t="s">
        <v>437</v>
      </c>
      <c r="H106" s="13" t="s">
        <v>549</v>
      </c>
      <c r="I106" s="14">
        <v>1</v>
      </c>
      <c r="J106" s="12" t="s">
        <v>229</v>
      </c>
      <c r="K106" s="15">
        <v>1500</v>
      </c>
      <c r="L106" s="15">
        <v>1500</v>
      </c>
      <c r="M106" s="12" t="s">
        <v>69</v>
      </c>
      <c r="N106" s="12" t="s">
        <v>15</v>
      </c>
      <c r="O106" s="13" t="s">
        <v>503</v>
      </c>
      <c r="P106" s="12" t="s">
        <v>25</v>
      </c>
      <c r="Q106" s="13" t="s">
        <v>550</v>
      </c>
      <c r="R106" s="12" t="s">
        <v>442</v>
      </c>
    </row>
    <row r="107" spans="1:18" ht="16" x14ac:dyDescent="0.2">
      <c r="A107" s="12" t="s">
        <v>551</v>
      </c>
      <c r="B107" s="12" t="s">
        <v>437</v>
      </c>
      <c r="C107" s="12" t="s">
        <v>32</v>
      </c>
      <c r="D107" s="12" t="s">
        <v>409</v>
      </c>
      <c r="E107" s="12" t="s">
        <v>519</v>
      </c>
      <c r="F107" s="12" t="s">
        <v>32</v>
      </c>
      <c r="G107" s="12" t="s">
        <v>437</v>
      </c>
      <c r="H107" s="13" t="s">
        <v>552</v>
      </c>
      <c r="I107" s="14">
        <v>1</v>
      </c>
      <c r="J107" s="12" t="s">
        <v>511</v>
      </c>
      <c r="K107" s="15">
        <v>575</v>
      </c>
      <c r="L107" s="15">
        <v>575</v>
      </c>
      <c r="M107" s="12" t="s">
        <v>69</v>
      </c>
      <c r="N107" s="12" t="s">
        <v>15</v>
      </c>
      <c r="O107" s="13" t="s">
        <v>512</v>
      </c>
      <c r="P107" s="12" t="s">
        <v>25</v>
      </c>
      <c r="Q107" s="13" t="s">
        <v>553</v>
      </c>
      <c r="R107" s="12" t="s">
        <v>442</v>
      </c>
    </row>
    <row r="108" spans="1:18" ht="32" x14ac:dyDescent="0.2">
      <c r="A108" s="12" t="s">
        <v>554</v>
      </c>
      <c r="B108" s="12" t="s">
        <v>437</v>
      </c>
      <c r="C108" s="12" t="s">
        <v>32</v>
      </c>
      <c r="D108" s="12" t="s">
        <v>412</v>
      </c>
      <c r="E108" s="12" t="s">
        <v>475</v>
      </c>
      <c r="F108" s="12" t="s">
        <v>32</v>
      </c>
      <c r="G108" s="12" t="s">
        <v>437</v>
      </c>
      <c r="H108" s="13" t="s">
        <v>555</v>
      </c>
      <c r="I108" s="14">
        <v>1</v>
      </c>
      <c r="J108" s="12" t="s">
        <v>103</v>
      </c>
      <c r="K108" s="15">
        <v>8000</v>
      </c>
      <c r="L108" s="15">
        <v>8000</v>
      </c>
      <c r="M108" s="12" t="s">
        <v>69</v>
      </c>
      <c r="N108" s="12" t="s">
        <v>16</v>
      </c>
      <c r="O108" s="13" t="s">
        <v>556</v>
      </c>
      <c r="P108" s="12" t="s">
        <v>27</v>
      </c>
      <c r="Q108" s="13" t="s">
        <v>557</v>
      </c>
      <c r="R108" s="12" t="s">
        <v>442</v>
      </c>
    </row>
    <row r="109" spans="1:18" ht="32" x14ac:dyDescent="0.2">
      <c r="A109" s="12" t="s">
        <v>558</v>
      </c>
      <c r="B109" s="12" t="s">
        <v>559</v>
      </c>
      <c r="C109" s="12" t="s">
        <v>32</v>
      </c>
      <c r="D109" s="12" t="s">
        <v>65</v>
      </c>
      <c r="E109" s="12" t="s">
        <v>278</v>
      </c>
      <c r="F109" s="12" t="s">
        <v>32</v>
      </c>
      <c r="G109" s="12" t="s">
        <v>559</v>
      </c>
      <c r="H109" s="13" t="s">
        <v>560</v>
      </c>
      <c r="I109" s="14">
        <v>48</v>
      </c>
      <c r="J109" s="12" t="s">
        <v>229</v>
      </c>
      <c r="K109" s="15">
        <v>3000</v>
      </c>
      <c r="L109" s="15">
        <v>144000</v>
      </c>
      <c r="M109" s="12" t="s">
        <v>69</v>
      </c>
      <c r="N109" s="12" t="s">
        <v>15</v>
      </c>
      <c r="O109" s="13" t="s">
        <v>561</v>
      </c>
      <c r="P109" s="12" t="s">
        <v>25</v>
      </c>
      <c r="Q109" s="13" t="s">
        <v>562</v>
      </c>
      <c r="R109" s="12" t="s">
        <v>563</v>
      </c>
    </row>
    <row r="110" spans="1:18" ht="16" x14ac:dyDescent="0.2">
      <c r="A110" s="12" t="s">
        <v>564</v>
      </c>
      <c r="B110" s="12" t="s">
        <v>559</v>
      </c>
      <c r="C110" s="12" t="s">
        <v>32</v>
      </c>
      <c r="D110" s="12" t="s">
        <v>74</v>
      </c>
      <c r="E110" s="12" t="s">
        <v>278</v>
      </c>
      <c r="F110" s="12" t="s">
        <v>32</v>
      </c>
      <c r="G110" s="12" t="s">
        <v>559</v>
      </c>
      <c r="H110" s="13" t="s">
        <v>565</v>
      </c>
      <c r="I110" s="14">
        <v>38</v>
      </c>
      <c r="J110" s="12" t="s">
        <v>566</v>
      </c>
      <c r="K110" s="15">
        <v>385</v>
      </c>
      <c r="L110" s="15">
        <v>14630</v>
      </c>
      <c r="M110" s="12" t="s">
        <v>69</v>
      </c>
      <c r="N110" s="12" t="s">
        <v>15</v>
      </c>
      <c r="O110" s="13" t="s">
        <v>567</v>
      </c>
      <c r="P110" s="12" t="s">
        <v>25</v>
      </c>
      <c r="Q110" s="13" t="s">
        <v>568</v>
      </c>
      <c r="R110" s="12" t="s">
        <v>563</v>
      </c>
    </row>
    <row r="111" spans="1:18" ht="16" x14ac:dyDescent="0.2">
      <c r="A111" s="12" t="s">
        <v>569</v>
      </c>
      <c r="B111" s="12" t="s">
        <v>559</v>
      </c>
      <c r="C111" s="12" t="s">
        <v>32</v>
      </c>
      <c r="D111" s="12" t="s">
        <v>79</v>
      </c>
      <c r="E111" s="12" t="s">
        <v>278</v>
      </c>
      <c r="F111" s="12" t="s">
        <v>32</v>
      </c>
      <c r="G111" s="12" t="s">
        <v>559</v>
      </c>
      <c r="H111" s="13" t="s">
        <v>570</v>
      </c>
      <c r="I111" s="14">
        <v>180</v>
      </c>
      <c r="J111" s="12" t="s">
        <v>244</v>
      </c>
      <c r="K111" s="15">
        <v>65</v>
      </c>
      <c r="L111" s="15">
        <v>11700</v>
      </c>
      <c r="M111" s="12" t="s">
        <v>69</v>
      </c>
      <c r="N111" s="12" t="s">
        <v>15</v>
      </c>
      <c r="O111" s="13" t="s">
        <v>571</v>
      </c>
      <c r="P111" s="12" t="s">
        <v>25</v>
      </c>
      <c r="Q111" s="13" t="s">
        <v>572</v>
      </c>
      <c r="R111" s="12" t="s">
        <v>563</v>
      </c>
    </row>
    <row r="112" spans="1:18" ht="16" x14ac:dyDescent="0.2">
      <c r="A112" s="12" t="s">
        <v>573</v>
      </c>
      <c r="B112" s="12" t="s">
        <v>559</v>
      </c>
      <c r="C112" s="12" t="s">
        <v>32</v>
      </c>
      <c r="D112" s="12" t="s">
        <v>85</v>
      </c>
      <c r="E112" s="12" t="s">
        <v>278</v>
      </c>
      <c r="F112" s="12" t="s">
        <v>32</v>
      </c>
      <c r="G112" s="12" t="s">
        <v>559</v>
      </c>
      <c r="H112" s="13" t="s">
        <v>574</v>
      </c>
      <c r="I112" s="14">
        <v>165</v>
      </c>
      <c r="J112" s="12" t="s">
        <v>244</v>
      </c>
      <c r="K112" s="15">
        <v>75</v>
      </c>
      <c r="L112" s="15">
        <v>12375</v>
      </c>
      <c r="M112" s="12" t="s">
        <v>69</v>
      </c>
      <c r="N112" s="12" t="s">
        <v>15</v>
      </c>
      <c r="O112" s="13" t="s">
        <v>575</v>
      </c>
      <c r="P112" s="12" t="s">
        <v>25</v>
      </c>
      <c r="Q112" s="13" t="s">
        <v>576</v>
      </c>
      <c r="R112" s="12" t="s">
        <v>563</v>
      </c>
    </row>
    <row r="113" spans="1:18" ht="16" x14ac:dyDescent="0.2">
      <c r="A113" s="12" t="s">
        <v>577</v>
      </c>
      <c r="B113" s="12" t="s">
        <v>559</v>
      </c>
      <c r="C113" s="12" t="s">
        <v>32</v>
      </c>
      <c r="D113" s="12" t="s">
        <v>248</v>
      </c>
      <c r="E113" s="12" t="s">
        <v>278</v>
      </c>
      <c r="F113" s="12" t="s">
        <v>32</v>
      </c>
      <c r="G113" s="12" t="s">
        <v>559</v>
      </c>
      <c r="H113" s="13" t="s">
        <v>578</v>
      </c>
      <c r="I113" s="14">
        <v>4800</v>
      </c>
      <c r="J113" s="12" t="s">
        <v>579</v>
      </c>
      <c r="K113" s="15">
        <v>3.25</v>
      </c>
      <c r="L113" s="15">
        <v>15600</v>
      </c>
      <c r="M113" s="12" t="s">
        <v>69</v>
      </c>
      <c r="N113" s="12" t="s">
        <v>15</v>
      </c>
      <c r="O113" s="13" t="s">
        <v>580</v>
      </c>
      <c r="P113" s="12" t="s">
        <v>25</v>
      </c>
      <c r="Q113" s="13" t="s">
        <v>581</v>
      </c>
      <c r="R113" s="12" t="s">
        <v>563</v>
      </c>
    </row>
    <row r="114" spans="1:18" ht="16" x14ac:dyDescent="0.2">
      <c r="A114" s="12" t="s">
        <v>582</v>
      </c>
      <c r="B114" s="12" t="s">
        <v>559</v>
      </c>
      <c r="C114" s="12" t="s">
        <v>32</v>
      </c>
      <c r="D114" s="12" t="s">
        <v>253</v>
      </c>
      <c r="E114" s="12" t="s">
        <v>278</v>
      </c>
      <c r="F114" s="12" t="s">
        <v>32</v>
      </c>
      <c r="G114" s="12" t="s">
        <v>559</v>
      </c>
      <c r="H114" s="13" t="s">
        <v>583</v>
      </c>
      <c r="I114" s="14">
        <v>1115</v>
      </c>
      <c r="J114" s="12" t="s">
        <v>244</v>
      </c>
      <c r="K114" s="15">
        <v>108</v>
      </c>
      <c r="L114" s="15">
        <v>120420</v>
      </c>
      <c r="M114" s="12" t="s">
        <v>69</v>
      </c>
      <c r="N114" s="12" t="s">
        <v>15</v>
      </c>
      <c r="O114" s="13" t="s">
        <v>584</v>
      </c>
      <c r="P114" s="12" t="s">
        <v>25</v>
      </c>
      <c r="Q114" s="13" t="s">
        <v>585</v>
      </c>
      <c r="R114" s="12" t="s">
        <v>563</v>
      </c>
    </row>
    <row r="115" spans="1:18" ht="16" x14ac:dyDescent="0.2">
      <c r="A115" s="12" t="s">
        <v>586</v>
      </c>
      <c r="B115" s="12" t="s">
        <v>559</v>
      </c>
      <c r="C115" s="12" t="s">
        <v>32</v>
      </c>
      <c r="D115" s="12" t="s">
        <v>257</v>
      </c>
      <c r="E115" s="12" t="s">
        <v>278</v>
      </c>
      <c r="F115" s="12" t="s">
        <v>32</v>
      </c>
      <c r="G115" s="12" t="s">
        <v>559</v>
      </c>
      <c r="H115" s="13" t="s">
        <v>587</v>
      </c>
      <c r="I115" s="14">
        <v>557</v>
      </c>
      <c r="J115" s="12" t="s">
        <v>244</v>
      </c>
      <c r="K115" s="15">
        <v>85</v>
      </c>
      <c r="L115" s="15">
        <v>47345</v>
      </c>
      <c r="M115" s="12" t="s">
        <v>69</v>
      </c>
      <c r="N115" s="12" t="s">
        <v>15</v>
      </c>
      <c r="O115" s="13" t="s">
        <v>588</v>
      </c>
      <c r="P115" s="12" t="s">
        <v>25</v>
      </c>
      <c r="Q115" s="13" t="s">
        <v>589</v>
      </c>
      <c r="R115" s="12" t="s">
        <v>563</v>
      </c>
    </row>
    <row r="116" spans="1:18" ht="16" x14ac:dyDescent="0.2">
      <c r="A116" s="12" t="s">
        <v>590</v>
      </c>
      <c r="B116" s="12" t="s">
        <v>559</v>
      </c>
      <c r="C116" s="12" t="s">
        <v>32</v>
      </c>
      <c r="D116" s="12" t="s">
        <v>262</v>
      </c>
      <c r="E116" s="12" t="s">
        <v>278</v>
      </c>
      <c r="F116" s="12" t="s">
        <v>32</v>
      </c>
      <c r="G116" s="12" t="s">
        <v>559</v>
      </c>
      <c r="H116" s="13" t="s">
        <v>591</v>
      </c>
      <c r="I116" s="14">
        <v>96</v>
      </c>
      <c r="J116" s="12" t="s">
        <v>229</v>
      </c>
      <c r="K116" s="15">
        <v>45</v>
      </c>
      <c r="L116" s="15">
        <v>4320</v>
      </c>
      <c r="M116" s="12" t="s">
        <v>69</v>
      </c>
      <c r="N116" s="12" t="s">
        <v>15</v>
      </c>
      <c r="O116" s="13" t="s">
        <v>592</v>
      </c>
      <c r="P116" s="12" t="s">
        <v>25</v>
      </c>
      <c r="Q116" s="13" t="s">
        <v>593</v>
      </c>
      <c r="R116" s="12" t="s">
        <v>563</v>
      </c>
    </row>
    <row r="117" spans="1:18" ht="32" x14ac:dyDescent="0.2">
      <c r="A117" s="12" t="s">
        <v>594</v>
      </c>
      <c r="B117" s="12" t="s">
        <v>559</v>
      </c>
      <c r="C117" s="12" t="s">
        <v>32</v>
      </c>
      <c r="D117" s="12" t="s">
        <v>267</v>
      </c>
      <c r="E117" s="12" t="s">
        <v>595</v>
      </c>
      <c r="F117" s="12" t="s">
        <v>32</v>
      </c>
      <c r="G117" s="12" t="s">
        <v>559</v>
      </c>
      <c r="H117" s="13" t="s">
        <v>596</v>
      </c>
      <c r="I117" s="14">
        <v>42000</v>
      </c>
      <c r="J117" s="12" t="s">
        <v>579</v>
      </c>
      <c r="K117" s="15">
        <v>6.5</v>
      </c>
      <c r="L117" s="15">
        <v>273000</v>
      </c>
      <c r="M117" s="12" t="s">
        <v>69</v>
      </c>
      <c r="N117" s="12" t="s">
        <v>15</v>
      </c>
      <c r="O117" s="13" t="s">
        <v>597</v>
      </c>
      <c r="P117" s="12" t="s">
        <v>25</v>
      </c>
      <c r="Q117" s="13" t="s">
        <v>598</v>
      </c>
      <c r="R117" s="12" t="s">
        <v>563</v>
      </c>
    </row>
    <row r="118" spans="1:18" ht="16" x14ac:dyDescent="0.2">
      <c r="A118" s="12" t="s">
        <v>599</v>
      </c>
      <c r="B118" s="12" t="s">
        <v>559</v>
      </c>
      <c r="C118" s="12" t="s">
        <v>32</v>
      </c>
      <c r="D118" s="12" t="s">
        <v>271</v>
      </c>
      <c r="E118" s="12" t="s">
        <v>595</v>
      </c>
      <c r="F118" s="12" t="s">
        <v>32</v>
      </c>
      <c r="G118" s="12" t="s">
        <v>559</v>
      </c>
      <c r="H118" s="13" t="s">
        <v>600</v>
      </c>
      <c r="I118" s="14">
        <v>1672</v>
      </c>
      <c r="J118" s="12" t="s">
        <v>244</v>
      </c>
      <c r="K118" s="15">
        <v>52</v>
      </c>
      <c r="L118" s="15">
        <v>86944</v>
      </c>
      <c r="M118" s="12" t="s">
        <v>69</v>
      </c>
      <c r="N118" s="12" t="s">
        <v>15</v>
      </c>
      <c r="O118" s="13" t="s">
        <v>601</v>
      </c>
      <c r="P118" s="12" t="s">
        <v>25</v>
      </c>
      <c r="Q118" s="13" t="s">
        <v>602</v>
      </c>
      <c r="R118" s="12" t="s">
        <v>563</v>
      </c>
    </row>
    <row r="119" spans="1:18" ht="16" x14ac:dyDescent="0.2">
      <c r="A119" s="12" t="s">
        <v>603</v>
      </c>
      <c r="B119" s="12" t="s">
        <v>559</v>
      </c>
      <c r="C119" s="12" t="s">
        <v>32</v>
      </c>
      <c r="D119" s="12" t="s">
        <v>324</v>
      </c>
      <c r="E119" s="12" t="s">
        <v>595</v>
      </c>
      <c r="F119" s="12" t="s">
        <v>32</v>
      </c>
      <c r="G119" s="12" t="s">
        <v>559</v>
      </c>
      <c r="H119" s="13" t="s">
        <v>604</v>
      </c>
      <c r="I119" s="14">
        <v>1672</v>
      </c>
      <c r="J119" s="12" t="s">
        <v>244</v>
      </c>
      <c r="K119" s="15">
        <v>42</v>
      </c>
      <c r="L119" s="15">
        <v>70224</v>
      </c>
      <c r="M119" s="12" t="s">
        <v>69</v>
      </c>
      <c r="N119" s="12" t="s">
        <v>15</v>
      </c>
      <c r="O119" s="13" t="s">
        <v>605</v>
      </c>
      <c r="P119" s="12" t="s">
        <v>25</v>
      </c>
      <c r="Q119" s="13" t="s">
        <v>606</v>
      </c>
      <c r="R119" s="12" t="s">
        <v>563</v>
      </c>
    </row>
    <row r="120" spans="1:18" ht="16" x14ac:dyDescent="0.2">
      <c r="A120" s="12" t="s">
        <v>607</v>
      </c>
      <c r="B120" s="12" t="s">
        <v>559</v>
      </c>
      <c r="C120" s="12" t="s">
        <v>32</v>
      </c>
      <c r="D120" s="12" t="s">
        <v>329</v>
      </c>
      <c r="E120" s="12" t="s">
        <v>595</v>
      </c>
      <c r="F120" s="12" t="s">
        <v>32</v>
      </c>
      <c r="G120" s="12" t="s">
        <v>559</v>
      </c>
      <c r="H120" s="13" t="s">
        <v>608</v>
      </c>
      <c r="I120" s="14">
        <v>3500</v>
      </c>
      <c r="J120" s="12" t="s">
        <v>579</v>
      </c>
      <c r="K120" s="15">
        <v>9</v>
      </c>
      <c r="L120" s="15">
        <v>31500</v>
      </c>
      <c r="M120" s="12" t="s">
        <v>69</v>
      </c>
      <c r="N120" s="12" t="s">
        <v>15</v>
      </c>
      <c r="O120" s="13" t="s">
        <v>609</v>
      </c>
      <c r="P120" s="12" t="s">
        <v>25</v>
      </c>
      <c r="Q120" s="13" t="s">
        <v>610</v>
      </c>
      <c r="R120" s="12" t="s">
        <v>563</v>
      </c>
    </row>
    <row r="121" spans="1:18" ht="32" x14ac:dyDescent="0.2">
      <c r="A121" s="12" t="s">
        <v>611</v>
      </c>
      <c r="B121" s="12" t="s">
        <v>559</v>
      </c>
      <c r="C121" s="12" t="s">
        <v>32</v>
      </c>
      <c r="D121" s="12" t="s">
        <v>334</v>
      </c>
      <c r="E121" s="12" t="s">
        <v>612</v>
      </c>
      <c r="F121" s="12" t="s">
        <v>32</v>
      </c>
      <c r="G121" s="12" t="s">
        <v>559</v>
      </c>
      <c r="H121" s="13" t="s">
        <v>613</v>
      </c>
      <c r="I121" s="14">
        <v>730</v>
      </c>
      <c r="J121" s="12" t="s">
        <v>244</v>
      </c>
      <c r="K121" s="15">
        <v>185</v>
      </c>
      <c r="L121" s="15">
        <v>135050</v>
      </c>
      <c r="M121" s="12" t="s">
        <v>69</v>
      </c>
      <c r="N121" s="12" t="s">
        <v>15</v>
      </c>
      <c r="O121" s="13" t="s">
        <v>614</v>
      </c>
      <c r="P121" s="12" t="s">
        <v>25</v>
      </c>
      <c r="Q121" s="13" t="s">
        <v>615</v>
      </c>
      <c r="R121" s="12" t="s">
        <v>563</v>
      </c>
    </row>
    <row r="122" spans="1:18" ht="32" x14ac:dyDescent="0.2">
      <c r="A122" s="12" t="s">
        <v>616</v>
      </c>
      <c r="B122" s="12" t="s">
        <v>559</v>
      </c>
      <c r="C122" s="12" t="s">
        <v>32</v>
      </c>
      <c r="D122" s="12" t="s">
        <v>339</v>
      </c>
      <c r="E122" s="12" t="s">
        <v>612</v>
      </c>
      <c r="F122" s="12" t="s">
        <v>32</v>
      </c>
      <c r="G122" s="12" t="s">
        <v>559</v>
      </c>
      <c r="H122" s="13" t="s">
        <v>617</v>
      </c>
      <c r="I122" s="14">
        <v>200</v>
      </c>
      <c r="J122" s="12" t="s">
        <v>244</v>
      </c>
      <c r="K122" s="15">
        <v>175</v>
      </c>
      <c r="L122" s="15">
        <v>35000</v>
      </c>
      <c r="M122" s="12" t="s">
        <v>69</v>
      </c>
      <c r="N122" s="12" t="s">
        <v>15</v>
      </c>
      <c r="O122" s="13" t="s">
        <v>618</v>
      </c>
      <c r="P122" s="12" t="s">
        <v>25</v>
      </c>
      <c r="Q122" s="13" t="s">
        <v>619</v>
      </c>
      <c r="R122" s="12" t="s">
        <v>563</v>
      </c>
    </row>
    <row r="123" spans="1:18" ht="32" x14ac:dyDescent="0.2">
      <c r="A123" s="12" t="s">
        <v>620</v>
      </c>
      <c r="B123" s="12" t="s">
        <v>559</v>
      </c>
      <c r="C123" s="12" t="s">
        <v>32</v>
      </c>
      <c r="D123" s="12" t="s">
        <v>344</v>
      </c>
      <c r="E123" s="12" t="s">
        <v>612</v>
      </c>
      <c r="F123" s="12" t="s">
        <v>32</v>
      </c>
      <c r="G123" s="12" t="s">
        <v>559</v>
      </c>
      <c r="H123" s="13" t="s">
        <v>621</v>
      </c>
      <c r="I123" s="14">
        <v>1672</v>
      </c>
      <c r="J123" s="12" t="s">
        <v>244</v>
      </c>
      <c r="K123" s="15">
        <v>210</v>
      </c>
      <c r="L123" s="15">
        <v>351120</v>
      </c>
      <c r="M123" s="12" t="s">
        <v>69</v>
      </c>
      <c r="N123" s="12" t="s">
        <v>15</v>
      </c>
      <c r="O123" s="13" t="s">
        <v>622</v>
      </c>
      <c r="P123" s="12" t="s">
        <v>25</v>
      </c>
      <c r="Q123" s="13" t="s">
        <v>623</v>
      </c>
      <c r="R123" s="12" t="s">
        <v>563</v>
      </c>
    </row>
    <row r="124" spans="1:18" ht="32" x14ac:dyDescent="0.2">
      <c r="A124" s="12" t="s">
        <v>624</v>
      </c>
      <c r="B124" s="12" t="s">
        <v>559</v>
      </c>
      <c r="C124" s="12" t="s">
        <v>32</v>
      </c>
      <c r="D124" s="12" t="s">
        <v>349</v>
      </c>
      <c r="E124" s="12" t="s">
        <v>612</v>
      </c>
      <c r="F124" s="12" t="s">
        <v>32</v>
      </c>
      <c r="G124" s="12" t="s">
        <v>559</v>
      </c>
      <c r="H124" s="13" t="s">
        <v>625</v>
      </c>
      <c r="I124" s="14">
        <v>730</v>
      </c>
      <c r="J124" s="12" t="s">
        <v>244</v>
      </c>
      <c r="K124" s="15">
        <v>18</v>
      </c>
      <c r="L124" s="15">
        <v>13140</v>
      </c>
      <c r="M124" s="12" t="s">
        <v>69</v>
      </c>
      <c r="N124" s="12" t="s">
        <v>15</v>
      </c>
      <c r="O124" s="13" t="s">
        <v>626</v>
      </c>
      <c r="P124" s="12" t="s">
        <v>25</v>
      </c>
      <c r="Q124" s="13" t="s">
        <v>627</v>
      </c>
      <c r="R124" s="12" t="s">
        <v>563</v>
      </c>
    </row>
    <row r="125" spans="1:18" ht="16" x14ac:dyDescent="0.2">
      <c r="A125" s="12" t="s">
        <v>628</v>
      </c>
      <c r="B125" s="12" t="s">
        <v>559</v>
      </c>
      <c r="C125" s="12" t="s">
        <v>32</v>
      </c>
      <c r="D125" s="12" t="s">
        <v>354</v>
      </c>
      <c r="E125" s="12" t="s">
        <v>612</v>
      </c>
      <c r="F125" s="12" t="s">
        <v>32</v>
      </c>
      <c r="G125" s="12" t="s">
        <v>559</v>
      </c>
      <c r="H125" s="13" t="s">
        <v>629</v>
      </c>
      <c r="I125" s="14">
        <v>380</v>
      </c>
      <c r="J125" s="12" t="s">
        <v>511</v>
      </c>
      <c r="K125" s="15">
        <v>32</v>
      </c>
      <c r="L125" s="15">
        <v>12160</v>
      </c>
      <c r="M125" s="12" t="s">
        <v>69</v>
      </c>
      <c r="N125" s="12" t="s">
        <v>15</v>
      </c>
      <c r="O125" s="13" t="s">
        <v>630</v>
      </c>
      <c r="P125" s="12" t="s">
        <v>25</v>
      </c>
      <c r="Q125" s="13" t="s">
        <v>631</v>
      </c>
      <c r="R125" s="12" t="s">
        <v>563</v>
      </c>
    </row>
    <row r="126" spans="1:18" ht="16" x14ac:dyDescent="0.2">
      <c r="A126" s="12" t="s">
        <v>632</v>
      </c>
      <c r="B126" s="12" t="s">
        <v>559</v>
      </c>
      <c r="C126" s="12" t="s">
        <v>32</v>
      </c>
      <c r="D126" s="12" t="s">
        <v>358</v>
      </c>
      <c r="E126" s="12" t="s">
        <v>612</v>
      </c>
      <c r="F126" s="12" t="s">
        <v>32</v>
      </c>
      <c r="G126" s="12" t="s">
        <v>559</v>
      </c>
      <c r="H126" s="13" t="s">
        <v>633</v>
      </c>
      <c r="I126" s="14">
        <v>520</v>
      </c>
      <c r="J126" s="12" t="s">
        <v>511</v>
      </c>
      <c r="K126" s="15">
        <v>16</v>
      </c>
      <c r="L126" s="15">
        <v>8320</v>
      </c>
      <c r="M126" s="12" t="s">
        <v>69</v>
      </c>
      <c r="N126" s="12" t="s">
        <v>15</v>
      </c>
      <c r="O126" s="13" t="s">
        <v>634</v>
      </c>
      <c r="P126" s="12" t="s">
        <v>25</v>
      </c>
      <c r="Q126" s="13" t="s">
        <v>635</v>
      </c>
      <c r="R126" s="12" t="s">
        <v>563</v>
      </c>
    </row>
    <row r="127" spans="1:18" ht="32" x14ac:dyDescent="0.2">
      <c r="A127" s="12" t="s">
        <v>636</v>
      </c>
      <c r="B127" s="12" t="s">
        <v>559</v>
      </c>
      <c r="C127" s="12" t="s">
        <v>32</v>
      </c>
      <c r="D127" s="12" t="s">
        <v>362</v>
      </c>
      <c r="E127" s="12" t="s">
        <v>637</v>
      </c>
      <c r="F127" s="12" t="s">
        <v>32</v>
      </c>
      <c r="G127" s="12" t="s">
        <v>559</v>
      </c>
      <c r="H127" s="13" t="s">
        <v>638</v>
      </c>
      <c r="I127" s="14">
        <v>8</v>
      </c>
      <c r="J127" s="12" t="s">
        <v>229</v>
      </c>
      <c r="K127" s="15">
        <v>20000</v>
      </c>
      <c r="L127" s="15">
        <v>160000</v>
      </c>
      <c r="M127" s="12" t="s">
        <v>69</v>
      </c>
      <c r="N127" s="12" t="s">
        <v>15</v>
      </c>
      <c r="O127" s="13" t="s">
        <v>639</v>
      </c>
      <c r="P127" s="12" t="s">
        <v>25</v>
      </c>
      <c r="Q127" s="13" t="s">
        <v>640</v>
      </c>
      <c r="R127" s="12" t="s">
        <v>563</v>
      </c>
    </row>
    <row r="128" spans="1:18" ht="16" x14ac:dyDescent="0.2">
      <c r="A128" s="12" t="s">
        <v>641</v>
      </c>
      <c r="B128" s="12" t="s">
        <v>559</v>
      </c>
      <c r="C128" s="12" t="s">
        <v>32</v>
      </c>
      <c r="D128" s="12" t="s">
        <v>365</v>
      </c>
      <c r="E128" s="12" t="s">
        <v>637</v>
      </c>
      <c r="F128" s="12" t="s">
        <v>32</v>
      </c>
      <c r="G128" s="12" t="s">
        <v>559</v>
      </c>
      <c r="H128" s="13" t="s">
        <v>642</v>
      </c>
      <c r="I128" s="14">
        <v>54</v>
      </c>
      <c r="J128" s="12" t="s">
        <v>244</v>
      </c>
      <c r="K128" s="15">
        <v>650</v>
      </c>
      <c r="L128" s="15">
        <v>35100</v>
      </c>
      <c r="M128" s="12" t="s">
        <v>69</v>
      </c>
      <c r="N128" s="12" t="s">
        <v>15</v>
      </c>
      <c r="O128" s="13" t="s">
        <v>643</v>
      </c>
      <c r="P128" s="12" t="s">
        <v>25</v>
      </c>
      <c r="Q128" s="13" t="s">
        <v>644</v>
      </c>
      <c r="R128" s="12" t="s">
        <v>563</v>
      </c>
    </row>
    <row r="129" spans="1:18" ht="32" x14ac:dyDescent="0.2">
      <c r="A129" s="12" t="s">
        <v>645</v>
      </c>
      <c r="B129" s="12" t="s">
        <v>559</v>
      </c>
      <c r="C129" s="12" t="s">
        <v>32</v>
      </c>
      <c r="D129" s="12" t="s">
        <v>368</v>
      </c>
      <c r="E129" s="12" t="s">
        <v>637</v>
      </c>
      <c r="F129" s="12" t="s">
        <v>32</v>
      </c>
      <c r="G129" s="12" t="s">
        <v>559</v>
      </c>
      <c r="H129" s="13" t="s">
        <v>646</v>
      </c>
      <c r="I129" s="14">
        <v>2</v>
      </c>
      <c r="J129" s="12" t="s">
        <v>229</v>
      </c>
      <c r="K129" s="15">
        <v>8000</v>
      </c>
      <c r="L129" s="15">
        <v>16000</v>
      </c>
      <c r="M129" s="12" t="s">
        <v>69</v>
      </c>
      <c r="N129" s="12" t="s">
        <v>15</v>
      </c>
      <c r="O129" s="13" t="s">
        <v>647</v>
      </c>
      <c r="P129" s="12" t="s">
        <v>25</v>
      </c>
      <c r="Q129" s="13" t="s">
        <v>648</v>
      </c>
      <c r="R129" s="12" t="s">
        <v>563</v>
      </c>
    </row>
    <row r="130" spans="1:18" ht="32" x14ac:dyDescent="0.2">
      <c r="A130" s="12" t="s">
        <v>649</v>
      </c>
      <c r="B130" s="12" t="s">
        <v>559</v>
      </c>
      <c r="C130" s="12" t="s">
        <v>32</v>
      </c>
      <c r="D130" s="12" t="s">
        <v>373</v>
      </c>
      <c r="E130" s="12" t="s">
        <v>637</v>
      </c>
      <c r="F130" s="12" t="s">
        <v>32</v>
      </c>
      <c r="G130" s="12" t="s">
        <v>559</v>
      </c>
      <c r="H130" s="13" t="s">
        <v>650</v>
      </c>
      <c r="I130" s="14">
        <v>12</v>
      </c>
      <c r="J130" s="12" t="s">
        <v>229</v>
      </c>
      <c r="K130" s="15">
        <v>1800</v>
      </c>
      <c r="L130" s="15">
        <v>21600</v>
      </c>
      <c r="M130" s="12" t="s">
        <v>69</v>
      </c>
      <c r="N130" s="12" t="s">
        <v>15</v>
      </c>
      <c r="O130" s="13" t="s">
        <v>651</v>
      </c>
      <c r="P130" s="12" t="s">
        <v>25</v>
      </c>
      <c r="Q130" s="13" t="s">
        <v>652</v>
      </c>
      <c r="R130" s="12" t="s">
        <v>563</v>
      </c>
    </row>
    <row r="131" spans="1:18" ht="16" x14ac:dyDescent="0.2">
      <c r="A131" s="12" t="s">
        <v>653</v>
      </c>
      <c r="B131" s="12" t="s">
        <v>559</v>
      </c>
      <c r="C131" s="12" t="s">
        <v>32</v>
      </c>
      <c r="D131" s="12" t="s">
        <v>377</v>
      </c>
      <c r="E131" s="12" t="s">
        <v>637</v>
      </c>
      <c r="F131" s="12" t="s">
        <v>32</v>
      </c>
      <c r="G131" s="12" t="s">
        <v>559</v>
      </c>
      <c r="H131" s="13" t="s">
        <v>654</v>
      </c>
      <c r="I131" s="14">
        <v>2</v>
      </c>
      <c r="J131" s="12" t="s">
        <v>229</v>
      </c>
      <c r="K131" s="15">
        <v>3400</v>
      </c>
      <c r="L131" s="15">
        <v>6800</v>
      </c>
      <c r="M131" s="12" t="s">
        <v>69</v>
      </c>
      <c r="N131" s="12" t="s">
        <v>15</v>
      </c>
      <c r="O131" s="13" t="s">
        <v>655</v>
      </c>
      <c r="P131" s="12" t="s">
        <v>25</v>
      </c>
      <c r="Q131" s="13" t="s">
        <v>656</v>
      </c>
      <c r="R131" s="12" t="s">
        <v>563</v>
      </c>
    </row>
    <row r="132" spans="1:18" ht="32" x14ac:dyDescent="0.2">
      <c r="A132" s="12" t="s">
        <v>657</v>
      </c>
      <c r="B132" s="12" t="s">
        <v>559</v>
      </c>
      <c r="C132" s="12" t="s">
        <v>32</v>
      </c>
      <c r="D132" s="12" t="s">
        <v>381</v>
      </c>
      <c r="E132" s="12" t="s">
        <v>637</v>
      </c>
      <c r="F132" s="12" t="s">
        <v>32</v>
      </c>
      <c r="G132" s="12" t="s">
        <v>559</v>
      </c>
      <c r="H132" s="13" t="s">
        <v>658</v>
      </c>
      <c r="I132" s="14">
        <v>16</v>
      </c>
      <c r="J132" s="12" t="s">
        <v>229</v>
      </c>
      <c r="K132" s="15">
        <v>600</v>
      </c>
      <c r="L132" s="15">
        <v>9600</v>
      </c>
      <c r="M132" s="12" t="s">
        <v>69</v>
      </c>
      <c r="N132" s="12" t="s">
        <v>15</v>
      </c>
      <c r="O132" s="13" t="s">
        <v>659</v>
      </c>
      <c r="P132" s="12" t="s">
        <v>25</v>
      </c>
      <c r="Q132" s="13" t="s">
        <v>660</v>
      </c>
      <c r="R132" s="12" t="s">
        <v>563</v>
      </c>
    </row>
    <row r="133" spans="1:18" ht="16" x14ac:dyDescent="0.2">
      <c r="A133" s="12" t="s">
        <v>661</v>
      </c>
      <c r="B133" s="12" t="s">
        <v>559</v>
      </c>
      <c r="C133" s="12" t="s">
        <v>32</v>
      </c>
      <c r="D133" s="12" t="s">
        <v>386</v>
      </c>
      <c r="E133" s="12" t="s">
        <v>662</v>
      </c>
      <c r="F133" s="12" t="s">
        <v>32</v>
      </c>
      <c r="G133" s="12" t="s">
        <v>559</v>
      </c>
      <c r="H133" s="13" t="s">
        <v>663</v>
      </c>
      <c r="I133" s="14">
        <v>1115</v>
      </c>
      <c r="J133" s="12" t="s">
        <v>244</v>
      </c>
      <c r="K133" s="15">
        <v>35</v>
      </c>
      <c r="L133" s="15">
        <v>39025</v>
      </c>
      <c r="M133" s="12" t="s">
        <v>69</v>
      </c>
      <c r="N133" s="12" t="s">
        <v>15</v>
      </c>
      <c r="O133" s="13" t="s">
        <v>664</v>
      </c>
      <c r="P133" s="12" t="s">
        <v>25</v>
      </c>
      <c r="Q133" s="13" t="s">
        <v>665</v>
      </c>
      <c r="R133" s="12" t="s">
        <v>563</v>
      </c>
    </row>
    <row r="134" spans="1:18" ht="16" x14ac:dyDescent="0.2">
      <c r="A134" s="12" t="s">
        <v>666</v>
      </c>
      <c r="B134" s="12" t="s">
        <v>559</v>
      </c>
      <c r="C134" s="12" t="s">
        <v>32</v>
      </c>
      <c r="D134" s="12" t="s">
        <v>389</v>
      </c>
      <c r="E134" s="12" t="s">
        <v>662</v>
      </c>
      <c r="F134" s="12" t="s">
        <v>32</v>
      </c>
      <c r="G134" s="12" t="s">
        <v>559</v>
      </c>
      <c r="H134" s="13" t="s">
        <v>667</v>
      </c>
      <c r="I134" s="14">
        <v>557</v>
      </c>
      <c r="J134" s="12" t="s">
        <v>244</v>
      </c>
      <c r="K134" s="15">
        <v>35</v>
      </c>
      <c r="L134" s="15">
        <v>19495</v>
      </c>
      <c r="M134" s="12" t="s">
        <v>69</v>
      </c>
      <c r="N134" s="12" t="s">
        <v>15</v>
      </c>
      <c r="O134" s="13" t="s">
        <v>668</v>
      </c>
      <c r="P134" s="12" t="s">
        <v>25</v>
      </c>
      <c r="Q134" s="13" t="s">
        <v>669</v>
      </c>
      <c r="R134" s="12" t="s">
        <v>563</v>
      </c>
    </row>
    <row r="135" spans="1:18" ht="32" x14ac:dyDescent="0.2">
      <c r="A135" s="12" t="s">
        <v>670</v>
      </c>
      <c r="B135" s="12" t="s">
        <v>559</v>
      </c>
      <c r="C135" s="12" t="s">
        <v>32</v>
      </c>
      <c r="D135" s="12" t="s">
        <v>393</v>
      </c>
      <c r="E135" s="12" t="s">
        <v>671</v>
      </c>
      <c r="F135" s="12" t="s">
        <v>32</v>
      </c>
      <c r="G135" s="12" t="s">
        <v>559</v>
      </c>
      <c r="H135" s="13" t="s">
        <v>672</v>
      </c>
      <c r="I135" s="14">
        <v>8</v>
      </c>
      <c r="J135" s="12" t="s">
        <v>229</v>
      </c>
      <c r="K135" s="15">
        <v>750</v>
      </c>
      <c r="L135" s="15">
        <v>6000</v>
      </c>
      <c r="M135" s="12" t="s">
        <v>69</v>
      </c>
      <c r="N135" s="12" t="s">
        <v>15</v>
      </c>
      <c r="O135" s="13" t="s">
        <v>673</v>
      </c>
      <c r="P135" s="12" t="s">
        <v>27</v>
      </c>
      <c r="Q135" s="13" t="s">
        <v>674</v>
      </c>
      <c r="R135" s="12" t="s">
        <v>563</v>
      </c>
    </row>
    <row r="136" spans="1:18" ht="32" x14ac:dyDescent="0.2">
      <c r="A136" s="12" t="s">
        <v>675</v>
      </c>
      <c r="B136" s="12" t="s">
        <v>559</v>
      </c>
      <c r="C136" s="12" t="s">
        <v>32</v>
      </c>
      <c r="D136" s="12" t="s">
        <v>398</v>
      </c>
      <c r="E136" s="12" t="s">
        <v>676</v>
      </c>
      <c r="F136" s="12" t="s">
        <v>32</v>
      </c>
      <c r="G136" s="12" t="s">
        <v>559</v>
      </c>
      <c r="H136" s="13" t="s">
        <v>677</v>
      </c>
      <c r="I136" s="14">
        <v>1</v>
      </c>
      <c r="J136" s="12" t="s">
        <v>103</v>
      </c>
      <c r="K136" s="15">
        <v>20801</v>
      </c>
      <c r="L136" s="15">
        <v>20801</v>
      </c>
      <c r="M136" s="12" t="s">
        <v>69</v>
      </c>
      <c r="N136" s="12" t="s">
        <v>15</v>
      </c>
      <c r="O136" s="13" t="s">
        <v>678</v>
      </c>
      <c r="P136" s="12" t="s">
        <v>25</v>
      </c>
      <c r="Q136" s="13" t="s">
        <v>679</v>
      </c>
      <c r="R136" s="12" t="s">
        <v>563</v>
      </c>
    </row>
    <row r="137" spans="1:18" ht="32" x14ac:dyDescent="0.2">
      <c r="A137" s="12" t="s">
        <v>680</v>
      </c>
      <c r="B137" s="12" t="s">
        <v>681</v>
      </c>
      <c r="C137" s="12" t="s">
        <v>32</v>
      </c>
      <c r="D137" s="12" t="s">
        <v>134</v>
      </c>
      <c r="E137" s="12" t="s">
        <v>682</v>
      </c>
      <c r="F137" s="12" t="s">
        <v>32</v>
      </c>
      <c r="G137" s="12" t="s">
        <v>681</v>
      </c>
      <c r="H137" s="13" t="s">
        <v>683</v>
      </c>
      <c r="I137" s="14">
        <v>5200</v>
      </c>
      <c r="J137" s="12" t="s">
        <v>684</v>
      </c>
      <c r="K137" s="15">
        <v>32</v>
      </c>
      <c r="L137" s="15">
        <v>166400</v>
      </c>
      <c r="M137" s="12" t="s">
        <v>69</v>
      </c>
      <c r="N137" s="12" t="s">
        <v>15</v>
      </c>
      <c r="O137" s="13" t="s">
        <v>685</v>
      </c>
      <c r="P137" s="12" t="s">
        <v>25</v>
      </c>
      <c r="Q137" s="13" t="s">
        <v>686</v>
      </c>
      <c r="R137" s="12" t="s">
        <v>687</v>
      </c>
    </row>
    <row r="138" spans="1:18" ht="32" x14ac:dyDescent="0.2">
      <c r="A138" s="12" t="s">
        <v>688</v>
      </c>
      <c r="B138" s="12" t="s">
        <v>681</v>
      </c>
      <c r="C138" s="12" t="s">
        <v>32</v>
      </c>
      <c r="D138" s="12" t="s">
        <v>141</v>
      </c>
      <c r="E138" s="12" t="s">
        <v>682</v>
      </c>
      <c r="F138" s="12" t="s">
        <v>32</v>
      </c>
      <c r="G138" s="12" t="s">
        <v>681</v>
      </c>
      <c r="H138" s="13" t="s">
        <v>689</v>
      </c>
      <c r="I138" s="14">
        <v>6400</v>
      </c>
      <c r="J138" s="12" t="s">
        <v>684</v>
      </c>
      <c r="K138" s="15">
        <v>21</v>
      </c>
      <c r="L138" s="15">
        <v>134400</v>
      </c>
      <c r="M138" s="12" t="s">
        <v>69</v>
      </c>
      <c r="N138" s="12" t="s">
        <v>15</v>
      </c>
      <c r="O138" s="13" t="s">
        <v>690</v>
      </c>
      <c r="P138" s="12" t="s">
        <v>25</v>
      </c>
      <c r="Q138" s="13" t="s">
        <v>691</v>
      </c>
      <c r="R138" s="12" t="s">
        <v>687</v>
      </c>
    </row>
    <row r="139" spans="1:18" ht="32" x14ac:dyDescent="0.2">
      <c r="A139" s="12" t="s">
        <v>692</v>
      </c>
      <c r="B139" s="12" t="s">
        <v>681</v>
      </c>
      <c r="C139" s="12" t="s">
        <v>32</v>
      </c>
      <c r="D139" s="12" t="s">
        <v>146</v>
      </c>
      <c r="E139" s="12" t="s">
        <v>682</v>
      </c>
      <c r="F139" s="12" t="s">
        <v>32</v>
      </c>
      <c r="G139" s="12" t="s">
        <v>681</v>
      </c>
      <c r="H139" s="13" t="s">
        <v>693</v>
      </c>
      <c r="I139" s="14">
        <v>6400</v>
      </c>
      <c r="J139" s="12" t="s">
        <v>684</v>
      </c>
      <c r="K139" s="15">
        <v>21</v>
      </c>
      <c r="L139" s="15">
        <v>134400</v>
      </c>
      <c r="M139" s="12" t="s">
        <v>69</v>
      </c>
      <c r="N139" s="12" t="s">
        <v>15</v>
      </c>
      <c r="O139" s="13" t="s">
        <v>690</v>
      </c>
      <c r="P139" s="12" t="s">
        <v>25</v>
      </c>
      <c r="Q139" s="13" t="s">
        <v>694</v>
      </c>
      <c r="R139" s="12" t="s">
        <v>687</v>
      </c>
    </row>
    <row r="140" spans="1:18" ht="32" x14ac:dyDescent="0.2">
      <c r="A140" s="12" t="s">
        <v>695</v>
      </c>
      <c r="B140" s="12" t="s">
        <v>681</v>
      </c>
      <c r="C140" s="12" t="s">
        <v>32</v>
      </c>
      <c r="D140" s="12" t="s">
        <v>152</v>
      </c>
      <c r="E140" s="12" t="s">
        <v>696</v>
      </c>
      <c r="F140" s="12" t="s">
        <v>32</v>
      </c>
      <c r="G140" s="12" t="s">
        <v>681</v>
      </c>
      <c r="H140" s="13" t="s">
        <v>697</v>
      </c>
      <c r="I140" s="14">
        <v>5200</v>
      </c>
      <c r="J140" s="12" t="s">
        <v>684</v>
      </c>
      <c r="K140" s="15">
        <v>14</v>
      </c>
      <c r="L140" s="15">
        <v>72800</v>
      </c>
      <c r="M140" s="12" t="s">
        <v>69</v>
      </c>
      <c r="N140" s="12" t="s">
        <v>15</v>
      </c>
      <c r="O140" s="13" t="s">
        <v>698</v>
      </c>
      <c r="P140" s="12" t="s">
        <v>25</v>
      </c>
      <c r="Q140" s="13" t="s">
        <v>699</v>
      </c>
      <c r="R140" s="12" t="s">
        <v>687</v>
      </c>
    </row>
    <row r="141" spans="1:18" ht="32" x14ac:dyDescent="0.2">
      <c r="A141" s="12" t="s">
        <v>700</v>
      </c>
      <c r="B141" s="12" t="s">
        <v>681</v>
      </c>
      <c r="C141" s="12" t="s">
        <v>32</v>
      </c>
      <c r="D141" s="12" t="s">
        <v>157</v>
      </c>
      <c r="E141" s="12" t="s">
        <v>696</v>
      </c>
      <c r="F141" s="12" t="s">
        <v>32</v>
      </c>
      <c r="G141" s="12" t="s">
        <v>681</v>
      </c>
      <c r="H141" s="13" t="s">
        <v>701</v>
      </c>
      <c r="I141" s="14">
        <v>12800</v>
      </c>
      <c r="J141" s="12" t="s">
        <v>684</v>
      </c>
      <c r="K141" s="15">
        <v>6</v>
      </c>
      <c r="L141" s="15">
        <v>76800</v>
      </c>
      <c r="M141" s="12" t="s">
        <v>69</v>
      </c>
      <c r="N141" s="12" t="s">
        <v>15</v>
      </c>
      <c r="O141" s="13" t="s">
        <v>702</v>
      </c>
      <c r="P141" s="12" t="s">
        <v>25</v>
      </c>
      <c r="Q141" s="13" t="s">
        <v>703</v>
      </c>
      <c r="R141" s="12" t="s">
        <v>687</v>
      </c>
    </row>
    <row r="142" spans="1:18" ht="32" x14ac:dyDescent="0.2">
      <c r="A142" s="12" t="s">
        <v>704</v>
      </c>
      <c r="B142" s="12" t="s">
        <v>681</v>
      </c>
      <c r="C142" s="12" t="s">
        <v>32</v>
      </c>
      <c r="D142" s="12" t="s">
        <v>162</v>
      </c>
      <c r="E142" s="12" t="s">
        <v>705</v>
      </c>
      <c r="F142" s="12" t="s">
        <v>32</v>
      </c>
      <c r="G142" s="12" t="s">
        <v>681</v>
      </c>
      <c r="H142" s="13" t="s">
        <v>706</v>
      </c>
      <c r="I142" s="14">
        <v>4</v>
      </c>
      <c r="J142" s="12" t="s">
        <v>229</v>
      </c>
      <c r="K142" s="15">
        <v>25000</v>
      </c>
      <c r="L142" s="15">
        <v>100000</v>
      </c>
      <c r="M142" s="12" t="s">
        <v>69</v>
      </c>
      <c r="N142" s="12" t="s">
        <v>15</v>
      </c>
      <c r="O142" s="13" t="s">
        <v>707</v>
      </c>
      <c r="P142" s="12" t="s">
        <v>25</v>
      </c>
      <c r="Q142" s="13" t="s">
        <v>708</v>
      </c>
      <c r="R142" s="12" t="s">
        <v>687</v>
      </c>
    </row>
    <row r="143" spans="1:18" ht="32" x14ac:dyDescent="0.2">
      <c r="A143" s="12" t="s">
        <v>709</v>
      </c>
      <c r="B143" s="12" t="s">
        <v>681</v>
      </c>
      <c r="C143" s="12" t="s">
        <v>32</v>
      </c>
      <c r="D143" s="12" t="s">
        <v>167</v>
      </c>
      <c r="E143" s="12" t="s">
        <v>705</v>
      </c>
      <c r="F143" s="12" t="s">
        <v>32</v>
      </c>
      <c r="G143" s="12" t="s">
        <v>681</v>
      </c>
      <c r="H143" s="13" t="s">
        <v>710</v>
      </c>
      <c r="I143" s="14">
        <v>4</v>
      </c>
      <c r="J143" s="12" t="s">
        <v>229</v>
      </c>
      <c r="K143" s="15">
        <v>11000</v>
      </c>
      <c r="L143" s="15">
        <v>44000</v>
      </c>
      <c r="M143" s="12" t="s">
        <v>69</v>
      </c>
      <c r="N143" s="12" t="s">
        <v>15</v>
      </c>
      <c r="O143" s="13" t="s">
        <v>711</v>
      </c>
      <c r="P143" s="12" t="s">
        <v>25</v>
      </c>
      <c r="Q143" s="13" t="s">
        <v>712</v>
      </c>
      <c r="R143" s="12" t="s">
        <v>687</v>
      </c>
    </row>
    <row r="144" spans="1:18" ht="32" x14ac:dyDescent="0.2">
      <c r="A144" s="12" t="s">
        <v>713</v>
      </c>
      <c r="B144" s="12" t="s">
        <v>681</v>
      </c>
      <c r="C144" s="12" t="s">
        <v>32</v>
      </c>
      <c r="D144" s="12" t="s">
        <v>714</v>
      </c>
      <c r="E144" s="12" t="s">
        <v>715</v>
      </c>
      <c r="F144" s="12" t="s">
        <v>32</v>
      </c>
      <c r="G144" s="12" t="s">
        <v>681</v>
      </c>
      <c r="H144" s="13" t="s">
        <v>716</v>
      </c>
      <c r="I144" s="14">
        <v>2</v>
      </c>
      <c r="J144" s="12" t="s">
        <v>229</v>
      </c>
      <c r="K144" s="15">
        <v>3500</v>
      </c>
      <c r="L144" s="15">
        <v>7000</v>
      </c>
      <c r="M144" s="12" t="s">
        <v>69</v>
      </c>
      <c r="N144" s="12" t="s">
        <v>15</v>
      </c>
      <c r="O144" s="13" t="s">
        <v>717</v>
      </c>
      <c r="P144" s="12" t="s">
        <v>25</v>
      </c>
      <c r="Q144" s="13" t="s">
        <v>718</v>
      </c>
      <c r="R144" s="12" t="s">
        <v>687</v>
      </c>
    </row>
    <row r="145" spans="1:18" ht="32" x14ac:dyDescent="0.2">
      <c r="A145" s="12" t="s">
        <v>719</v>
      </c>
      <c r="B145" s="12" t="s">
        <v>681</v>
      </c>
      <c r="C145" s="12" t="s">
        <v>32</v>
      </c>
      <c r="D145" s="12" t="s">
        <v>720</v>
      </c>
      <c r="E145" s="12" t="s">
        <v>715</v>
      </c>
      <c r="F145" s="12" t="s">
        <v>32</v>
      </c>
      <c r="G145" s="12" t="s">
        <v>681</v>
      </c>
      <c r="H145" s="13" t="s">
        <v>721</v>
      </c>
      <c r="I145" s="14">
        <v>8</v>
      </c>
      <c r="J145" s="12" t="s">
        <v>229</v>
      </c>
      <c r="K145" s="15">
        <v>4500</v>
      </c>
      <c r="L145" s="15">
        <v>36000</v>
      </c>
      <c r="M145" s="12" t="s">
        <v>69</v>
      </c>
      <c r="N145" s="12" t="s">
        <v>15</v>
      </c>
      <c r="O145" s="13" t="s">
        <v>722</v>
      </c>
      <c r="P145" s="12" t="s">
        <v>25</v>
      </c>
      <c r="Q145" s="13" t="s">
        <v>723</v>
      </c>
      <c r="R145" s="12" t="s">
        <v>687</v>
      </c>
    </row>
    <row r="146" spans="1:18" ht="32" x14ac:dyDescent="0.2">
      <c r="A146" s="12" t="s">
        <v>724</v>
      </c>
      <c r="B146" s="12" t="s">
        <v>681</v>
      </c>
      <c r="C146" s="12" t="s">
        <v>32</v>
      </c>
      <c r="D146" s="12" t="s">
        <v>725</v>
      </c>
      <c r="E146" s="12" t="s">
        <v>715</v>
      </c>
      <c r="F146" s="12" t="s">
        <v>32</v>
      </c>
      <c r="G146" s="12" t="s">
        <v>681</v>
      </c>
      <c r="H146" s="13" t="s">
        <v>726</v>
      </c>
      <c r="I146" s="14">
        <v>1</v>
      </c>
      <c r="J146" s="12" t="s">
        <v>229</v>
      </c>
      <c r="K146" s="15">
        <v>6000</v>
      </c>
      <c r="L146" s="15">
        <v>6000</v>
      </c>
      <c r="M146" s="12" t="s">
        <v>69</v>
      </c>
      <c r="N146" s="12" t="s">
        <v>15</v>
      </c>
      <c r="O146" s="13" t="s">
        <v>727</v>
      </c>
      <c r="P146" s="12" t="s">
        <v>25</v>
      </c>
      <c r="Q146" s="13" t="s">
        <v>728</v>
      </c>
      <c r="R146" s="12" t="s">
        <v>687</v>
      </c>
    </row>
    <row r="147" spans="1:18" ht="32" x14ac:dyDescent="0.2">
      <c r="A147" s="12" t="s">
        <v>729</v>
      </c>
      <c r="B147" s="12" t="s">
        <v>681</v>
      </c>
      <c r="C147" s="12" t="s">
        <v>32</v>
      </c>
      <c r="D147" s="12" t="s">
        <v>730</v>
      </c>
      <c r="E147" s="12" t="s">
        <v>731</v>
      </c>
      <c r="F147" s="12" t="s">
        <v>32</v>
      </c>
      <c r="G147" s="12" t="s">
        <v>681</v>
      </c>
      <c r="H147" s="13" t="s">
        <v>732</v>
      </c>
      <c r="I147" s="14">
        <v>18000</v>
      </c>
      <c r="J147" s="12" t="s">
        <v>684</v>
      </c>
      <c r="K147" s="15">
        <v>4</v>
      </c>
      <c r="L147" s="15">
        <v>72000</v>
      </c>
      <c r="M147" s="12" t="s">
        <v>69</v>
      </c>
      <c r="N147" s="12" t="s">
        <v>15</v>
      </c>
      <c r="O147" s="13" t="s">
        <v>733</v>
      </c>
      <c r="P147" s="12" t="s">
        <v>25</v>
      </c>
      <c r="Q147" s="13" t="s">
        <v>734</v>
      </c>
      <c r="R147" s="12" t="s">
        <v>687</v>
      </c>
    </row>
    <row r="148" spans="1:18" ht="32" x14ac:dyDescent="0.2">
      <c r="A148" s="12" t="s">
        <v>735</v>
      </c>
      <c r="B148" s="12" t="s">
        <v>681</v>
      </c>
      <c r="C148" s="12" t="s">
        <v>32</v>
      </c>
      <c r="D148" s="12" t="s">
        <v>736</v>
      </c>
      <c r="E148" s="12" t="s">
        <v>737</v>
      </c>
      <c r="F148" s="12" t="s">
        <v>32</v>
      </c>
      <c r="G148" s="12" t="s">
        <v>681</v>
      </c>
      <c r="H148" s="13" t="s">
        <v>738</v>
      </c>
      <c r="I148" s="14">
        <v>18000</v>
      </c>
      <c r="J148" s="12" t="s">
        <v>684</v>
      </c>
      <c r="K148" s="15">
        <v>6</v>
      </c>
      <c r="L148" s="15">
        <v>108000</v>
      </c>
      <c r="M148" s="12" t="s">
        <v>69</v>
      </c>
      <c r="N148" s="12" t="s">
        <v>15</v>
      </c>
      <c r="O148" s="13" t="s">
        <v>739</v>
      </c>
      <c r="P148" s="12" t="s">
        <v>27</v>
      </c>
      <c r="Q148" s="13" t="s">
        <v>740</v>
      </c>
      <c r="R148" s="12" t="s">
        <v>687</v>
      </c>
    </row>
    <row r="149" spans="1:18" ht="16" x14ac:dyDescent="0.2">
      <c r="A149" s="12" t="s">
        <v>741</v>
      </c>
      <c r="B149" s="12" t="s">
        <v>681</v>
      </c>
      <c r="C149" s="12" t="s">
        <v>32</v>
      </c>
      <c r="D149" s="12" t="s">
        <v>742</v>
      </c>
      <c r="E149" s="12" t="s">
        <v>696</v>
      </c>
      <c r="F149" s="12" t="s">
        <v>32</v>
      </c>
      <c r="G149" s="12" t="s">
        <v>681</v>
      </c>
      <c r="H149" s="13" t="s">
        <v>743</v>
      </c>
      <c r="I149" s="14">
        <v>1</v>
      </c>
      <c r="J149" s="12" t="s">
        <v>103</v>
      </c>
      <c r="K149" s="15">
        <v>8000</v>
      </c>
      <c r="L149" s="15">
        <v>8000</v>
      </c>
      <c r="M149" s="12" t="s">
        <v>69</v>
      </c>
      <c r="N149" s="12" t="s">
        <v>15</v>
      </c>
      <c r="O149" s="13" t="s">
        <v>744</v>
      </c>
      <c r="P149" s="12" t="s">
        <v>25</v>
      </c>
      <c r="Q149" s="13" t="s">
        <v>745</v>
      </c>
      <c r="R149" s="12" t="s">
        <v>687</v>
      </c>
    </row>
    <row r="150" spans="1:18" ht="32" x14ac:dyDescent="0.2">
      <c r="A150" s="12" t="s">
        <v>746</v>
      </c>
      <c r="B150" s="12" t="s">
        <v>681</v>
      </c>
      <c r="C150" s="12" t="s">
        <v>32</v>
      </c>
      <c r="D150" s="12" t="s">
        <v>747</v>
      </c>
      <c r="E150" s="12" t="s">
        <v>696</v>
      </c>
      <c r="F150" s="12" t="s">
        <v>32</v>
      </c>
      <c r="G150" s="12" t="s">
        <v>681</v>
      </c>
      <c r="H150" s="13" t="s">
        <v>748</v>
      </c>
      <c r="I150" s="14">
        <v>1</v>
      </c>
      <c r="J150" s="12" t="s">
        <v>103</v>
      </c>
      <c r="K150" s="15">
        <v>6000</v>
      </c>
      <c r="L150" s="15">
        <v>6000</v>
      </c>
      <c r="M150" s="12" t="s">
        <v>69</v>
      </c>
      <c r="N150" s="12" t="s">
        <v>15</v>
      </c>
      <c r="O150" s="13" t="s">
        <v>749</v>
      </c>
      <c r="P150" s="12" t="s">
        <v>25</v>
      </c>
      <c r="Q150" s="13" t="s">
        <v>750</v>
      </c>
      <c r="R150" s="12" t="s">
        <v>687</v>
      </c>
    </row>
    <row r="151" spans="1:18" ht="32" x14ac:dyDescent="0.2">
      <c r="A151" s="12" t="s">
        <v>751</v>
      </c>
      <c r="B151" s="12" t="s">
        <v>681</v>
      </c>
      <c r="C151" s="12" t="s">
        <v>32</v>
      </c>
      <c r="D151" s="12" t="s">
        <v>752</v>
      </c>
      <c r="E151" s="12" t="s">
        <v>753</v>
      </c>
      <c r="F151" s="12" t="s">
        <v>32</v>
      </c>
      <c r="G151" s="12" t="s">
        <v>681</v>
      </c>
      <c r="H151" s="13" t="s">
        <v>754</v>
      </c>
      <c r="I151" s="14">
        <v>1</v>
      </c>
      <c r="J151" s="12" t="s">
        <v>103</v>
      </c>
      <c r="K151" s="15">
        <v>24295</v>
      </c>
      <c r="L151" s="15">
        <v>24295</v>
      </c>
      <c r="M151" s="12" t="s">
        <v>69</v>
      </c>
      <c r="N151" s="12" t="s">
        <v>15</v>
      </c>
      <c r="O151" s="13" t="s">
        <v>755</v>
      </c>
      <c r="P151" s="12" t="s">
        <v>25</v>
      </c>
      <c r="Q151" s="13" t="s">
        <v>756</v>
      </c>
      <c r="R151" s="12" t="s">
        <v>687</v>
      </c>
    </row>
    <row r="152" spans="1:18" ht="32" x14ac:dyDescent="0.2">
      <c r="A152" s="12" t="s">
        <v>757</v>
      </c>
      <c r="B152" s="12" t="s">
        <v>681</v>
      </c>
      <c r="C152" s="12" t="s">
        <v>32</v>
      </c>
      <c r="D152" s="12" t="s">
        <v>758</v>
      </c>
      <c r="E152" s="12" t="s">
        <v>759</v>
      </c>
      <c r="F152" s="12" t="s">
        <v>32</v>
      </c>
      <c r="G152" s="12" t="s">
        <v>681</v>
      </c>
      <c r="H152" s="13" t="s">
        <v>760</v>
      </c>
      <c r="I152" s="14">
        <v>1</v>
      </c>
      <c r="J152" s="12" t="s">
        <v>103</v>
      </c>
      <c r="K152" s="15">
        <v>18000</v>
      </c>
      <c r="L152" s="15">
        <v>18000</v>
      </c>
      <c r="M152" s="12" t="s">
        <v>69</v>
      </c>
      <c r="N152" s="12" t="s">
        <v>15</v>
      </c>
      <c r="O152" s="13" t="s">
        <v>761</v>
      </c>
      <c r="P152" s="12" t="s">
        <v>25</v>
      </c>
      <c r="Q152" s="13" t="s">
        <v>762</v>
      </c>
      <c r="R152" s="12" t="s">
        <v>687</v>
      </c>
    </row>
    <row r="153" spans="1:18" ht="32" x14ac:dyDescent="0.2">
      <c r="A153" s="12" t="s">
        <v>763</v>
      </c>
      <c r="B153" s="12" t="s">
        <v>764</v>
      </c>
      <c r="C153" s="12" t="s">
        <v>32</v>
      </c>
      <c r="D153" s="12" t="s">
        <v>765</v>
      </c>
      <c r="E153" s="12" t="s">
        <v>766</v>
      </c>
      <c r="F153" s="12" t="s">
        <v>32</v>
      </c>
      <c r="G153" s="12" t="s">
        <v>764</v>
      </c>
      <c r="H153" s="13" t="s">
        <v>767</v>
      </c>
      <c r="I153" s="14">
        <v>5200</v>
      </c>
      <c r="J153" s="12" t="s">
        <v>684</v>
      </c>
      <c r="K153" s="15">
        <v>21</v>
      </c>
      <c r="L153" s="15">
        <v>109200</v>
      </c>
      <c r="M153" s="12" t="s">
        <v>69</v>
      </c>
      <c r="N153" s="12" t="s">
        <v>15</v>
      </c>
      <c r="O153" s="13" t="s">
        <v>768</v>
      </c>
      <c r="P153" s="12" t="s">
        <v>25</v>
      </c>
      <c r="Q153" s="13" t="s">
        <v>769</v>
      </c>
      <c r="R153" s="12" t="s">
        <v>770</v>
      </c>
    </row>
    <row r="154" spans="1:18" ht="32" x14ac:dyDescent="0.2">
      <c r="A154" s="12" t="s">
        <v>771</v>
      </c>
      <c r="B154" s="12" t="s">
        <v>764</v>
      </c>
      <c r="C154" s="12" t="s">
        <v>32</v>
      </c>
      <c r="D154" s="12" t="s">
        <v>772</v>
      </c>
      <c r="E154" s="12" t="s">
        <v>766</v>
      </c>
      <c r="F154" s="12" t="s">
        <v>32</v>
      </c>
      <c r="G154" s="12" t="s">
        <v>764</v>
      </c>
      <c r="H154" s="13" t="s">
        <v>773</v>
      </c>
      <c r="I154" s="14">
        <v>12800</v>
      </c>
      <c r="J154" s="12" t="s">
        <v>684</v>
      </c>
      <c r="K154" s="15">
        <v>14</v>
      </c>
      <c r="L154" s="15">
        <v>179200</v>
      </c>
      <c r="M154" s="12" t="s">
        <v>69</v>
      </c>
      <c r="N154" s="12" t="s">
        <v>15</v>
      </c>
      <c r="O154" s="13" t="s">
        <v>774</v>
      </c>
      <c r="P154" s="12" t="s">
        <v>25</v>
      </c>
      <c r="Q154" s="13" t="s">
        <v>775</v>
      </c>
      <c r="R154" s="12" t="s">
        <v>770</v>
      </c>
    </row>
    <row r="155" spans="1:18" ht="32" x14ac:dyDescent="0.2">
      <c r="A155" s="12" t="s">
        <v>776</v>
      </c>
      <c r="B155" s="12" t="s">
        <v>764</v>
      </c>
      <c r="C155" s="12" t="s">
        <v>32</v>
      </c>
      <c r="D155" s="12" t="s">
        <v>777</v>
      </c>
      <c r="E155" s="12" t="s">
        <v>778</v>
      </c>
      <c r="F155" s="12" t="s">
        <v>32</v>
      </c>
      <c r="G155" s="12" t="s">
        <v>764</v>
      </c>
      <c r="H155" s="13" t="s">
        <v>779</v>
      </c>
      <c r="I155" s="14">
        <v>5200</v>
      </c>
      <c r="J155" s="12" t="s">
        <v>684</v>
      </c>
      <c r="K155" s="15">
        <v>10</v>
      </c>
      <c r="L155" s="15">
        <v>52000</v>
      </c>
      <c r="M155" s="12" t="s">
        <v>69</v>
      </c>
      <c r="N155" s="12" t="s">
        <v>15</v>
      </c>
      <c r="O155" s="13" t="s">
        <v>780</v>
      </c>
      <c r="P155" s="12" t="s">
        <v>25</v>
      </c>
      <c r="Q155" s="13" t="s">
        <v>781</v>
      </c>
      <c r="R155" s="12" t="s">
        <v>770</v>
      </c>
    </row>
    <row r="156" spans="1:18" ht="32" x14ac:dyDescent="0.2">
      <c r="A156" s="12" t="s">
        <v>782</v>
      </c>
      <c r="B156" s="12" t="s">
        <v>764</v>
      </c>
      <c r="C156" s="12" t="s">
        <v>32</v>
      </c>
      <c r="D156" s="12" t="s">
        <v>783</v>
      </c>
      <c r="E156" s="12" t="s">
        <v>778</v>
      </c>
      <c r="F156" s="12" t="s">
        <v>32</v>
      </c>
      <c r="G156" s="12" t="s">
        <v>764</v>
      </c>
      <c r="H156" s="13" t="s">
        <v>784</v>
      </c>
      <c r="I156" s="14">
        <v>12800</v>
      </c>
      <c r="J156" s="12" t="s">
        <v>684</v>
      </c>
      <c r="K156" s="15">
        <v>6</v>
      </c>
      <c r="L156" s="15">
        <v>76800</v>
      </c>
      <c r="M156" s="12" t="s">
        <v>69</v>
      </c>
      <c r="N156" s="12" t="s">
        <v>15</v>
      </c>
      <c r="O156" s="13" t="s">
        <v>785</v>
      </c>
      <c r="P156" s="12" t="s">
        <v>25</v>
      </c>
      <c r="Q156" s="13" t="s">
        <v>786</v>
      </c>
      <c r="R156" s="12" t="s">
        <v>770</v>
      </c>
    </row>
    <row r="157" spans="1:18" ht="32" x14ac:dyDescent="0.2">
      <c r="A157" s="12" t="s">
        <v>787</v>
      </c>
      <c r="B157" s="12" t="s">
        <v>764</v>
      </c>
      <c r="C157" s="12" t="s">
        <v>32</v>
      </c>
      <c r="D157" s="12" t="s">
        <v>788</v>
      </c>
      <c r="E157" s="12" t="s">
        <v>789</v>
      </c>
      <c r="F157" s="12" t="s">
        <v>32</v>
      </c>
      <c r="G157" s="12" t="s">
        <v>764</v>
      </c>
      <c r="H157" s="13" t="s">
        <v>790</v>
      </c>
      <c r="I157" s="14">
        <v>45</v>
      </c>
      <c r="J157" s="12" t="s">
        <v>229</v>
      </c>
      <c r="K157" s="15">
        <v>850</v>
      </c>
      <c r="L157" s="15">
        <v>38250</v>
      </c>
      <c r="M157" s="12" t="s">
        <v>69</v>
      </c>
      <c r="N157" s="12" t="s">
        <v>15</v>
      </c>
      <c r="O157" s="13" t="s">
        <v>791</v>
      </c>
      <c r="P157" s="12" t="s">
        <v>25</v>
      </c>
      <c r="Q157" s="13" t="s">
        <v>792</v>
      </c>
      <c r="R157" s="12" t="s">
        <v>770</v>
      </c>
    </row>
    <row r="158" spans="1:18" ht="32" x14ac:dyDescent="0.2">
      <c r="A158" s="12" t="s">
        <v>793</v>
      </c>
      <c r="B158" s="12" t="s">
        <v>764</v>
      </c>
      <c r="C158" s="12" t="s">
        <v>32</v>
      </c>
      <c r="D158" s="12" t="s">
        <v>794</v>
      </c>
      <c r="E158" s="12" t="s">
        <v>789</v>
      </c>
      <c r="F158" s="12" t="s">
        <v>32</v>
      </c>
      <c r="G158" s="12" t="s">
        <v>764</v>
      </c>
      <c r="H158" s="13" t="s">
        <v>795</v>
      </c>
      <c r="I158" s="14">
        <v>1</v>
      </c>
      <c r="J158" s="12" t="s">
        <v>103</v>
      </c>
      <c r="K158" s="15">
        <v>32000</v>
      </c>
      <c r="L158" s="15">
        <v>32000</v>
      </c>
      <c r="M158" s="12" t="s">
        <v>69</v>
      </c>
      <c r="N158" s="12" t="s">
        <v>15</v>
      </c>
      <c r="O158" s="13" t="s">
        <v>796</v>
      </c>
      <c r="P158" s="12" t="s">
        <v>25</v>
      </c>
      <c r="Q158" s="13" t="s">
        <v>797</v>
      </c>
      <c r="R158" s="12" t="s">
        <v>770</v>
      </c>
    </row>
    <row r="159" spans="1:18" ht="32" x14ac:dyDescent="0.2">
      <c r="A159" s="12" t="s">
        <v>798</v>
      </c>
      <c r="B159" s="12" t="s">
        <v>764</v>
      </c>
      <c r="C159" s="12" t="s">
        <v>32</v>
      </c>
      <c r="D159" s="12" t="s">
        <v>799</v>
      </c>
      <c r="E159" s="12" t="s">
        <v>800</v>
      </c>
      <c r="F159" s="12" t="s">
        <v>32</v>
      </c>
      <c r="G159" s="12" t="s">
        <v>764</v>
      </c>
      <c r="H159" s="13" t="s">
        <v>801</v>
      </c>
      <c r="I159" s="14">
        <v>1</v>
      </c>
      <c r="J159" s="12" t="s">
        <v>103</v>
      </c>
      <c r="K159" s="15">
        <v>20000</v>
      </c>
      <c r="L159" s="15">
        <v>20000</v>
      </c>
      <c r="M159" s="12" t="s">
        <v>69</v>
      </c>
      <c r="N159" s="12" t="s">
        <v>15</v>
      </c>
      <c r="O159" s="13" t="s">
        <v>802</v>
      </c>
      <c r="P159" s="12" t="s">
        <v>25</v>
      </c>
      <c r="Q159" s="13" t="s">
        <v>803</v>
      </c>
      <c r="R159" s="12" t="s">
        <v>770</v>
      </c>
    </row>
    <row r="160" spans="1:18" ht="32" x14ac:dyDescent="0.2">
      <c r="A160" s="12" t="s">
        <v>804</v>
      </c>
      <c r="B160" s="12" t="s">
        <v>764</v>
      </c>
      <c r="C160" s="12" t="s">
        <v>32</v>
      </c>
      <c r="D160" s="12" t="s">
        <v>805</v>
      </c>
      <c r="E160" s="12" t="s">
        <v>789</v>
      </c>
      <c r="F160" s="12" t="s">
        <v>32</v>
      </c>
      <c r="G160" s="12" t="s">
        <v>764</v>
      </c>
      <c r="H160" s="13" t="s">
        <v>806</v>
      </c>
      <c r="I160" s="14">
        <v>4</v>
      </c>
      <c r="J160" s="12" t="s">
        <v>229</v>
      </c>
      <c r="K160" s="15">
        <v>2500</v>
      </c>
      <c r="L160" s="15">
        <v>10000</v>
      </c>
      <c r="M160" s="12" t="s">
        <v>69</v>
      </c>
      <c r="N160" s="12" t="s">
        <v>15</v>
      </c>
      <c r="O160" s="13" t="s">
        <v>807</v>
      </c>
      <c r="P160" s="12" t="s">
        <v>25</v>
      </c>
      <c r="Q160" s="13" t="s">
        <v>808</v>
      </c>
      <c r="R160" s="12" t="s">
        <v>770</v>
      </c>
    </row>
    <row r="161" spans="1:18" ht="32" x14ac:dyDescent="0.2">
      <c r="A161" s="12" t="s">
        <v>809</v>
      </c>
      <c r="B161" s="12" t="s">
        <v>764</v>
      </c>
      <c r="C161" s="12" t="s">
        <v>32</v>
      </c>
      <c r="D161" s="12" t="s">
        <v>810</v>
      </c>
      <c r="E161" s="12" t="s">
        <v>778</v>
      </c>
      <c r="F161" s="12" t="s">
        <v>32</v>
      </c>
      <c r="G161" s="12" t="s">
        <v>764</v>
      </c>
      <c r="H161" s="13" t="s">
        <v>811</v>
      </c>
      <c r="I161" s="14">
        <v>18000</v>
      </c>
      <c r="J161" s="12" t="s">
        <v>684</v>
      </c>
      <c r="K161" s="15">
        <v>2.5</v>
      </c>
      <c r="L161" s="15">
        <v>45000</v>
      </c>
      <c r="M161" s="12" t="s">
        <v>69</v>
      </c>
      <c r="N161" s="12" t="s">
        <v>15</v>
      </c>
      <c r="O161" s="13" t="s">
        <v>812</v>
      </c>
      <c r="P161" s="12" t="s">
        <v>25</v>
      </c>
      <c r="Q161" s="13" t="s">
        <v>813</v>
      </c>
      <c r="R161" s="12" t="s">
        <v>770</v>
      </c>
    </row>
    <row r="162" spans="1:18" ht="32" x14ac:dyDescent="0.2">
      <c r="A162" s="12" t="s">
        <v>814</v>
      </c>
      <c r="B162" s="12" t="s">
        <v>764</v>
      </c>
      <c r="C162" s="12" t="s">
        <v>32</v>
      </c>
      <c r="D162" s="12" t="s">
        <v>815</v>
      </c>
      <c r="E162" s="12" t="s">
        <v>816</v>
      </c>
      <c r="F162" s="12" t="s">
        <v>32</v>
      </c>
      <c r="G162" s="12" t="s">
        <v>764</v>
      </c>
      <c r="H162" s="13" t="s">
        <v>817</v>
      </c>
      <c r="I162" s="14">
        <v>1</v>
      </c>
      <c r="J162" s="12" t="s">
        <v>103</v>
      </c>
      <c r="K162" s="15">
        <v>12000</v>
      </c>
      <c r="L162" s="15">
        <v>12000</v>
      </c>
      <c r="M162" s="12" t="s">
        <v>69</v>
      </c>
      <c r="N162" s="12" t="s">
        <v>15</v>
      </c>
      <c r="O162" s="13" t="s">
        <v>818</v>
      </c>
      <c r="P162" s="12" t="s">
        <v>25</v>
      </c>
      <c r="Q162" s="13" t="s">
        <v>819</v>
      </c>
      <c r="R162" s="12" t="s">
        <v>770</v>
      </c>
    </row>
    <row r="163" spans="1:18" ht="32" x14ac:dyDescent="0.2">
      <c r="A163" s="12" t="s">
        <v>820</v>
      </c>
      <c r="B163" s="12" t="s">
        <v>764</v>
      </c>
      <c r="C163" s="12" t="s">
        <v>32</v>
      </c>
      <c r="D163" s="12" t="s">
        <v>821</v>
      </c>
      <c r="E163" s="12" t="s">
        <v>766</v>
      </c>
      <c r="F163" s="12" t="s">
        <v>32</v>
      </c>
      <c r="G163" s="12" t="s">
        <v>764</v>
      </c>
      <c r="H163" s="13" t="s">
        <v>822</v>
      </c>
      <c r="I163" s="14">
        <v>1</v>
      </c>
      <c r="J163" s="12" t="s">
        <v>103</v>
      </c>
      <c r="K163" s="15">
        <v>45000</v>
      </c>
      <c r="L163" s="15">
        <v>45000</v>
      </c>
      <c r="M163" s="12" t="s">
        <v>69</v>
      </c>
      <c r="N163" s="12" t="s">
        <v>15</v>
      </c>
      <c r="O163" s="13" t="s">
        <v>823</v>
      </c>
      <c r="P163" s="12" t="s">
        <v>25</v>
      </c>
      <c r="Q163" s="13" t="s">
        <v>824</v>
      </c>
      <c r="R163" s="12" t="s">
        <v>770</v>
      </c>
    </row>
    <row r="164" spans="1:18" ht="32" x14ac:dyDescent="0.2">
      <c r="A164" s="12" t="s">
        <v>825</v>
      </c>
      <c r="B164" s="12" t="s">
        <v>764</v>
      </c>
      <c r="C164" s="12" t="s">
        <v>32</v>
      </c>
      <c r="D164" s="12" t="s">
        <v>826</v>
      </c>
      <c r="E164" s="12" t="s">
        <v>827</v>
      </c>
      <c r="F164" s="12" t="s">
        <v>32</v>
      </c>
      <c r="G164" s="12" t="s">
        <v>764</v>
      </c>
      <c r="H164" s="13" t="s">
        <v>828</v>
      </c>
      <c r="I164" s="14">
        <v>100</v>
      </c>
      <c r="J164" s="12" t="s">
        <v>68</v>
      </c>
      <c r="K164" s="15">
        <v>80</v>
      </c>
      <c r="L164" s="15">
        <v>8000</v>
      </c>
      <c r="M164" s="12" t="s">
        <v>69</v>
      </c>
      <c r="N164" s="12" t="s">
        <v>15</v>
      </c>
      <c r="O164" s="13" t="s">
        <v>829</v>
      </c>
      <c r="P164" s="12" t="s">
        <v>25</v>
      </c>
      <c r="Q164" s="13" t="s">
        <v>830</v>
      </c>
      <c r="R164" s="12" t="s">
        <v>770</v>
      </c>
    </row>
    <row r="165" spans="1:18" ht="32" x14ac:dyDescent="0.2">
      <c r="A165" s="12" t="s">
        <v>831</v>
      </c>
      <c r="B165" s="12" t="s">
        <v>764</v>
      </c>
      <c r="C165" s="12" t="s">
        <v>32</v>
      </c>
      <c r="D165" s="12" t="s">
        <v>832</v>
      </c>
      <c r="E165" s="12" t="s">
        <v>833</v>
      </c>
      <c r="F165" s="12" t="s">
        <v>32</v>
      </c>
      <c r="G165" s="12" t="s">
        <v>764</v>
      </c>
      <c r="H165" s="13" t="s">
        <v>834</v>
      </c>
      <c r="I165" s="14">
        <v>1</v>
      </c>
      <c r="J165" s="12" t="s">
        <v>103</v>
      </c>
      <c r="K165" s="15">
        <v>15486</v>
      </c>
      <c r="L165" s="15">
        <v>15486</v>
      </c>
      <c r="M165" s="12" t="s">
        <v>69</v>
      </c>
      <c r="N165" s="12" t="s">
        <v>15</v>
      </c>
      <c r="O165" s="13" t="s">
        <v>835</v>
      </c>
      <c r="P165" s="12" t="s">
        <v>25</v>
      </c>
      <c r="Q165" s="13" t="s">
        <v>836</v>
      </c>
      <c r="R165" s="12" t="s">
        <v>770</v>
      </c>
    </row>
    <row r="166" spans="1:18" ht="48" x14ac:dyDescent="0.2">
      <c r="A166" s="12" t="s">
        <v>837</v>
      </c>
      <c r="B166" s="12" t="s">
        <v>838</v>
      </c>
      <c r="C166" s="12" t="s">
        <v>32</v>
      </c>
      <c r="D166" s="12" t="s">
        <v>839</v>
      </c>
      <c r="E166" s="12" t="s">
        <v>840</v>
      </c>
      <c r="F166" s="12" t="s">
        <v>32</v>
      </c>
      <c r="G166" s="12" t="s">
        <v>838</v>
      </c>
      <c r="H166" s="13" t="s">
        <v>841</v>
      </c>
      <c r="I166" s="14">
        <v>1</v>
      </c>
      <c r="J166" s="12" t="s">
        <v>103</v>
      </c>
      <c r="K166" s="15">
        <v>150000</v>
      </c>
      <c r="L166" s="15">
        <v>150000</v>
      </c>
      <c r="M166" s="12" t="s">
        <v>69</v>
      </c>
      <c r="N166" s="12" t="s">
        <v>16</v>
      </c>
      <c r="O166" s="13" t="s">
        <v>842</v>
      </c>
      <c r="P166" s="12" t="s">
        <v>27</v>
      </c>
      <c r="Q166" s="13" t="s">
        <v>843</v>
      </c>
      <c r="R166" s="12" t="s">
        <v>844</v>
      </c>
    </row>
    <row r="167" spans="1:18" ht="48" x14ac:dyDescent="0.2">
      <c r="A167" s="12" t="s">
        <v>845</v>
      </c>
      <c r="B167" s="12" t="s">
        <v>838</v>
      </c>
      <c r="C167" s="12" t="s">
        <v>32</v>
      </c>
      <c r="D167" s="12" t="s">
        <v>846</v>
      </c>
      <c r="E167" s="12" t="s">
        <v>847</v>
      </c>
      <c r="F167" s="12" t="s">
        <v>32</v>
      </c>
      <c r="G167" s="12" t="s">
        <v>838</v>
      </c>
      <c r="H167" s="13" t="s">
        <v>848</v>
      </c>
      <c r="I167" s="14">
        <v>1</v>
      </c>
      <c r="J167" s="12" t="s">
        <v>103</v>
      </c>
      <c r="K167" s="15">
        <v>18000</v>
      </c>
      <c r="L167" s="15">
        <v>18000</v>
      </c>
      <c r="M167" s="12" t="s">
        <v>69</v>
      </c>
      <c r="N167" s="12" t="s">
        <v>16</v>
      </c>
      <c r="O167" s="13" t="s">
        <v>849</v>
      </c>
      <c r="P167" s="12" t="s">
        <v>27</v>
      </c>
      <c r="Q167" s="13" t="s">
        <v>850</v>
      </c>
      <c r="R167" s="12" t="s">
        <v>844</v>
      </c>
    </row>
    <row r="168" spans="1:18" ht="64" x14ac:dyDescent="0.2">
      <c r="A168" s="12" t="s">
        <v>851</v>
      </c>
      <c r="B168" s="12" t="s">
        <v>838</v>
      </c>
      <c r="C168" s="12" t="s">
        <v>32</v>
      </c>
      <c r="D168" s="12" t="s">
        <v>852</v>
      </c>
      <c r="E168" s="12" t="s">
        <v>853</v>
      </c>
      <c r="F168" s="12" t="s">
        <v>32</v>
      </c>
      <c r="G168" s="12" t="s">
        <v>838</v>
      </c>
      <c r="H168" s="13" t="s">
        <v>854</v>
      </c>
      <c r="I168" s="14">
        <v>1</v>
      </c>
      <c r="J168" s="12" t="s">
        <v>103</v>
      </c>
      <c r="K168" s="15">
        <v>16000</v>
      </c>
      <c r="L168" s="15">
        <v>16000</v>
      </c>
      <c r="M168" s="12" t="s">
        <v>69</v>
      </c>
      <c r="N168" s="12" t="s">
        <v>16</v>
      </c>
      <c r="O168" s="13" t="s">
        <v>855</v>
      </c>
      <c r="P168" s="12" t="s">
        <v>27</v>
      </c>
      <c r="Q168" s="13" t="s">
        <v>856</v>
      </c>
      <c r="R168" s="12" t="s">
        <v>844</v>
      </c>
    </row>
    <row r="169" spans="1:18" ht="64" x14ac:dyDescent="0.2">
      <c r="A169" s="12" t="s">
        <v>857</v>
      </c>
      <c r="B169" s="12" t="s">
        <v>838</v>
      </c>
      <c r="C169" s="12" t="s">
        <v>32</v>
      </c>
      <c r="D169" s="12" t="s">
        <v>858</v>
      </c>
      <c r="E169" s="12" t="s">
        <v>840</v>
      </c>
      <c r="F169" s="12" t="s">
        <v>32</v>
      </c>
      <c r="G169" s="12" t="s">
        <v>838</v>
      </c>
      <c r="H169" s="13" t="s">
        <v>859</v>
      </c>
      <c r="I169" s="14">
        <v>1</v>
      </c>
      <c r="J169" s="12" t="s">
        <v>103</v>
      </c>
      <c r="K169" s="15">
        <v>12000</v>
      </c>
      <c r="L169" s="15">
        <v>12000</v>
      </c>
      <c r="M169" s="12" t="s">
        <v>69</v>
      </c>
      <c r="N169" s="12" t="s">
        <v>16</v>
      </c>
      <c r="O169" s="13" t="s">
        <v>860</v>
      </c>
      <c r="P169" s="12" t="s">
        <v>27</v>
      </c>
      <c r="Q169" s="13" t="s">
        <v>861</v>
      </c>
      <c r="R169" s="12" t="s">
        <v>844</v>
      </c>
    </row>
    <row r="170" spans="1:18" ht="48" x14ac:dyDescent="0.2">
      <c r="A170" s="12" t="s">
        <v>862</v>
      </c>
      <c r="B170" s="12" t="s">
        <v>838</v>
      </c>
      <c r="C170" s="12" t="s">
        <v>32</v>
      </c>
      <c r="D170" s="12" t="s">
        <v>863</v>
      </c>
      <c r="E170" s="12" t="s">
        <v>864</v>
      </c>
      <c r="F170" s="12" t="s">
        <v>32</v>
      </c>
      <c r="G170" s="12" t="s">
        <v>838</v>
      </c>
      <c r="H170" s="13" t="s">
        <v>865</v>
      </c>
      <c r="I170" s="14">
        <v>1</v>
      </c>
      <c r="J170" s="12" t="s">
        <v>103</v>
      </c>
      <c r="K170" s="15">
        <v>5000</v>
      </c>
      <c r="L170" s="15">
        <v>5000</v>
      </c>
      <c r="M170" s="12" t="s">
        <v>69</v>
      </c>
      <c r="N170" s="12" t="s">
        <v>16</v>
      </c>
      <c r="O170" s="13" t="s">
        <v>866</v>
      </c>
      <c r="P170" s="12" t="s">
        <v>27</v>
      </c>
      <c r="Q170" s="13" t="s">
        <v>867</v>
      </c>
      <c r="R170" s="12" t="s">
        <v>844</v>
      </c>
    </row>
    <row r="171" spans="1:18" ht="64" x14ac:dyDescent="0.2">
      <c r="A171" s="12" t="s">
        <v>868</v>
      </c>
      <c r="B171" s="12" t="s">
        <v>869</v>
      </c>
      <c r="C171" s="12" t="s">
        <v>33</v>
      </c>
      <c r="D171" s="12" t="s">
        <v>65</v>
      </c>
      <c r="E171" s="12" t="s">
        <v>870</v>
      </c>
      <c r="F171" s="12" t="s">
        <v>33</v>
      </c>
      <c r="G171" s="12" t="s">
        <v>869</v>
      </c>
      <c r="H171" s="13" t="s">
        <v>871</v>
      </c>
      <c r="I171" s="14">
        <v>1</v>
      </c>
      <c r="J171" s="12" t="s">
        <v>103</v>
      </c>
      <c r="K171" s="15">
        <v>13500</v>
      </c>
      <c r="L171" s="15">
        <v>13500</v>
      </c>
      <c r="M171" s="12" t="s">
        <v>69</v>
      </c>
      <c r="N171" s="12" t="s">
        <v>15</v>
      </c>
      <c r="O171" s="13" t="s">
        <v>872</v>
      </c>
      <c r="P171" s="12" t="s">
        <v>27</v>
      </c>
      <c r="Q171" s="13" t="s">
        <v>873</v>
      </c>
      <c r="R171" s="12" t="s">
        <v>874</v>
      </c>
    </row>
    <row r="172" spans="1:18" ht="64" x14ac:dyDescent="0.2">
      <c r="A172" s="12" t="s">
        <v>875</v>
      </c>
      <c r="B172" s="12" t="s">
        <v>869</v>
      </c>
      <c r="C172" s="12" t="s">
        <v>33</v>
      </c>
      <c r="D172" s="12" t="s">
        <v>74</v>
      </c>
      <c r="E172" s="12" t="s">
        <v>876</v>
      </c>
      <c r="F172" s="12" t="s">
        <v>33</v>
      </c>
      <c r="G172" s="12" t="s">
        <v>869</v>
      </c>
      <c r="H172" s="13" t="s">
        <v>877</v>
      </c>
      <c r="I172" s="14">
        <v>1</v>
      </c>
      <c r="J172" s="12" t="s">
        <v>103</v>
      </c>
      <c r="K172" s="15">
        <v>5000</v>
      </c>
      <c r="L172" s="15">
        <v>5000</v>
      </c>
      <c r="M172" s="12" t="s">
        <v>69</v>
      </c>
      <c r="N172" s="12" t="s">
        <v>15</v>
      </c>
      <c r="O172" s="13" t="s">
        <v>878</v>
      </c>
      <c r="P172" s="12" t="s">
        <v>25</v>
      </c>
      <c r="Q172" s="13" t="s">
        <v>879</v>
      </c>
      <c r="R172" s="12" t="s">
        <v>874</v>
      </c>
    </row>
    <row r="173" spans="1:18" ht="32" x14ac:dyDescent="0.2">
      <c r="A173" s="12" t="s">
        <v>880</v>
      </c>
      <c r="B173" s="12" t="s">
        <v>881</v>
      </c>
      <c r="C173" s="12" t="s">
        <v>33</v>
      </c>
      <c r="D173" s="12" t="s">
        <v>65</v>
      </c>
      <c r="E173" s="12" t="s">
        <v>882</v>
      </c>
      <c r="F173" s="12" t="s">
        <v>33</v>
      </c>
      <c r="G173" s="12" t="s">
        <v>881</v>
      </c>
      <c r="H173" s="13" t="s">
        <v>883</v>
      </c>
      <c r="I173" s="14">
        <v>4.5</v>
      </c>
      <c r="J173" s="12" t="s">
        <v>884</v>
      </c>
      <c r="K173" s="15">
        <v>4200</v>
      </c>
      <c r="L173" s="15">
        <v>18900</v>
      </c>
      <c r="M173" s="12" t="s">
        <v>69</v>
      </c>
      <c r="N173" s="12" t="s">
        <v>15</v>
      </c>
      <c r="O173" s="13" t="s">
        <v>885</v>
      </c>
      <c r="P173" s="12" t="s">
        <v>25</v>
      </c>
      <c r="Q173" s="13" t="s">
        <v>886</v>
      </c>
      <c r="R173" s="12" t="s">
        <v>887</v>
      </c>
    </row>
    <row r="174" spans="1:18" ht="32" x14ac:dyDescent="0.2">
      <c r="A174" s="12" t="s">
        <v>888</v>
      </c>
      <c r="B174" s="12" t="s">
        <v>881</v>
      </c>
      <c r="C174" s="12" t="s">
        <v>33</v>
      </c>
      <c r="D174" s="12" t="s">
        <v>74</v>
      </c>
      <c r="E174" s="12" t="s">
        <v>882</v>
      </c>
      <c r="F174" s="12" t="s">
        <v>33</v>
      </c>
      <c r="G174" s="12" t="s">
        <v>881</v>
      </c>
      <c r="H174" s="13" t="s">
        <v>889</v>
      </c>
      <c r="I174" s="14">
        <v>1311</v>
      </c>
      <c r="J174" s="12" t="s">
        <v>566</v>
      </c>
      <c r="K174" s="15">
        <v>10</v>
      </c>
      <c r="L174" s="15">
        <v>13110</v>
      </c>
      <c r="M174" s="12" t="s">
        <v>69</v>
      </c>
      <c r="N174" s="12" t="s">
        <v>15</v>
      </c>
      <c r="O174" s="13" t="s">
        <v>890</v>
      </c>
      <c r="P174" s="12" t="s">
        <v>25</v>
      </c>
      <c r="Q174" s="13" t="s">
        <v>891</v>
      </c>
      <c r="R174" s="12" t="s">
        <v>887</v>
      </c>
    </row>
    <row r="175" spans="1:18" ht="48" x14ac:dyDescent="0.2">
      <c r="A175" s="12" t="s">
        <v>892</v>
      </c>
      <c r="B175" s="12" t="s">
        <v>881</v>
      </c>
      <c r="C175" s="12" t="s">
        <v>33</v>
      </c>
      <c r="D175" s="12" t="s">
        <v>79</v>
      </c>
      <c r="E175" s="12" t="s">
        <v>893</v>
      </c>
      <c r="F175" s="12" t="s">
        <v>33</v>
      </c>
      <c r="G175" s="12" t="s">
        <v>881</v>
      </c>
      <c r="H175" s="13" t="s">
        <v>894</v>
      </c>
      <c r="I175" s="14">
        <v>3000</v>
      </c>
      <c r="J175" s="12" t="s">
        <v>566</v>
      </c>
      <c r="K175" s="15">
        <v>15</v>
      </c>
      <c r="L175" s="15">
        <v>45000</v>
      </c>
      <c r="M175" s="12" t="s">
        <v>69</v>
      </c>
      <c r="N175" s="12" t="s">
        <v>15</v>
      </c>
      <c r="O175" s="13" t="s">
        <v>895</v>
      </c>
      <c r="P175" s="12" t="s">
        <v>27</v>
      </c>
      <c r="Q175" s="13" t="s">
        <v>896</v>
      </c>
      <c r="R175" s="12" t="s">
        <v>887</v>
      </c>
    </row>
    <row r="176" spans="1:18" ht="32" x14ac:dyDescent="0.2">
      <c r="A176" s="12" t="s">
        <v>897</v>
      </c>
      <c r="B176" s="12" t="s">
        <v>881</v>
      </c>
      <c r="C176" s="12" t="s">
        <v>33</v>
      </c>
      <c r="D176" s="12" t="s">
        <v>85</v>
      </c>
      <c r="E176" s="12" t="s">
        <v>893</v>
      </c>
      <c r="F176" s="12" t="s">
        <v>33</v>
      </c>
      <c r="G176" s="12" t="s">
        <v>881</v>
      </c>
      <c r="H176" s="13" t="s">
        <v>898</v>
      </c>
      <c r="I176" s="14">
        <v>2000</v>
      </c>
      <c r="J176" s="12" t="s">
        <v>566</v>
      </c>
      <c r="K176" s="15">
        <v>30</v>
      </c>
      <c r="L176" s="15">
        <v>60000</v>
      </c>
      <c r="M176" s="12" t="s">
        <v>69</v>
      </c>
      <c r="N176" s="12" t="s">
        <v>15</v>
      </c>
      <c r="O176" s="13" t="s">
        <v>899</v>
      </c>
      <c r="P176" s="12" t="s">
        <v>27</v>
      </c>
      <c r="Q176" s="13" t="s">
        <v>900</v>
      </c>
      <c r="R176" s="12" t="s">
        <v>887</v>
      </c>
    </row>
    <row r="177" spans="1:18" ht="32" x14ac:dyDescent="0.2">
      <c r="A177" s="12" t="s">
        <v>901</v>
      </c>
      <c r="B177" s="12" t="s">
        <v>881</v>
      </c>
      <c r="C177" s="12" t="s">
        <v>33</v>
      </c>
      <c r="D177" s="12" t="s">
        <v>248</v>
      </c>
      <c r="E177" s="12" t="s">
        <v>893</v>
      </c>
      <c r="F177" s="12" t="s">
        <v>33</v>
      </c>
      <c r="G177" s="12" t="s">
        <v>881</v>
      </c>
      <c r="H177" s="13" t="s">
        <v>902</v>
      </c>
      <c r="I177" s="14">
        <v>1672</v>
      </c>
      <c r="J177" s="12" t="s">
        <v>244</v>
      </c>
      <c r="K177" s="15">
        <v>22</v>
      </c>
      <c r="L177" s="15">
        <v>36784</v>
      </c>
      <c r="M177" s="12" t="s">
        <v>69</v>
      </c>
      <c r="N177" s="12" t="s">
        <v>15</v>
      </c>
      <c r="O177" s="13" t="s">
        <v>903</v>
      </c>
      <c r="P177" s="12" t="s">
        <v>25</v>
      </c>
      <c r="Q177" s="13" t="s">
        <v>904</v>
      </c>
      <c r="R177" s="12" t="s">
        <v>887</v>
      </c>
    </row>
    <row r="178" spans="1:18" ht="32" x14ac:dyDescent="0.2">
      <c r="A178" s="12" t="s">
        <v>905</v>
      </c>
      <c r="B178" s="12" t="s">
        <v>881</v>
      </c>
      <c r="C178" s="12" t="s">
        <v>33</v>
      </c>
      <c r="D178" s="12" t="s">
        <v>253</v>
      </c>
      <c r="E178" s="12" t="s">
        <v>893</v>
      </c>
      <c r="F178" s="12" t="s">
        <v>33</v>
      </c>
      <c r="G178" s="12" t="s">
        <v>881</v>
      </c>
      <c r="H178" s="13" t="s">
        <v>906</v>
      </c>
      <c r="I178" s="14">
        <v>557</v>
      </c>
      <c r="J178" s="12" t="s">
        <v>244</v>
      </c>
      <c r="K178" s="15">
        <v>22</v>
      </c>
      <c r="L178" s="15">
        <v>12254</v>
      </c>
      <c r="M178" s="12" t="s">
        <v>69</v>
      </c>
      <c r="N178" s="12" t="s">
        <v>15</v>
      </c>
      <c r="O178" s="13" t="s">
        <v>907</v>
      </c>
      <c r="P178" s="12" t="s">
        <v>25</v>
      </c>
      <c r="Q178" s="13" t="s">
        <v>908</v>
      </c>
      <c r="R178" s="12" t="s">
        <v>887</v>
      </c>
    </row>
    <row r="179" spans="1:18" ht="32" x14ac:dyDescent="0.2">
      <c r="A179" s="12" t="s">
        <v>909</v>
      </c>
      <c r="B179" s="12" t="s">
        <v>881</v>
      </c>
      <c r="C179" s="12" t="s">
        <v>33</v>
      </c>
      <c r="D179" s="12" t="s">
        <v>257</v>
      </c>
      <c r="E179" s="12" t="s">
        <v>893</v>
      </c>
      <c r="F179" s="12" t="s">
        <v>33</v>
      </c>
      <c r="G179" s="12" t="s">
        <v>881</v>
      </c>
      <c r="H179" s="13" t="s">
        <v>910</v>
      </c>
      <c r="I179" s="14">
        <v>4000</v>
      </c>
      <c r="J179" s="12" t="s">
        <v>566</v>
      </c>
      <c r="K179" s="15">
        <v>6</v>
      </c>
      <c r="L179" s="15">
        <v>24000</v>
      </c>
      <c r="M179" s="12" t="s">
        <v>69</v>
      </c>
      <c r="N179" s="12" t="s">
        <v>15</v>
      </c>
      <c r="O179" s="13" t="s">
        <v>911</v>
      </c>
      <c r="P179" s="12" t="s">
        <v>25</v>
      </c>
      <c r="Q179" s="13" t="s">
        <v>912</v>
      </c>
      <c r="R179" s="12" t="s">
        <v>887</v>
      </c>
    </row>
    <row r="180" spans="1:18" ht="32" x14ac:dyDescent="0.2">
      <c r="A180" s="12" t="s">
        <v>913</v>
      </c>
      <c r="B180" s="12" t="s">
        <v>881</v>
      </c>
      <c r="C180" s="12" t="s">
        <v>33</v>
      </c>
      <c r="D180" s="12" t="s">
        <v>262</v>
      </c>
      <c r="E180" s="12" t="s">
        <v>914</v>
      </c>
      <c r="F180" s="12" t="s">
        <v>33</v>
      </c>
      <c r="G180" s="12" t="s">
        <v>881</v>
      </c>
      <c r="H180" s="13" t="s">
        <v>915</v>
      </c>
      <c r="I180" s="14">
        <v>1</v>
      </c>
      <c r="J180" s="12" t="s">
        <v>103</v>
      </c>
      <c r="K180" s="15">
        <v>22000</v>
      </c>
      <c r="L180" s="15">
        <v>22000</v>
      </c>
      <c r="M180" s="12" t="s">
        <v>69</v>
      </c>
      <c r="N180" s="12" t="s">
        <v>15</v>
      </c>
      <c r="O180" s="13" t="s">
        <v>916</v>
      </c>
      <c r="P180" s="12" t="s">
        <v>25</v>
      </c>
      <c r="Q180" s="13" t="s">
        <v>917</v>
      </c>
      <c r="R180" s="12" t="s">
        <v>887</v>
      </c>
    </row>
    <row r="181" spans="1:18" ht="32" x14ac:dyDescent="0.2">
      <c r="A181" s="12" t="s">
        <v>918</v>
      </c>
      <c r="B181" s="12" t="s">
        <v>881</v>
      </c>
      <c r="C181" s="12" t="s">
        <v>33</v>
      </c>
      <c r="D181" s="12" t="s">
        <v>267</v>
      </c>
      <c r="E181" s="12" t="s">
        <v>919</v>
      </c>
      <c r="F181" s="12" t="s">
        <v>33</v>
      </c>
      <c r="G181" s="12" t="s">
        <v>881</v>
      </c>
      <c r="H181" s="13" t="s">
        <v>920</v>
      </c>
      <c r="I181" s="14">
        <v>400</v>
      </c>
      <c r="J181" s="12" t="s">
        <v>511</v>
      </c>
      <c r="K181" s="15">
        <v>55</v>
      </c>
      <c r="L181" s="15">
        <v>22000</v>
      </c>
      <c r="M181" s="12" t="s">
        <v>69</v>
      </c>
      <c r="N181" s="12" t="s">
        <v>15</v>
      </c>
      <c r="O181" s="13" t="s">
        <v>921</v>
      </c>
      <c r="P181" s="12" t="s">
        <v>27</v>
      </c>
      <c r="Q181" s="13" t="s">
        <v>922</v>
      </c>
      <c r="R181" s="12" t="s">
        <v>887</v>
      </c>
    </row>
    <row r="182" spans="1:18" ht="32" x14ac:dyDescent="0.2">
      <c r="A182" s="12" t="s">
        <v>923</v>
      </c>
      <c r="B182" s="12" t="s">
        <v>881</v>
      </c>
      <c r="C182" s="12" t="s">
        <v>33</v>
      </c>
      <c r="D182" s="12" t="s">
        <v>271</v>
      </c>
      <c r="E182" s="12" t="s">
        <v>919</v>
      </c>
      <c r="F182" s="12" t="s">
        <v>33</v>
      </c>
      <c r="G182" s="12" t="s">
        <v>881</v>
      </c>
      <c r="H182" s="13" t="s">
        <v>924</v>
      </c>
      <c r="I182" s="14">
        <v>2500</v>
      </c>
      <c r="J182" s="12" t="s">
        <v>566</v>
      </c>
      <c r="K182" s="15">
        <v>15</v>
      </c>
      <c r="L182" s="15">
        <v>37500</v>
      </c>
      <c r="M182" s="12" t="s">
        <v>69</v>
      </c>
      <c r="N182" s="12" t="s">
        <v>15</v>
      </c>
      <c r="O182" s="13" t="s">
        <v>925</v>
      </c>
      <c r="P182" s="12" t="s">
        <v>27</v>
      </c>
      <c r="Q182" s="13" t="s">
        <v>926</v>
      </c>
      <c r="R182" s="12" t="s">
        <v>887</v>
      </c>
    </row>
    <row r="183" spans="1:18" ht="48" x14ac:dyDescent="0.2">
      <c r="A183" s="12" t="s">
        <v>927</v>
      </c>
      <c r="B183" s="12" t="s">
        <v>881</v>
      </c>
      <c r="C183" s="12" t="s">
        <v>33</v>
      </c>
      <c r="D183" s="12" t="s">
        <v>324</v>
      </c>
      <c r="E183" s="12" t="s">
        <v>919</v>
      </c>
      <c r="F183" s="12" t="s">
        <v>33</v>
      </c>
      <c r="G183" s="12" t="s">
        <v>881</v>
      </c>
      <c r="H183" s="13" t="s">
        <v>928</v>
      </c>
      <c r="I183" s="14">
        <v>1</v>
      </c>
      <c r="J183" s="12" t="s">
        <v>103</v>
      </c>
      <c r="K183" s="15">
        <v>15000</v>
      </c>
      <c r="L183" s="15">
        <v>15000</v>
      </c>
      <c r="M183" s="12" t="s">
        <v>69</v>
      </c>
      <c r="N183" s="12" t="s">
        <v>15</v>
      </c>
      <c r="O183" s="13" t="s">
        <v>929</v>
      </c>
      <c r="P183" s="12" t="s">
        <v>27</v>
      </c>
      <c r="Q183" s="13" t="s">
        <v>930</v>
      </c>
      <c r="R183" s="12" t="s">
        <v>887</v>
      </c>
    </row>
    <row r="184" spans="1:18" ht="32" x14ac:dyDescent="0.2">
      <c r="A184" s="12" t="s">
        <v>931</v>
      </c>
      <c r="B184" s="12" t="s">
        <v>881</v>
      </c>
      <c r="C184" s="12" t="s">
        <v>33</v>
      </c>
      <c r="D184" s="12" t="s">
        <v>329</v>
      </c>
      <c r="E184" s="12" t="s">
        <v>932</v>
      </c>
      <c r="F184" s="12" t="s">
        <v>33</v>
      </c>
      <c r="G184" s="12" t="s">
        <v>881</v>
      </c>
      <c r="H184" s="13" t="s">
        <v>933</v>
      </c>
      <c r="I184" s="14">
        <v>10000</v>
      </c>
      <c r="J184" s="12" t="s">
        <v>244</v>
      </c>
      <c r="K184" s="15">
        <v>11</v>
      </c>
      <c r="L184" s="15">
        <v>110000</v>
      </c>
      <c r="M184" s="12" t="s">
        <v>69</v>
      </c>
      <c r="N184" s="12" t="s">
        <v>15</v>
      </c>
      <c r="O184" s="13" t="s">
        <v>934</v>
      </c>
      <c r="P184" s="12" t="s">
        <v>25</v>
      </c>
      <c r="Q184" s="13" t="s">
        <v>935</v>
      </c>
      <c r="R184" s="12" t="s">
        <v>887</v>
      </c>
    </row>
    <row r="185" spans="1:18" ht="32" x14ac:dyDescent="0.2">
      <c r="A185" s="12" t="s">
        <v>936</v>
      </c>
      <c r="B185" s="12" t="s">
        <v>881</v>
      </c>
      <c r="C185" s="12" t="s">
        <v>33</v>
      </c>
      <c r="D185" s="12" t="s">
        <v>334</v>
      </c>
      <c r="E185" s="12" t="s">
        <v>937</v>
      </c>
      <c r="F185" s="12" t="s">
        <v>33</v>
      </c>
      <c r="G185" s="12" t="s">
        <v>881</v>
      </c>
      <c r="H185" s="13" t="s">
        <v>938</v>
      </c>
      <c r="I185" s="14">
        <v>1</v>
      </c>
      <c r="J185" s="12" t="s">
        <v>103</v>
      </c>
      <c r="K185" s="15">
        <v>12000</v>
      </c>
      <c r="L185" s="15">
        <v>12000</v>
      </c>
      <c r="M185" s="12" t="s">
        <v>69</v>
      </c>
      <c r="N185" s="12" t="s">
        <v>15</v>
      </c>
      <c r="O185" s="13" t="s">
        <v>939</v>
      </c>
      <c r="P185" s="12" t="s">
        <v>25</v>
      </c>
      <c r="Q185" s="13" t="s">
        <v>940</v>
      </c>
      <c r="R185" s="12" t="s">
        <v>887</v>
      </c>
    </row>
    <row r="186" spans="1:18" ht="48" x14ac:dyDescent="0.2">
      <c r="A186" s="12" t="s">
        <v>941</v>
      </c>
      <c r="B186" s="12" t="s">
        <v>881</v>
      </c>
      <c r="C186" s="12" t="s">
        <v>33</v>
      </c>
      <c r="D186" s="12" t="s">
        <v>339</v>
      </c>
      <c r="E186" s="12" t="s">
        <v>942</v>
      </c>
      <c r="F186" s="12" t="s">
        <v>33</v>
      </c>
      <c r="G186" s="12" t="s">
        <v>881</v>
      </c>
      <c r="H186" s="13" t="s">
        <v>943</v>
      </c>
      <c r="I186" s="14">
        <v>1</v>
      </c>
      <c r="J186" s="12" t="s">
        <v>103</v>
      </c>
      <c r="K186" s="15">
        <v>32000</v>
      </c>
      <c r="L186" s="15">
        <v>32000</v>
      </c>
      <c r="M186" s="12" t="s">
        <v>69</v>
      </c>
      <c r="N186" s="12" t="s">
        <v>15</v>
      </c>
      <c r="O186" s="13" t="s">
        <v>944</v>
      </c>
      <c r="P186" s="12" t="s">
        <v>25</v>
      </c>
      <c r="Q186" s="13" t="s">
        <v>945</v>
      </c>
      <c r="R186" s="12" t="s">
        <v>887</v>
      </c>
    </row>
    <row r="187" spans="1:18" ht="32" x14ac:dyDescent="0.2">
      <c r="A187" s="12" t="s">
        <v>946</v>
      </c>
      <c r="B187" s="12" t="s">
        <v>881</v>
      </c>
      <c r="C187" s="12" t="s">
        <v>33</v>
      </c>
      <c r="D187" s="12" t="s">
        <v>344</v>
      </c>
      <c r="E187" s="12" t="s">
        <v>947</v>
      </c>
      <c r="F187" s="12" t="s">
        <v>33</v>
      </c>
      <c r="G187" s="12" t="s">
        <v>881</v>
      </c>
      <c r="H187" s="13" t="s">
        <v>948</v>
      </c>
      <c r="I187" s="14">
        <v>1</v>
      </c>
      <c r="J187" s="12" t="s">
        <v>103</v>
      </c>
      <c r="K187" s="15">
        <v>11514</v>
      </c>
      <c r="L187" s="15">
        <v>11514</v>
      </c>
      <c r="M187" s="12" t="s">
        <v>69</v>
      </c>
      <c r="N187" s="12" t="s">
        <v>15</v>
      </c>
      <c r="O187" s="13" t="s">
        <v>949</v>
      </c>
      <c r="P187" s="12" t="s">
        <v>25</v>
      </c>
      <c r="Q187" s="13" t="s">
        <v>950</v>
      </c>
      <c r="R187" s="12" t="s">
        <v>887</v>
      </c>
    </row>
    <row r="188" spans="1:18" ht="32" x14ac:dyDescent="0.2">
      <c r="A188" s="12" t="s">
        <v>951</v>
      </c>
      <c r="B188" s="12" t="s">
        <v>952</v>
      </c>
      <c r="C188" s="12" t="s">
        <v>33</v>
      </c>
      <c r="D188" s="12" t="s">
        <v>65</v>
      </c>
      <c r="E188" s="12" t="s">
        <v>953</v>
      </c>
      <c r="F188" s="12" t="s">
        <v>33</v>
      </c>
      <c r="G188" s="12" t="s">
        <v>952</v>
      </c>
      <c r="H188" s="13" t="s">
        <v>954</v>
      </c>
      <c r="I188" s="14">
        <v>2000</v>
      </c>
      <c r="J188" s="12" t="s">
        <v>244</v>
      </c>
      <c r="K188" s="15">
        <v>92</v>
      </c>
      <c r="L188" s="15">
        <v>184000</v>
      </c>
      <c r="M188" s="12" t="s">
        <v>69</v>
      </c>
      <c r="N188" s="12" t="s">
        <v>15</v>
      </c>
      <c r="O188" s="13" t="s">
        <v>955</v>
      </c>
      <c r="P188" s="12" t="s">
        <v>25</v>
      </c>
      <c r="Q188" s="13" t="s">
        <v>956</v>
      </c>
      <c r="R188" s="12" t="s">
        <v>957</v>
      </c>
    </row>
    <row r="189" spans="1:18" ht="48" x14ac:dyDescent="0.2">
      <c r="A189" s="12" t="s">
        <v>958</v>
      </c>
      <c r="B189" s="12" t="s">
        <v>952</v>
      </c>
      <c r="C189" s="12" t="s">
        <v>33</v>
      </c>
      <c r="D189" s="12" t="s">
        <v>74</v>
      </c>
      <c r="E189" s="12" t="s">
        <v>959</v>
      </c>
      <c r="F189" s="12" t="s">
        <v>33</v>
      </c>
      <c r="G189" s="12" t="s">
        <v>952</v>
      </c>
      <c r="H189" s="13" t="s">
        <v>960</v>
      </c>
      <c r="I189" s="14">
        <v>3200</v>
      </c>
      <c r="J189" s="12" t="s">
        <v>244</v>
      </c>
      <c r="K189" s="15">
        <v>60</v>
      </c>
      <c r="L189" s="15">
        <v>192000</v>
      </c>
      <c r="M189" s="12" t="s">
        <v>69</v>
      </c>
      <c r="N189" s="12" t="s">
        <v>15</v>
      </c>
      <c r="O189" s="13" t="s">
        <v>961</v>
      </c>
      <c r="P189" s="12" t="s">
        <v>25</v>
      </c>
      <c r="Q189" s="13" t="s">
        <v>962</v>
      </c>
      <c r="R189" s="12" t="s">
        <v>957</v>
      </c>
    </row>
    <row r="190" spans="1:18" ht="48" x14ac:dyDescent="0.2">
      <c r="A190" s="12" t="s">
        <v>963</v>
      </c>
      <c r="B190" s="12" t="s">
        <v>952</v>
      </c>
      <c r="C190" s="12" t="s">
        <v>33</v>
      </c>
      <c r="D190" s="12" t="s">
        <v>79</v>
      </c>
      <c r="E190" s="12" t="s">
        <v>964</v>
      </c>
      <c r="F190" s="12" t="s">
        <v>33</v>
      </c>
      <c r="G190" s="12" t="s">
        <v>952</v>
      </c>
      <c r="H190" s="13" t="s">
        <v>965</v>
      </c>
      <c r="I190" s="14">
        <v>6000</v>
      </c>
      <c r="J190" s="12" t="s">
        <v>244</v>
      </c>
      <c r="K190" s="15">
        <v>30</v>
      </c>
      <c r="L190" s="15">
        <v>180000</v>
      </c>
      <c r="M190" s="12" t="s">
        <v>69</v>
      </c>
      <c r="N190" s="12" t="s">
        <v>15</v>
      </c>
      <c r="O190" s="13" t="s">
        <v>966</v>
      </c>
      <c r="P190" s="12" t="s">
        <v>25</v>
      </c>
      <c r="Q190" s="13" t="s">
        <v>967</v>
      </c>
      <c r="R190" s="12" t="s">
        <v>957</v>
      </c>
    </row>
    <row r="191" spans="1:18" ht="32" x14ac:dyDescent="0.2">
      <c r="A191" s="12" t="s">
        <v>968</v>
      </c>
      <c r="B191" s="12" t="s">
        <v>952</v>
      </c>
      <c r="C191" s="12" t="s">
        <v>33</v>
      </c>
      <c r="D191" s="12" t="s">
        <v>85</v>
      </c>
      <c r="E191" s="12" t="s">
        <v>964</v>
      </c>
      <c r="F191" s="12" t="s">
        <v>33</v>
      </c>
      <c r="G191" s="12" t="s">
        <v>952</v>
      </c>
      <c r="H191" s="13" t="s">
        <v>969</v>
      </c>
      <c r="I191" s="14">
        <v>6000</v>
      </c>
      <c r="J191" s="12" t="s">
        <v>244</v>
      </c>
      <c r="K191" s="15">
        <v>30</v>
      </c>
      <c r="L191" s="15">
        <v>180000</v>
      </c>
      <c r="M191" s="12" t="s">
        <v>69</v>
      </c>
      <c r="N191" s="12" t="s">
        <v>15</v>
      </c>
      <c r="O191" s="13" t="s">
        <v>970</v>
      </c>
      <c r="P191" s="12" t="s">
        <v>25</v>
      </c>
      <c r="Q191" s="13" t="s">
        <v>971</v>
      </c>
      <c r="R191" s="12" t="s">
        <v>957</v>
      </c>
    </row>
    <row r="192" spans="1:18" ht="32" x14ac:dyDescent="0.2">
      <c r="A192" s="12" t="s">
        <v>972</v>
      </c>
      <c r="B192" s="12" t="s">
        <v>952</v>
      </c>
      <c r="C192" s="12" t="s">
        <v>33</v>
      </c>
      <c r="D192" s="12" t="s">
        <v>248</v>
      </c>
      <c r="E192" s="12" t="s">
        <v>973</v>
      </c>
      <c r="F192" s="12" t="s">
        <v>33</v>
      </c>
      <c r="G192" s="12" t="s">
        <v>952</v>
      </c>
      <c r="H192" s="13" t="s">
        <v>974</v>
      </c>
      <c r="I192" s="14">
        <v>312</v>
      </c>
      <c r="J192" s="12" t="s">
        <v>244</v>
      </c>
      <c r="K192" s="15">
        <v>132</v>
      </c>
      <c r="L192" s="15">
        <v>41184</v>
      </c>
      <c r="M192" s="12" t="s">
        <v>69</v>
      </c>
      <c r="N192" s="12" t="s">
        <v>15</v>
      </c>
      <c r="O192" s="13" t="s">
        <v>975</v>
      </c>
      <c r="P192" s="12" t="s">
        <v>25</v>
      </c>
      <c r="Q192" s="13" t="s">
        <v>976</v>
      </c>
      <c r="R192" s="12" t="s">
        <v>957</v>
      </c>
    </row>
    <row r="193" spans="1:18" ht="32" x14ac:dyDescent="0.2">
      <c r="A193" s="12" t="s">
        <v>977</v>
      </c>
      <c r="B193" s="12" t="s">
        <v>952</v>
      </c>
      <c r="C193" s="12" t="s">
        <v>33</v>
      </c>
      <c r="D193" s="12" t="s">
        <v>253</v>
      </c>
      <c r="E193" s="12" t="s">
        <v>973</v>
      </c>
      <c r="F193" s="12" t="s">
        <v>33</v>
      </c>
      <c r="G193" s="12" t="s">
        <v>952</v>
      </c>
      <c r="H193" s="13" t="s">
        <v>978</v>
      </c>
      <c r="I193" s="14">
        <v>78</v>
      </c>
      <c r="J193" s="12" t="s">
        <v>244</v>
      </c>
      <c r="K193" s="15">
        <v>132</v>
      </c>
      <c r="L193" s="15">
        <v>10296</v>
      </c>
      <c r="M193" s="12" t="s">
        <v>69</v>
      </c>
      <c r="N193" s="12" t="s">
        <v>15</v>
      </c>
      <c r="O193" s="13" t="s">
        <v>979</v>
      </c>
      <c r="P193" s="12" t="s">
        <v>25</v>
      </c>
      <c r="Q193" s="13" t="s">
        <v>980</v>
      </c>
      <c r="R193" s="12" t="s">
        <v>957</v>
      </c>
    </row>
    <row r="194" spans="1:18" ht="32" x14ac:dyDescent="0.2">
      <c r="A194" s="12" t="s">
        <v>981</v>
      </c>
      <c r="B194" s="12" t="s">
        <v>952</v>
      </c>
      <c r="C194" s="12" t="s">
        <v>33</v>
      </c>
      <c r="D194" s="12" t="s">
        <v>257</v>
      </c>
      <c r="E194" s="12" t="s">
        <v>973</v>
      </c>
      <c r="F194" s="12" t="s">
        <v>33</v>
      </c>
      <c r="G194" s="12" t="s">
        <v>952</v>
      </c>
      <c r="H194" s="13" t="s">
        <v>982</v>
      </c>
      <c r="I194" s="14">
        <v>250</v>
      </c>
      <c r="J194" s="12" t="s">
        <v>511</v>
      </c>
      <c r="K194" s="15">
        <v>82</v>
      </c>
      <c r="L194" s="15">
        <v>20500</v>
      </c>
      <c r="M194" s="12" t="s">
        <v>69</v>
      </c>
      <c r="N194" s="12" t="s">
        <v>15</v>
      </c>
      <c r="O194" s="13" t="s">
        <v>983</v>
      </c>
      <c r="P194" s="12" t="s">
        <v>25</v>
      </c>
      <c r="Q194" s="13" t="s">
        <v>984</v>
      </c>
      <c r="R194" s="12" t="s">
        <v>957</v>
      </c>
    </row>
    <row r="195" spans="1:18" ht="32" x14ac:dyDescent="0.2">
      <c r="A195" s="12" t="s">
        <v>985</v>
      </c>
      <c r="B195" s="12" t="s">
        <v>952</v>
      </c>
      <c r="C195" s="12" t="s">
        <v>33</v>
      </c>
      <c r="D195" s="12" t="s">
        <v>262</v>
      </c>
      <c r="E195" s="12" t="s">
        <v>973</v>
      </c>
      <c r="F195" s="12" t="s">
        <v>33</v>
      </c>
      <c r="G195" s="12" t="s">
        <v>952</v>
      </c>
      <c r="H195" s="13" t="s">
        <v>986</v>
      </c>
      <c r="I195" s="14">
        <v>150</v>
      </c>
      <c r="J195" s="12" t="s">
        <v>244</v>
      </c>
      <c r="K195" s="15">
        <v>75</v>
      </c>
      <c r="L195" s="15">
        <v>11250</v>
      </c>
      <c r="M195" s="12" t="s">
        <v>69</v>
      </c>
      <c r="N195" s="12" t="s">
        <v>15</v>
      </c>
      <c r="O195" s="13" t="s">
        <v>987</v>
      </c>
      <c r="P195" s="12" t="s">
        <v>25</v>
      </c>
      <c r="Q195" s="13" t="s">
        <v>988</v>
      </c>
      <c r="R195" s="12" t="s">
        <v>957</v>
      </c>
    </row>
    <row r="196" spans="1:18" ht="16" x14ac:dyDescent="0.2">
      <c r="A196" s="12" t="s">
        <v>989</v>
      </c>
      <c r="B196" s="12" t="s">
        <v>952</v>
      </c>
      <c r="C196" s="12" t="s">
        <v>33</v>
      </c>
      <c r="D196" s="12" t="s">
        <v>267</v>
      </c>
      <c r="E196" s="12" t="s">
        <v>990</v>
      </c>
      <c r="F196" s="12" t="s">
        <v>33</v>
      </c>
      <c r="G196" s="12" t="s">
        <v>952</v>
      </c>
      <c r="H196" s="13" t="s">
        <v>991</v>
      </c>
      <c r="I196" s="14">
        <v>450</v>
      </c>
      <c r="J196" s="12" t="s">
        <v>511</v>
      </c>
      <c r="K196" s="15">
        <v>4</v>
      </c>
      <c r="L196" s="15">
        <v>1800</v>
      </c>
      <c r="M196" s="12" t="s">
        <v>69</v>
      </c>
      <c r="N196" s="12" t="s">
        <v>15</v>
      </c>
      <c r="O196" s="13" t="s">
        <v>992</v>
      </c>
      <c r="P196" s="12" t="s">
        <v>25</v>
      </c>
      <c r="Q196" s="13" t="s">
        <v>993</v>
      </c>
      <c r="R196" s="12" t="s">
        <v>957</v>
      </c>
    </row>
    <row r="197" spans="1:18" ht="16" x14ac:dyDescent="0.2">
      <c r="A197" s="12" t="s">
        <v>994</v>
      </c>
      <c r="B197" s="12" t="s">
        <v>952</v>
      </c>
      <c r="C197" s="12" t="s">
        <v>33</v>
      </c>
      <c r="D197" s="12" t="s">
        <v>271</v>
      </c>
      <c r="E197" s="12" t="s">
        <v>990</v>
      </c>
      <c r="F197" s="12" t="s">
        <v>33</v>
      </c>
      <c r="G197" s="12" t="s">
        <v>952</v>
      </c>
      <c r="H197" s="13" t="s">
        <v>995</v>
      </c>
      <c r="I197" s="14">
        <v>3</v>
      </c>
      <c r="J197" s="12" t="s">
        <v>229</v>
      </c>
      <c r="K197" s="15">
        <v>450</v>
      </c>
      <c r="L197" s="15">
        <v>1350</v>
      </c>
      <c r="M197" s="12" t="s">
        <v>69</v>
      </c>
      <c r="N197" s="12" t="s">
        <v>15</v>
      </c>
      <c r="O197" s="13" t="s">
        <v>996</v>
      </c>
      <c r="P197" s="12" t="s">
        <v>25</v>
      </c>
      <c r="Q197" s="13" t="s">
        <v>997</v>
      </c>
      <c r="R197" s="12" t="s">
        <v>957</v>
      </c>
    </row>
    <row r="198" spans="1:18" ht="32" x14ac:dyDescent="0.2">
      <c r="A198" s="12" t="s">
        <v>998</v>
      </c>
      <c r="B198" s="12" t="s">
        <v>952</v>
      </c>
      <c r="C198" s="12" t="s">
        <v>33</v>
      </c>
      <c r="D198" s="12" t="s">
        <v>324</v>
      </c>
      <c r="E198" s="12" t="s">
        <v>999</v>
      </c>
      <c r="F198" s="12" t="s">
        <v>33</v>
      </c>
      <c r="G198" s="12" t="s">
        <v>952</v>
      </c>
      <c r="H198" s="13" t="s">
        <v>1000</v>
      </c>
      <c r="I198" s="14">
        <v>12</v>
      </c>
      <c r="J198" s="12" t="s">
        <v>229</v>
      </c>
      <c r="K198" s="15">
        <v>1000</v>
      </c>
      <c r="L198" s="15">
        <v>12000</v>
      </c>
      <c r="M198" s="12" t="s">
        <v>69</v>
      </c>
      <c r="N198" s="12" t="s">
        <v>15</v>
      </c>
      <c r="O198" s="13" t="s">
        <v>1001</v>
      </c>
      <c r="P198" s="12" t="s">
        <v>25</v>
      </c>
      <c r="Q198" s="13" t="s">
        <v>1002</v>
      </c>
      <c r="R198" s="12" t="s">
        <v>957</v>
      </c>
    </row>
    <row r="199" spans="1:18" ht="32" x14ac:dyDescent="0.2">
      <c r="A199" s="12" t="s">
        <v>1003</v>
      </c>
      <c r="B199" s="12" t="s">
        <v>952</v>
      </c>
      <c r="C199" s="12" t="s">
        <v>33</v>
      </c>
      <c r="D199" s="12" t="s">
        <v>329</v>
      </c>
      <c r="E199" s="12" t="s">
        <v>953</v>
      </c>
      <c r="F199" s="12" t="s">
        <v>33</v>
      </c>
      <c r="G199" s="12" t="s">
        <v>952</v>
      </c>
      <c r="H199" s="13" t="s">
        <v>1004</v>
      </c>
      <c r="I199" s="14">
        <v>2000</v>
      </c>
      <c r="J199" s="12" t="s">
        <v>244</v>
      </c>
      <c r="K199" s="15">
        <v>8</v>
      </c>
      <c r="L199" s="15">
        <v>16000</v>
      </c>
      <c r="M199" s="12" t="s">
        <v>69</v>
      </c>
      <c r="N199" s="12" t="s">
        <v>15</v>
      </c>
      <c r="O199" s="13" t="s">
        <v>1005</v>
      </c>
      <c r="P199" s="12" t="s">
        <v>25</v>
      </c>
      <c r="Q199" s="13" t="s">
        <v>1006</v>
      </c>
      <c r="R199" s="12" t="s">
        <v>957</v>
      </c>
    </row>
    <row r="200" spans="1:18" ht="32" x14ac:dyDescent="0.2">
      <c r="A200" s="12" t="s">
        <v>1007</v>
      </c>
      <c r="B200" s="12" t="s">
        <v>952</v>
      </c>
      <c r="C200" s="12" t="s">
        <v>33</v>
      </c>
      <c r="D200" s="12" t="s">
        <v>334</v>
      </c>
      <c r="E200" s="12" t="s">
        <v>959</v>
      </c>
      <c r="F200" s="12" t="s">
        <v>33</v>
      </c>
      <c r="G200" s="12" t="s">
        <v>952</v>
      </c>
      <c r="H200" s="13" t="s">
        <v>1008</v>
      </c>
      <c r="I200" s="14">
        <v>3200</v>
      </c>
      <c r="J200" s="12" t="s">
        <v>244</v>
      </c>
      <c r="K200" s="15">
        <v>5</v>
      </c>
      <c r="L200" s="15">
        <v>16000</v>
      </c>
      <c r="M200" s="12" t="s">
        <v>69</v>
      </c>
      <c r="N200" s="12" t="s">
        <v>15</v>
      </c>
      <c r="O200" s="13" t="s">
        <v>1009</v>
      </c>
      <c r="P200" s="12" t="s">
        <v>25</v>
      </c>
      <c r="Q200" s="13" t="s">
        <v>1010</v>
      </c>
      <c r="R200" s="12" t="s">
        <v>957</v>
      </c>
    </row>
    <row r="201" spans="1:18" ht="32" x14ac:dyDescent="0.2">
      <c r="A201" s="12" t="s">
        <v>1011</v>
      </c>
      <c r="B201" s="12" t="s">
        <v>952</v>
      </c>
      <c r="C201" s="12" t="s">
        <v>33</v>
      </c>
      <c r="D201" s="12" t="s">
        <v>339</v>
      </c>
      <c r="E201" s="12" t="s">
        <v>964</v>
      </c>
      <c r="F201" s="12" t="s">
        <v>33</v>
      </c>
      <c r="G201" s="12" t="s">
        <v>952</v>
      </c>
      <c r="H201" s="13" t="s">
        <v>1012</v>
      </c>
      <c r="I201" s="14">
        <v>6000</v>
      </c>
      <c r="J201" s="12" t="s">
        <v>244</v>
      </c>
      <c r="K201" s="15">
        <v>5</v>
      </c>
      <c r="L201" s="15">
        <v>30000</v>
      </c>
      <c r="M201" s="12" t="s">
        <v>69</v>
      </c>
      <c r="N201" s="12" t="s">
        <v>15</v>
      </c>
      <c r="O201" s="13" t="s">
        <v>1013</v>
      </c>
      <c r="P201" s="12" t="s">
        <v>25</v>
      </c>
      <c r="Q201" s="13" t="s">
        <v>1014</v>
      </c>
      <c r="R201" s="12" t="s">
        <v>957</v>
      </c>
    </row>
    <row r="202" spans="1:18" ht="32" x14ac:dyDescent="0.2">
      <c r="A202" s="12" t="s">
        <v>1015</v>
      </c>
      <c r="B202" s="12" t="s">
        <v>1016</v>
      </c>
      <c r="C202" s="12" t="s">
        <v>33</v>
      </c>
      <c r="D202" s="12" t="s">
        <v>1017</v>
      </c>
      <c r="E202" s="12" t="s">
        <v>1018</v>
      </c>
      <c r="F202" s="12" t="s">
        <v>33</v>
      </c>
      <c r="G202" s="12" t="s">
        <v>1016</v>
      </c>
      <c r="H202" s="13" t="s">
        <v>1019</v>
      </c>
      <c r="I202" s="14">
        <v>120</v>
      </c>
      <c r="J202" s="12" t="s">
        <v>511</v>
      </c>
      <c r="K202" s="15">
        <v>200</v>
      </c>
      <c r="L202" s="15">
        <v>24000</v>
      </c>
      <c r="M202" s="12" t="s">
        <v>69</v>
      </c>
      <c r="N202" s="12" t="s">
        <v>15</v>
      </c>
      <c r="O202" s="13" t="s">
        <v>1020</v>
      </c>
      <c r="P202" s="12" t="s">
        <v>25</v>
      </c>
      <c r="Q202" s="13" t="s">
        <v>1021</v>
      </c>
      <c r="R202" s="12" t="s">
        <v>1022</v>
      </c>
    </row>
    <row r="203" spans="1:18" ht="32" x14ac:dyDescent="0.2">
      <c r="A203" s="12" t="s">
        <v>1023</v>
      </c>
      <c r="B203" s="12" t="s">
        <v>1016</v>
      </c>
      <c r="C203" s="12" t="s">
        <v>33</v>
      </c>
      <c r="D203" s="12" t="s">
        <v>1024</v>
      </c>
      <c r="E203" s="12" t="s">
        <v>1018</v>
      </c>
      <c r="F203" s="12" t="s">
        <v>33</v>
      </c>
      <c r="G203" s="12" t="s">
        <v>1016</v>
      </c>
      <c r="H203" s="13" t="s">
        <v>1025</v>
      </c>
      <c r="I203" s="14">
        <v>40</v>
      </c>
      <c r="J203" s="12" t="s">
        <v>511</v>
      </c>
      <c r="K203" s="15">
        <v>200</v>
      </c>
      <c r="L203" s="15">
        <v>8000</v>
      </c>
      <c r="M203" s="12" t="s">
        <v>69</v>
      </c>
      <c r="N203" s="12" t="s">
        <v>15</v>
      </c>
      <c r="O203" s="13" t="s">
        <v>1026</v>
      </c>
      <c r="P203" s="12" t="s">
        <v>27</v>
      </c>
      <c r="Q203" s="13" t="s">
        <v>1027</v>
      </c>
      <c r="R203" s="12" t="s">
        <v>1022</v>
      </c>
    </row>
    <row r="204" spans="1:18" ht="16" x14ac:dyDescent="0.2">
      <c r="A204" s="12" t="s">
        <v>1028</v>
      </c>
      <c r="B204" s="12" t="s">
        <v>1016</v>
      </c>
      <c r="C204" s="12" t="s">
        <v>33</v>
      </c>
      <c r="D204" s="12" t="s">
        <v>1029</v>
      </c>
      <c r="E204" s="12" t="s">
        <v>1018</v>
      </c>
      <c r="F204" s="12" t="s">
        <v>33</v>
      </c>
      <c r="G204" s="12" t="s">
        <v>1016</v>
      </c>
      <c r="H204" s="13" t="s">
        <v>1030</v>
      </c>
      <c r="I204" s="14">
        <v>1</v>
      </c>
      <c r="J204" s="12" t="s">
        <v>229</v>
      </c>
      <c r="K204" s="15">
        <v>4500</v>
      </c>
      <c r="L204" s="15">
        <v>4500</v>
      </c>
      <c r="M204" s="12" t="s">
        <v>69</v>
      </c>
      <c r="N204" s="12" t="s">
        <v>15</v>
      </c>
      <c r="O204" s="13" t="s">
        <v>1031</v>
      </c>
      <c r="P204" s="12" t="s">
        <v>25</v>
      </c>
      <c r="Q204" s="13" t="s">
        <v>1032</v>
      </c>
      <c r="R204" s="12" t="s">
        <v>1022</v>
      </c>
    </row>
    <row r="205" spans="1:18" ht="16" x14ac:dyDescent="0.2">
      <c r="A205" s="12" t="s">
        <v>1033</v>
      </c>
      <c r="B205" s="12" t="s">
        <v>1016</v>
      </c>
      <c r="C205" s="12" t="s">
        <v>33</v>
      </c>
      <c r="D205" s="12" t="s">
        <v>1034</v>
      </c>
      <c r="E205" s="12" t="s">
        <v>1018</v>
      </c>
      <c r="F205" s="12" t="s">
        <v>33</v>
      </c>
      <c r="G205" s="12" t="s">
        <v>1016</v>
      </c>
      <c r="H205" s="13" t="s">
        <v>1035</v>
      </c>
      <c r="I205" s="14">
        <v>1</v>
      </c>
      <c r="J205" s="12" t="s">
        <v>229</v>
      </c>
      <c r="K205" s="15">
        <v>4500</v>
      </c>
      <c r="L205" s="15">
        <v>4500</v>
      </c>
      <c r="M205" s="12" t="s">
        <v>69</v>
      </c>
      <c r="N205" s="12" t="s">
        <v>15</v>
      </c>
      <c r="O205" s="13" t="s">
        <v>1036</v>
      </c>
      <c r="P205" s="12" t="s">
        <v>27</v>
      </c>
      <c r="Q205" s="13" t="s">
        <v>1037</v>
      </c>
      <c r="R205" s="12" t="s">
        <v>1022</v>
      </c>
    </row>
    <row r="206" spans="1:18" ht="32" x14ac:dyDescent="0.2">
      <c r="A206" s="12" t="s">
        <v>1038</v>
      </c>
      <c r="B206" s="12" t="s">
        <v>1016</v>
      </c>
      <c r="C206" s="12" t="s">
        <v>33</v>
      </c>
      <c r="D206" s="12" t="s">
        <v>1039</v>
      </c>
      <c r="E206" s="12" t="s">
        <v>1040</v>
      </c>
      <c r="F206" s="12" t="s">
        <v>33</v>
      </c>
      <c r="G206" s="12" t="s">
        <v>1016</v>
      </c>
      <c r="H206" s="13" t="s">
        <v>1041</v>
      </c>
      <c r="I206" s="14">
        <v>120</v>
      </c>
      <c r="J206" s="12" t="s">
        <v>511</v>
      </c>
      <c r="K206" s="15">
        <v>225</v>
      </c>
      <c r="L206" s="15">
        <v>27000</v>
      </c>
      <c r="M206" s="12" t="s">
        <v>69</v>
      </c>
      <c r="N206" s="12" t="s">
        <v>15</v>
      </c>
      <c r="O206" s="13" t="s">
        <v>1042</v>
      </c>
      <c r="P206" s="12" t="s">
        <v>25</v>
      </c>
      <c r="Q206" s="13" t="s">
        <v>1043</v>
      </c>
      <c r="R206" s="12" t="s">
        <v>1022</v>
      </c>
    </row>
    <row r="207" spans="1:18" ht="16" x14ac:dyDescent="0.2">
      <c r="A207" s="12" t="s">
        <v>1044</v>
      </c>
      <c r="B207" s="12" t="s">
        <v>1016</v>
      </c>
      <c r="C207" s="12" t="s">
        <v>33</v>
      </c>
      <c r="D207" s="12" t="s">
        <v>1045</v>
      </c>
      <c r="E207" s="12" t="s">
        <v>1040</v>
      </c>
      <c r="F207" s="12" t="s">
        <v>33</v>
      </c>
      <c r="G207" s="12" t="s">
        <v>1016</v>
      </c>
      <c r="H207" s="13" t="s">
        <v>1046</v>
      </c>
      <c r="I207" s="14">
        <v>1</v>
      </c>
      <c r="J207" s="12" t="s">
        <v>229</v>
      </c>
      <c r="K207" s="15">
        <v>4000</v>
      </c>
      <c r="L207" s="15">
        <v>4000</v>
      </c>
      <c r="M207" s="12" t="s">
        <v>69</v>
      </c>
      <c r="N207" s="12" t="s">
        <v>15</v>
      </c>
      <c r="O207" s="13" t="s">
        <v>1047</v>
      </c>
      <c r="P207" s="12" t="s">
        <v>25</v>
      </c>
      <c r="Q207" s="13" t="s">
        <v>1048</v>
      </c>
      <c r="R207" s="12" t="s">
        <v>1022</v>
      </c>
    </row>
    <row r="208" spans="1:18" ht="32" x14ac:dyDescent="0.2">
      <c r="A208" s="12" t="s">
        <v>1049</v>
      </c>
      <c r="B208" s="12" t="s">
        <v>1016</v>
      </c>
      <c r="C208" s="12" t="s">
        <v>33</v>
      </c>
      <c r="D208" s="12" t="s">
        <v>1050</v>
      </c>
      <c r="E208" s="12" t="s">
        <v>1051</v>
      </c>
      <c r="F208" s="12" t="s">
        <v>33</v>
      </c>
      <c r="G208" s="12" t="s">
        <v>1016</v>
      </c>
      <c r="H208" s="13" t="s">
        <v>1052</v>
      </c>
      <c r="I208" s="14">
        <v>120</v>
      </c>
      <c r="J208" s="12" t="s">
        <v>511</v>
      </c>
      <c r="K208" s="15">
        <v>140</v>
      </c>
      <c r="L208" s="15">
        <v>16800</v>
      </c>
      <c r="M208" s="12" t="s">
        <v>69</v>
      </c>
      <c r="N208" s="12" t="s">
        <v>15</v>
      </c>
      <c r="O208" s="13" t="s">
        <v>1053</v>
      </c>
      <c r="P208" s="12" t="s">
        <v>25</v>
      </c>
      <c r="Q208" s="13" t="s">
        <v>1054</v>
      </c>
      <c r="R208" s="12" t="s">
        <v>1022</v>
      </c>
    </row>
    <row r="209" spans="1:18" ht="16" x14ac:dyDescent="0.2">
      <c r="A209" s="12" t="s">
        <v>1055</v>
      </c>
      <c r="B209" s="12" t="s">
        <v>1016</v>
      </c>
      <c r="C209" s="12" t="s">
        <v>33</v>
      </c>
      <c r="D209" s="12" t="s">
        <v>1056</v>
      </c>
      <c r="E209" s="12" t="s">
        <v>1057</v>
      </c>
      <c r="F209" s="12" t="s">
        <v>33</v>
      </c>
      <c r="G209" s="12" t="s">
        <v>1016</v>
      </c>
      <c r="H209" s="13" t="s">
        <v>1058</v>
      </c>
      <c r="I209" s="14">
        <v>120</v>
      </c>
      <c r="J209" s="12" t="s">
        <v>511</v>
      </c>
      <c r="K209" s="15">
        <v>240</v>
      </c>
      <c r="L209" s="15">
        <v>28800</v>
      </c>
      <c r="M209" s="12" t="s">
        <v>69</v>
      </c>
      <c r="N209" s="12" t="s">
        <v>15</v>
      </c>
      <c r="O209" s="13" t="s">
        <v>1059</v>
      </c>
      <c r="P209" s="12" t="s">
        <v>25</v>
      </c>
      <c r="Q209" s="13" t="s">
        <v>1060</v>
      </c>
      <c r="R209" s="12" t="s">
        <v>1022</v>
      </c>
    </row>
    <row r="210" spans="1:18" ht="32" x14ac:dyDescent="0.2">
      <c r="A210" s="12" t="s">
        <v>1061</v>
      </c>
      <c r="B210" s="12" t="s">
        <v>1016</v>
      </c>
      <c r="C210" s="12" t="s">
        <v>33</v>
      </c>
      <c r="D210" s="12" t="s">
        <v>1062</v>
      </c>
      <c r="E210" s="12" t="s">
        <v>1057</v>
      </c>
      <c r="F210" s="12" t="s">
        <v>33</v>
      </c>
      <c r="G210" s="12" t="s">
        <v>1016</v>
      </c>
      <c r="H210" s="13" t="s">
        <v>1063</v>
      </c>
      <c r="I210" s="14">
        <v>40</v>
      </c>
      <c r="J210" s="12" t="s">
        <v>511</v>
      </c>
      <c r="K210" s="15">
        <v>240</v>
      </c>
      <c r="L210" s="15">
        <v>9600</v>
      </c>
      <c r="M210" s="12" t="s">
        <v>69</v>
      </c>
      <c r="N210" s="12" t="s">
        <v>15</v>
      </c>
      <c r="O210" s="13" t="s">
        <v>1064</v>
      </c>
      <c r="P210" s="12" t="s">
        <v>25</v>
      </c>
      <c r="Q210" s="13" t="s">
        <v>1065</v>
      </c>
      <c r="R210" s="12" t="s">
        <v>1022</v>
      </c>
    </row>
    <row r="211" spans="1:18" ht="16" x14ac:dyDescent="0.2">
      <c r="A211" s="12" t="s">
        <v>1066</v>
      </c>
      <c r="B211" s="12" t="s">
        <v>1016</v>
      </c>
      <c r="C211" s="12" t="s">
        <v>33</v>
      </c>
      <c r="D211" s="12" t="s">
        <v>1067</v>
      </c>
      <c r="E211" s="12" t="s">
        <v>1068</v>
      </c>
      <c r="F211" s="12" t="s">
        <v>33</v>
      </c>
      <c r="G211" s="12" t="s">
        <v>1016</v>
      </c>
      <c r="H211" s="13" t="s">
        <v>1069</v>
      </c>
      <c r="I211" s="14">
        <v>120</v>
      </c>
      <c r="J211" s="12" t="s">
        <v>511</v>
      </c>
      <c r="K211" s="15">
        <v>100</v>
      </c>
      <c r="L211" s="15">
        <v>12000</v>
      </c>
      <c r="M211" s="12" t="s">
        <v>69</v>
      </c>
      <c r="N211" s="12" t="s">
        <v>15</v>
      </c>
      <c r="O211" s="13" t="s">
        <v>1070</v>
      </c>
      <c r="P211" s="12" t="s">
        <v>25</v>
      </c>
      <c r="Q211" s="13" t="s">
        <v>1071</v>
      </c>
      <c r="R211" s="12" t="s">
        <v>1022</v>
      </c>
    </row>
    <row r="212" spans="1:18" ht="16" x14ac:dyDescent="0.2">
      <c r="A212" s="12" t="s">
        <v>1072</v>
      </c>
      <c r="B212" s="12" t="s">
        <v>1016</v>
      </c>
      <c r="C212" s="12" t="s">
        <v>33</v>
      </c>
      <c r="D212" s="12" t="s">
        <v>1073</v>
      </c>
      <c r="E212" s="12" t="s">
        <v>1074</v>
      </c>
      <c r="F212" s="12" t="s">
        <v>33</v>
      </c>
      <c r="G212" s="12" t="s">
        <v>1016</v>
      </c>
      <c r="H212" s="13" t="s">
        <v>1075</v>
      </c>
      <c r="I212" s="14">
        <v>100</v>
      </c>
      <c r="J212" s="12" t="s">
        <v>511</v>
      </c>
      <c r="K212" s="15">
        <v>100</v>
      </c>
      <c r="L212" s="15">
        <v>10000</v>
      </c>
      <c r="M212" s="12" t="s">
        <v>69</v>
      </c>
      <c r="N212" s="12" t="s">
        <v>15</v>
      </c>
      <c r="O212" s="13" t="s">
        <v>1076</v>
      </c>
      <c r="P212" s="12" t="s">
        <v>25</v>
      </c>
      <c r="Q212" s="13" t="s">
        <v>1077</v>
      </c>
      <c r="R212" s="12" t="s">
        <v>1022</v>
      </c>
    </row>
    <row r="213" spans="1:18" ht="32" x14ac:dyDescent="0.2">
      <c r="A213" s="12" t="s">
        <v>1078</v>
      </c>
      <c r="B213" s="12" t="s">
        <v>1016</v>
      </c>
      <c r="C213" s="12" t="s">
        <v>33</v>
      </c>
      <c r="D213" s="12" t="s">
        <v>1079</v>
      </c>
      <c r="E213" s="12" t="s">
        <v>1080</v>
      </c>
      <c r="F213" s="12" t="s">
        <v>33</v>
      </c>
      <c r="G213" s="12" t="s">
        <v>1016</v>
      </c>
      <c r="H213" s="13" t="s">
        <v>1081</v>
      </c>
      <c r="I213" s="14">
        <v>1</v>
      </c>
      <c r="J213" s="12" t="s">
        <v>103</v>
      </c>
      <c r="K213" s="15">
        <v>35000</v>
      </c>
      <c r="L213" s="15">
        <v>35000</v>
      </c>
      <c r="M213" s="12" t="s">
        <v>69</v>
      </c>
      <c r="N213" s="12" t="s">
        <v>16</v>
      </c>
      <c r="O213" s="13" t="s">
        <v>1082</v>
      </c>
      <c r="P213" s="12" t="s">
        <v>27</v>
      </c>
      <c r="Q213" s="13" t="s">
        <v>1083</v>
      </c>
      <c r="R213" s="12" t="s">
        <v>1022</v>
      </c>
    </row>
    <row r="214" spans="1:18" ht="16" x14ac:dyDescent="0.2">
      <c r="A214" s="12" t="s">
        <v>1084</v>
      </c>
      <c r="B214" s="12" t="s">
        <v>1016</v>
      </c>
      <c r="C214" s="12" t="s">
        <v>33</v>
      </c>
      <c r="D214" s="12" t="s">
        <v>1085</v>
      </c>
      <c r="E214" s="12" t="s">
        <v>1086</v>
      </c>
      <c r="F214" s="12" t="s">
        <v>33</v>
      </c>
      <c r="G214" s="12" t="s">
        <v>1016</v>
      </c>
      <c r="H214" s="13" t="s">
        <v>1087</v>
      </c>
      <c r="I214" s="14">
        <v>1</v>
      </c>
      <c r="J214" s="12" t="s">
        <v>103</v>
      </c>
      <c r="K214" s="15">
        <v>10000</v>
      </c>
      <c r="L214" s="15">
        <v>10000</v>
      </c>
      <c r="M214" s="12" t="s">
        <v>69</v>
      </c>
      <c r="N214" s="12" t="s">
        <v>16</v>
      </c>
      <c r="O214" s="13" t="s">
        <v>1088</v>
      </c>
      <c r="P214" s="12" t="s">
        <v>27</v>
      </c>
      <c r="Q214" s="13" t="s">
        <v>1089</v>
      </c>
      <c r="R214" s="12" t="s">
        <v>1022</v>
      </c>
    </row>
    <row r="215" spans="1:18" ht="16" x14ac:dyDescent="0.2">
      <c r="A215" s="12" t="s">
        <v>1090</v>
      </c>
      <c r="B215" s="12" t="s">
        <v>1016</v>
      </c>
      <c r="C215" s="12" t="s">
        <v>33</v>
      </c>
      <c r="D215" s="12" t="s">
        <v>1091</v>
      </c>
      <c r="E215" s="12" t="s">
        <v>1086</v>
      </c>
      <c r="F215" s="12" t="s">
        <v>33</v>
      </c>
      <c r="G215" s="12" t="s">
        <v>1016</v>
      </c>
      <c r="H215" s="13" t="s">
        <v>1092</v>
      </c>
      <c r="I215" s="14">
        <v>1</v>
      </c>
      <c r="J215" s="12" t="s">
        <v>103</v>
      </c>
      <c r="K215" s="15">
        <v>10000</v>
      </c>
      <c r="L215" s="15">
        <v>10000</v>
      </c>
      <c r="M215" s="12" t="s">
        <v>69</v>
      </c>
      <c r="N215" s="12" t="s">
        <v>16</v>
      </c>
      <c r="O215" s="13" t="s">
        <v>1093</v>
      </c>
      <c r="P215" s="12" t="s">
        <v>27</v>
      </c>
      <c r="Q215" s="13" t="s">
        <v>1089</v>
      </c>
      <c r="R215" s="12" t="s">
        <v>1022</v>
      </c>
    </row>
    <row r="216" spans="1:18" ht="16" x14ac:dyDescent="0.2">
      <c r="A216" s="12" t="s">
        <v>1094</v>
      </c>
      <c r="B216" s="12" t="s">
        <v>1016</v>
      </c>
      <c r="C216" s="12" t="s">
        <v>33</v>
      </c>
      <c r="D216" s="12" t="s">
        <v>1095</v>
      </c>
      <c r="E216" s="12" t="s">
        <v>1086</v>
      </c>
      <c r="F216" s="12" t="s">
        <v>33</v>
      </c>
      <c r="G216" s="12" t="s">
        <v>1016</v>
      </c>
      <c r="H216" s="13" t="s">
        <v>1096</v>
      </c>
      <c r="I216" s="14">
        <v>1</v>
      </c>
      <c r="J216" s="12" t="s">
        <v>103</v>
      </c>
      <c r="K216" s="15">
        <v>12000</v>
      </c>
      <c r="L216" s="15">
        <v>12000</v>
      </c>
      <c r="M216" s="12" t="s">
        <v>69</v>
      </c>
      <c r="N216" s="12" t="s">
        <v>16</v>
      </c>
      <c r="O216" s="13" t="s">
        <v>1097</v>
      </c>
      <c r="P216" s="12" t="s">
        <v>27</v>
      </c>
      <c r="Q216" s="13" t="s">
        <v>1098</v>
      </c>
      <c r="R216" s="12" t="s">
        <v>1022</v>
      </c>
    </row>
    <row r="217" spans="1:18" ht="16" x14ac:dyDescent="0.2">
      <c r="A217" s="12" t="s">
        <v>1099</v>
      </c>
      <c r="B217" s="12" t="s">
        <v>1016</v>
      </c>
      <c r="C217" s="12" t="s">
        <v>33</v>
      </c>
      <c r="D217" s="12" t="s">
        <v>1100</v>
      </c>
      <c r="E217" s="12" t="s">
        <v>1086</v>
      </c>
      <c r="F217" s="12" t="s">
        <v>33</v>
      </c>
      <c r="G217" s="12" t="s">
        <v>1016</v>
      </c>
      <c r="H217" s="13" t="s">
        <v>1101</v>
      </c>
      <c r="I217" s="14">
        <v>1</v>
      </c>
      <c r="J217" s="12" t="s">
        <v>103</v>
      </c>
      <c r="K217" s="15">
        <v>5000</v>
      </c>
      <c r="L217" s="15">
        <v>5000</v>
      </c>
      <c r="M217" s="12" t="s">
        <v>69</v>
      </c>
      <c r="N217" s="12" t="s">
        <v>16</v>
      </c>
      <c r="O217" s="13" t="s">
        <v>1102</v>
      </c>
      <c r="P217" s="12" t="s">
        <v>27</v>
      </c>
      <c r="Q217" s="13" t="s">
        <v>1103</v>
      </c>
      <c r="R217" s="12" t="s">
        <v>1022</v>
      </c>
    </row>
    <row r="218" spans="1:18" ht="16" x14ac:dyDescent="0.2">
      <c r="A218" s="12" t="s">
        <v>1104</v>
      </c>
      <c r="B218" s="12" t="s">
        <v>1016</v>
      </c>
      <c r="C218" s="12" t="s">
        <v>33</v>
      </c>
      <c r="D218" s="12" t="s">
        <v>1105</v>
      </c>
      <c r="E218" s="12" t="s">
        <v>1086</v>
      </c>
      <c r="F218" s="12" t="s">
        <v>33</v>
      </c>
      <c r="G218" s="12" t="s">
        <v>1016</v>
      </c>
      <c r="H218" s="13" t="s">
        <v>1106</v>
      </c>
      <c r="I218" s="14">
        <v>1</v>
      </c>
      <c r="J218" s="12" t="s">
        <v>103</v>
      </c>
      <c r="K218" s="15">
        <v>2000</v>
      </c>
      <c r="L218" s="15">
        <v>2000</v>
      </c>
      <c r="M218" s="12" t="s">
        <v>69</v>
      </c>
      <c r="N218" s="12" t="s">
        <v>16</v>
      </c>
      <c r="O218" s="13" t="s">
        <v>1107</v>
      </c>
      <c r="P218" s="12" t="s">
        <v>27</v>
      </c>
      <c r="Q218" s="13" t="s">
        <v>1108</v>
      </c>
      <c r="R218" s="12" t="s">
        <v>1022</v>
      </c>
    </row>
    <row r="219" spans="1:18" ht="32" x14ac:dyDescent="0.2">
      <c r="A219" s="12" t="s">
        <v>1109</v>
      </c>
      <c r="B219" s="12" t="s">
        <v>1016</v>
      </c>
      <c r="C219" s="12" t="s">
        <v>33</v>
      </c>
      <c r="D219" s="12" t="s">
        <v>1110</v>
      </c>
      <c r="E219" s="12" t="s">
        <v>1111</v>
      </c>
      <c r="F219" s="12" t="s">
        <v>33</v>
      </c>
      <c r="G219" s="12" t="s">
        <v>1016</v>
      </c>
      <c r="H219" s="13" t="s">
        <v>1112</v>
      </c>
      <c r="I219" s="14">
        <v>1</v>
      </c>
      <c r="J219" s="12" t="s">
        <v>103</v>
      </c>
      <c r="K219" s="15">
        <v>3730</v>
      </c>
      <c r="L219" s="15">
        <v>3730</v>
      </c>
      <c r="M219" s="12" t="s">
        <v>69</v>
      </c>
      <c r="N219" s="12" t="s">
        <v>15</v>
      </c>
      <c r="O219" s="13" t="s">
        <v>1113</v>
      </c>
      <c r="P219" s="12" t="s">
        <v>25</v>
      </c>
      <c r="Q219" s="13" t="s">
        <v>1114</v>
      </c>
      <c r="R219" s="12" t="s">
        <v>1022</v>
      </c>
    </row>
    <row r="220" spans="1:18" ht="32" x14ac:dyDescent="0.2">
      <c r="A220" s="12" t="s">
        <v>1115</v>
      </c>
      <c r="B220" s="12" t="s">
        <v>1116</v>
      </c>
      <c r="C220" s="12" t="s">
        <v>33</v>
      </c>
      <c r="D220" s="12" t="s">
        <v>134</v>
      </c>
      <c r="E220" s="12" t="s">
        <v>1117</v>
      </c>
      <c r="F220" s="12" t="s">
        <v>33</v>
      </c>
      <c r="G220" s="12" t="s">
        <v>1116</v>
      </c>
      <c r="H220" s="13" t="s">
        <v>1118</v>
      </c>
      <c r="I220" s="14">
        <v>1</v>
      </c>
      <c r="J220" s="12" t="s">
        <v>103</v>
      </c>
      <c r="K220" s="15">
        <v>22000</v>
      </c>
      <c r="L220" s="15">
        <v>22000</v>
      </c>
      <c r="M220" s="12" t="s">
        <v>69</v>
      </c>
      <c r="N220" s="12" t="s">
        <v>15</v>
      </c>
      <c r="O220" s="13" t="s">
        <v>1119</v>
      </c>
      <c r="P220" s="12" t="s">
        <v>25</v>
      </c>
      <c r="Q220" s="13" t="s">
        <v>1120</v>
      </c>
      <c r="R220" s="12" t="s">
        <v>1121</v>
      </c>
    </row>
    <row r="221" spans="1:18" ht="48" x14ac:dyDescent="0.2">
      <c r="A221" s="12" t="s">
        <v>1122</v>
      </c>
      <c r="B221" s="12" t="s">
        <v>1116</v>
      </c>
      <c r="C221" s="12" t="s">
        <v>33</v>
      </c>
      <c r="D221" s="12" t="s">
        <v>141</v>
      </c>
      <c r="E221" s="12" t="s">
        <v>1123</v>
      </c>
      <c r="F221" s="12" t="s">
        <v>33</v>
      </c>
      <c r="G221" s="12" t="s">
        <v>1116</v>
      </c>
      <c r="H221" s="13" t="s">
        <v>1124</v>
      </c>
      <c r="I221" s="14">
        <v>1</v>
      </c>
      <c r="J221" s="12" t="s">
        <v>103</v>
      </c>
      <c r="K221" s="15">
        <v>5000</v>
      </c>
      <c r="L221" s="15">
        <v>5000</v>
      </c>
      <c r="M221" s="12" t="s">
        <v>69</v>
      </c>
      <c r="N221" s="12" t="s">
        <v>16</v>
      </c>
      <c r="O221" s="13" t="s">
        <v>1125</v>
      </c>
      <c r="P221" s="12" t="s">
        <v>27</v>
      </c>
      <c r="Q221" s="13" t="s">
        <v>1126</v>
      </c>
      <c r="R221" s="12" t="s">
        <v>1121</v>
      </c>
    </row>
    <row r="222" spans="1:18" ht="48" x14ac:dyDescent="0.2">
      <c r="A222" s="12" t="s">
        <v>1127</v>
      </c>
      <c r="B222" s="12" t="s">
        <v>1116</v>
      </c>
      <c r="C222" s="12" t="s">
        <v>33</v>
      </c>
      <c r="D222" s="12" t="s">
        <v>146</v>
      </c>
      <c r="E222" s="12" t="s">
        <v>1123</v>
      </c>
      <c r="F222" s="12" t="s">
        <v>33</v>
      </c>
      <c r="G222" s="12" t="s">
        <v>1116</v>
      </c>
      <c r="H222" s="13" t="s">
        <v>1128</v>
      </c>
      <c r="I222" s="14">
        <v>1</v>
      </c>
      <c r="J222" s="12" t="s">
        <v>103</v>
      </c>
      <c r="K222" s="15">
        <v>10770</v>
      </c>
      <c r="L222" s="15">
        <v>10770</v>
      </c>
      <c r="M222" s="12" t="s">
        <v>69</v>
      </c>
      <c r="N222" s="12" t="s">
        <v>15</v>
      </c>
      <c r="O222" s="13" t="s">
        <v>1129</v>
      </c>
      <c r="P222" s="12" t="s">
        <v>22</v>
      </c>
      <c r="Q222" s="13" t="s">
        <v>1130</v>
      </c>
      <c r="R222" s="12" t="s">
        <v>1121</v>
      </c>
    </row>
    <row r="223" spans="1:18" ht="32" x14ac:dyDescent="0.2">
      <c r="A223" s="12" t="s">
        <v>1131</v>
      </c>
      <c r="B223" s="12" t="s">
        <v>1116</v>
      </c>
      <c r="C223" s="12" t="s">
        <v>33</v>
      </c>
      <c r="D223" s="12" t="s">
        <v>152</v>
      </c>
      <c r="E223" s="12" t="s">
        <v>1117</v>
      </c>
      <c r="F223" s="12" t="s">
        <v>33</v>
      </c>
      <c r="G223" s="12" t="s">
        <v>1116</v>
      </c>
      <c r="H223" s="13" t="s">
        <v>1132</v>
      </c>
      <c r="I223" s="14">
        <v>1</v>
      </c>
      <c r="J223" s="12" t="s">
        <v>103</v>
      </c>
      <c r="K223" s="15">
        <v>4500</v>
      </c>
      <c r="L223" s="15">
        <v>4500</v>
      </c>
      <c r="M223" s="12" t="s">
        <v>69</v>
      </c>
      <c r="N223" s="12" t="s">
        <v>15</v>
      </c>
      <c r="O223" s="13" t="s">
        <v>1133</v>
      </c>
      <c r="P223" s="12" t="s">
        <v>25</v>
      </c>
      <c r="Q223" s="13" t="s">
        <v>1134</v>
      </c>
      <c r="R223" s="12" t="s">
        <v>1121</v>
      </c>
    </row>
    <row r="224" spans="1:18" ht="48" x14ac:dyDescent="0.2">
      <c r="A224" s="12" t="s">
        <v>1135</v>
      </c>
      <c r="B224" s="12" t="s">
        <v>1116</v>
      </c>
      <c r="C224" s="12" t="s">
        <v>33</v>
      </c>
      <c r="D224" s="12" t="s">
        <v>157</v>
      </c>
      <c r="E224" s="12" t="s">
        <v>1123</v>
      </c>
      <c r="F224" s="12" t="s">
        <v>33</v>
      </c>
      <c r="G224" s="12" t="s">
        <v>1116</v>
      </c>
      <c r="H224" s="13" t="s">
        <v>1136</v>
      </c>
      <c r="I224" s="14">
        <v>1</v>
      </c>
      <c r="J224" s="12" t="s">
        <v>103</v>
      </c>
      <c r="K224" s="15">
        <v>1200</v>
      </c>
      <c r="L224" s="15">
        <v>1200</v>
      </c>
      <c r="M224" s="12" t="s">
        <v>69</v>
      </c>
      <c r="N224" s="12" t="s">
        <v>16</v>
      </c>
      <c r="O224" s="13" t="s">
        <v>1137</v>
      </c>
      <c r="P224" s="12" t="s">
        <v>27</v>
      </c>
      <c r="Q224" s="13" t="s">
        <v>1138</v>
      </c>
      <c r="R224" s="12" t="s">
        <v>1121</v>
      </c>
    </row>
    <row r="225" spans="1:18" ht="64" x14ac:dyDescent="0.2">
      <c r="A225" s="12" t="s">
        <v>1139</v>
      </c>
      <c r="B225" s="12" t="s">
        <v>1140</v>
      </c>
      <c r="C225" s="12" t="s">
        <v>34</v>
      </c>
      <c r="D225" s="12" t="s">
        <v>1141</v>
      </c>
      <c r="E225" s="12" t="s">
        <v>1142</v>
      </c>
      <c r="F225" s="12" t="s">
        <v>34</v>
      </c>
      <c r="G225" s="12" t="s">
        <v>1140</v>
      </c>
      <c r="H225" s="13" t="s">
        <v>1143</v>
      </c>
      <c r="I225" s="14">
        <v>1</v>
      </c>
      <c r="J225" s="12" t="s">
        <v>103</v>
      </c>
      <c r="K225" s="15">
        <v>192000</v>
      </c>
      <c r="L225" s="15">
        <v>192000</v>
      </c>
      <c r="M225" s="12" t="s">
        <v>69</v>
      </c>
      <c r="N225" s="12" t="s">
        <v>17</v>
      </c>
      <c r="O225" s="13" t="s">
        <v>1144</v>
      </c>
      <c r="P225" s="12" t="s">
        <v>25</v>
      </c>
      <c r="Q225" s="13" t="s">
        <v>1145</v>
      </c>
      <c r="R225" s="12" t="s">
        <v>1146</v>
      </c>
    </row>
    <row r="226" spans="1:18" ht="64" x14ac:dyDescent="0.2">
      <c r="A226" s="12" t="s">
        <v>1147</v>
      </c>
      <c r="B226" s="12" t="s">
        <v>1140</v>
      </c>
      <c r="C226" s="12" t="s">
        <v>34</v>
      </c>
      <c r="D226" s="12" t="s">
        <v>1148</v>
      </c>
      <c r="E226" s="12" t="s">
        <v>1149</v>
      </c>
      <c r="F226" s="12" t="s">
        <v>34</v>
      </c>
      <c r="G226" s="12" t="s">
        <v>1140</v>
      </c>
      <c r="H226" s="13" t="s">
        <v>1150</v>
      </c>
      <c r="I226" s="14">
        <v>1</v>
      </c>
      <c r="J226" s="12" t="s">
        <v>103</v>
      </c>
      <c r="K226" s="15">
        <v>10000</v>
      </c>
      <c r="L226" s="15">
        <v>10000</v>
      </c>
      <c r="M226" s="12" t="s">
        <v>69</v>
      </c>
      <c r="N226" s="12" t="s">
        <v>16</v>
      </c>
      <c r="O226" s="13" t="s">
        <v>1151</v>
      </c>
      <c r="P226" s="12" t="s">
        <v>27</v>
      </c>
      <c r="Q226" s="13" t="s">
        <v>1152</v>
      </c>
      <c r="R226" s="12" t="s">
        <v>1146</v>
      </c>
    </row>
    <row r="227" spans="1:18" ht="32" x14ac:dyDescent="0.2">
      <c r="A227" s="12" t="s">
        <v>1153</v>
      </c>
      <c r="B227" s="12" t="s">
        <v>1154</v>
      </c>
      <c r="C227" s="12" t="s">
        <v>34</v>
      </c>
      <c r="D227" s="12" t="s">
        <v>1155</v>
      </c>
      <c r="E227" s="12" t="s">
        <v>1156</v>
      </c>
      <c r="F227" s="12" t="s">
        <v>34</v>
      </c>
      <c r="G227" s="12" t="s">
        <v>1154</v>
      </c>
      <c r="H227" s="13" t="s">
        <v>1157</v>
      </c>
      <c r="I227" s="14">
        <v>2</v>
      </c>
      <c r="J227" s="12" t="s">
        <v>229</v>
      </c>
      <c r="K227" s="15">
        <v>13500</v>
      </c>
      <c r="L227" s="15">
        <v>27000</v>
      </c>
      <c r="M227" s="12" t="s">
        <v>69</v>
      </c>
      <c r="N227" s="12" t="s">
        <v>15</v>
      </c>
      <c r="O227" s="13" t="s">
        <v>1158</v>
      </c>
      <c r="P227" s="12" t="s">
        <v>25</v>
      </c>
      <c r="Q227" s="13" t="s">
        <v>1159</v>
      </c>
      <c r="R227" s="12" t="s">
        <v>1160</v>
      </c>
    </row>
    <row r="228" spans="1:18" ht="32" x14ac:dyDescent="0.2">
      <c r="A228" s="12" t="s">
        <v>1161</v>
      </c>
      <c r="B228" s="12" t="s">
        <v>1154</v>
      </c>
      <c r="C228" s="12" t="s">
        <v>34</v>
      </c>
      <c r="D228" s="12" t="s">
        <v>1162</v>
      </c>
      <c r="E228" s="12" t="s">
        <v>1156</v>
      </c>
      <c r="F228" s="12" t="s">
        <v>34</v>
      </c>
      <c r="G228" s="12" t="s">
        <v>1154</v>
      </c>
      <c r="H228" s="13" t="s">
        <v>1163</v>
      </c>
      <c r="I228" s="14">
        <v>2</v>
      </c>
      <c r="J228" s="12" t="s">
        <v>229</v>
      </c>
      <c r="K228" s="15">
        <v>1800</v>
      </c>
      <c r="L228" s="15">
        <v>3600</v>
      </c>
      <c r="M228" s="12" t="s">
        <v>69</v>
      </c>
      <c r="N228" s="12" t="s">
        <v>15</v>
      </c>
      <c r="O228" s="13" t="s">
        <v>1164</v>
      </c>
      <c r="P228" s="12" t="s">
        <v>25</v>
      </c>
      <c r="Q228" s="13" t="s">
        <v>1165</v>
      </c>
      <c r="R228" s="12" t="s">
        <v>1160</v>
      </c>
    </row>
    <row r="229" spans="1:18" ht="32" x14ac:dyDescent="0.2">
      <c r="A229" s="12" t="s">
        <v>1166</v>
      </c>
      <c r="B229" s="12" t="s">
        <v>1154</v>
      </c>
      <c r="C229" s="12" t="s">
        <v>34</v>
      </c>
      <c r="D229" s="12" t="s">
        <v>1167</v>
      </c>
      <c r="E229" s="12" t="s">
        <v>1156</v>
      </c>
      <c r="F229" s="12" t="s">
        <v>34</v>
      </c>
      <c r="G229" s="12" t="s">
        <v>1154</v>
      </c>
      <c r="H229" s="13" t="s">
        <v>1168</v>
      </c>
      <c r="I229" s="14">
        <v>2</v>
      </c>
      <c r="J229" s="12" t="s">
        <v>229</v>
      </c>
      <c r="K229" s="15">
        <v>600</v>
      </c>
      <c r="L229" s="15">
        <v>1200</v>
      </c>
      <c r="M229" s="12" t="s">
        <v>69</v>
      </c>
      <c r="N229" s="12" t="s">
        <v>15</v>
      </c>
      <c r="O229" s="13" t="s">
        <v>1169</v>
      </c>
      <c r="P229" s="12" t="s">
        <v>25</v>
      </c>
      <c r="Q229" s="13" t="s">
        <v>1170</v>
      </c>
      <c r="R229" s="12" t="s">
        <v>1160</v>
      </c>
    </row>
    <row r="230" spans="1:18" ht="48" x14ac:dyDescent="0.2">
      <c r="A230" s="12" t="s">
        <v>1171</v>
      </c>
      <c r="B230" s="12" t="s">
        <v>1154</v>
      </c>
      <c r="C230" s="12" t="s">
        <v>34</v>
      </c>
      <c r="D230" s="12" t="s">
        <v>1172</v>
      </c>
      <c r="E230" s="12" t="s">
        <v>1156</v>
      </c>
      <c r="F230" s="12" t="s">
        <v>34</v>
      </c>
      <c r="G230" s="12" t="s">
        <v>1154</v>
      </c>
      <c r="H230" s="13" t="s">
        <v>1173</v>
      </c>
      <c r="I230" s="14">
        <v>2</v>
      </c>
      <c r="J230" s="12" t="s">
        <v>229</v>
      </c>
      <c r="K230" s="15">
        <v>600</v>
      </c>
      <c r="L230" s="15">
        <v>1200</v>
      </c>
      <c r="M230" s="12" t="s">
        <v>69</v>
      </c>
      <c r="N230" s="12" t="s">
        <v>15</v>
      </c>
      <c r="O230" s="13" t="s">
        <v>1174</v>
      </c>
      <c r="P230" s="12" t="s">
        <v>25</v>
      </c>
      <c r="Q230" s="13" t="s">
        <v>1175</v>
      </c>
      <c r="R230" s="12" t="s">
        <v>1160</v>
      </c>
    </row>
    <row r="231" spans="1:18" ht="32" x14ac:dyDescent="0.2">
      <c r="A231" s="12" t="s">
        <v>1176</v>
      </c>
      <c r="B231" s="12" t="s">
        <v>1154</v>
      </c>
      <c r="C231" s="12" t="s">
        <v>34</v>
      </c>
      <c r="D231" s="12" t="s">
        <v>1177</v>
      </c>
      <c r="E231" s="12" t="s">
        <v>1178</v>
      </c>
      <c r="F231" s="12" t="s">
        <v>34</v>
      </c>
      <c r="G231" s="12" t="s">
        <v>1154</v>
      </c>
      <c r="H231" s="13" t="s">
        <v>1179</v>
      </c>
      <c r="I231" s="14">
        <v>2</v>
      </c>
      <c r="J231" s="12" t="s">
        <v>229</v>
      </c>
      <c r="K231" s="15">
        <v>5400</v>
      </c>
      <c r="L231" s="15">
        <v>10800</v>
      </c>
      <c r="M231" s="12" t="s">
        <v>69</v>
      </c>
      <c r="N231" s="12" t="s">
        <v>15</v>
      </c>
      <c r="O231" s="13" t="s">
        <v>1180</v>
      </c>
      <c r="P231" s="12" t="s">
        <v>25</v>
      </c>
      <c r="Q231" s="13" t="s">
        <v>1181</v>
      </c>
      <c r="R231" s="12" t="s">
        <v>1160</v>
      </c>
    </row>
    <row r="232" spans="1:18" ht="48" x14ac:dyDescent="0.2">
      <c r="A232" s="12" t="s">
        <v>1182</v>
      </c>
      <c r="B232" s="12" t="s">
        <v>1154</v>
      </c>
      <c r="C232" s="12" t="s">
        <v>34</v>
      </c>
      <c r="D232" s="12" t="s">
        <v>1183</v>
      </c>
      <c r="E232" s="12" t="s">
        <v>1184</v>
      </c>
      <c r="F232" s="12" t="s">
        <v>34</v>
      </c>
      <c r="G232" s="12" t="s">
        <v>1154</v>
      </c>
      <c r="H232" s="13" t="s">
        <v>1185</v>
      </c>
      <c r="I232" s="14">
        <v>2</v>
      </c>
      <c r="J232" s="12" t="s">
        <v>229</v>
      </c>
      <c r="K232" s="15">
        <v>512</v>
      </c>
      <c r="L232" s="15">
        <v>1024</v>
      </c>
      <c r="M232" s="12" t="s">
        <v>69</v>
      </c>
      <c r="N232" s="12" t="s">
        <v>15</v>
      </c>
      <c r="O232" s="13" t="s">
        <v>1186</v>
      </c>
      <c r="P232" s="12" t="s">
        <v>25</v>
      </c>
      <c r="Q232" s="13" t="s">
        <v>1187</v>
      </c>
      <c r="R232" s="12" t="s">
        <v>1160</v>
      </c>
    </row>
    <row r="233" spans="1:18" ht="32" x14ac:dyDescent="0.2">
      <c r="A233" s="12" t="s">
        <v>1188</v>
      </c>
      <c r="B233" s="12" t="s">
        <v>1154</v>
      </c>
      <c r="C233" s="12" t="s">
        <v>34</v>
      </c>
      <c r="D233" s="12" t="s">
        <v>1189</v>
      </c>
      <c r="E233" s="12" t="s">
        <v>1184</v>
      </c>
      <c r="F233" s="12" t="s">
        <v>34</v>
      </c>
      <c r="G233" s="12" t="s">
        <v>1154</v>
      </c>
      <c r="H233" s="13" t="s">
        <v>1190</v>
      </c>
      <c r="I233" s="14">
        <v>2</v>
      </c>
      <c r="J233" s="12" t="s">
        <v>229</v>
      </c>
      <c r="K233" s="15">
        <v>131</v>
      </c>
      <c r="L233" s="15">
        <v>262</v>
      </c>
      <c r="M233" s="12" t="s">
        <v>69</v>
      </c>
      <c r="N233" s="12" t="s">
        <v>15</v>
      </c>
      <c r="O233" s="13" t="s">
        <v>1186</v>
      </c>
      <c r="P233" s="12" t="s">
        <v>25</v>
      </c>
      <c r="Q233" s="13" t="s">
        <v>1191</v>
      </c>
      <c r="R233" s="12" t="s">
        <v>1160</v>
      </c>
    </row>
    <row r="234" spans="1:18" ht="32" x14ac:dyDescent="0.2">
      <c r="A234" s="12" t="s">
        <v>1192</v>
      </c>
      <c r="B234" s="12" t="s">
        <v>1154</v>
      </c>
      <c r="C234" s="12" t="s">
        <v>34</v>
      </c>
      <c r="D234" s="12" t="s">
        <v>1193</v>
      </c>
      <c r="E234" s="12" t="s">
        <v>1156</v>
      </c>
      <c r="F234" s="12" t="s">
        <v>34</v>
      </c>
      <c r="G234" s="12" t="s">
        <v>1154</v>
      </c>
      <c r="H234" s="13" t="s">
        <v>1194</v>
      </c>
      <c r="I234" s="14">
        <v>32</v>
      </c>
      <c r="J234" s="12" t="s">
        <v>68</v>
      </c>
      <c r="K234" s="15">
        <v>72</v>
      </c>
      <c r="L234" s="15">
        <v>2304</v>
      </c>
      <c r="M234" s="12" t="s">
        <v>69</v>
      </c>
      <c r="N234" s="12" t="s">
        <v>15</v>
      </c>
      <c r="O234" s="13" t="s">
        <v>1195</v>
      </c>
      <c r="P234" s="12" t="s">
        <v>25</v>
      </c>
      <c r="Q234" s="13" t="s">
        <v>1196</v>
      </c>
      <c r="R234" s="12" t="s">
        <v>1160</v>
      </c>
    </row>
    <row r="235" spans="1:18" ht="32" x14ac:dyDescent="0.2">
      <c r="A235" s="12" t="s">
        <v>1197</v>
      </c>
      <c r="B235" s="12" t="s">
        <v>1154</v>
      </c>
      <c r="C235" s="12" t="s">
        <v>34</v>
      </c>
      <c r="D235" s="12" t="s">
        <v>1198</v>
      </c>
      <c r="E235" s="12" t="s">
        <v>1156</v>
      </c>
      <c r="F235" s="12" t="s">
        <v>34</v>
      </c>
      <c r="G235" s="12" t="s">
        <v>1154</v>
      </c>
      <c r="H235" s="13" t="s">
        <v>1199</v>
      </c>
      <c r="I235" s="14">
        <v>8</v>
      </c>
      <c r="J235" s="12" t="s">
        <v>68</v>
      </c>
      <c r="K235" s="15">
        <v>72</v>
      </c>
      <c r="L235" s="15">
        <v>576</v>
      </c>
      <c r="M235" s="12" t="s">
        <v>69</v>
      </c>
      <c r="N235" s="12" t="s">
        <v>15</v>
      </c>
      <c r="O235" s="13" t="s">
        <v>1200</v>
      </c>
      <c r="P235" s="12" t="s">
        <v>25</v>
      </c>
      <c r="Q235" s="13" t="s">
        <v>1201</v>
      </c>
      <c r="R235" s="12" t="s">
        <v>1160</v>
      </c>
    </row>
    <row r="236" spans="1:18" ht="32" x14ac:dyDescent="0.2">
      <c r="A236" s="12" t="s">
        <v>1202</v>
      </c>
      <c r="B236" s="12" t="s">
        <v>1154</v>
      </c>
      <c r="C236" s="12" t="s">
        <v>34</v>
      </c>
      <c r="D236" s="12" t="s">
        <v>1203</v>
      </c>
      <c r="E236" s="12" t="s">
        <v>1178</v>
      </c>
      <c r="F236" s="12" t="s">
        <v>34</v>
      </c>
      <c r="G236" s="12" t="s">
        <v>1154</v>
      </c>
      <c r="H236" s="13" t="s">
        <v>1204</v>
      </c>
      <c r="I236" s="14">
        <v>48</v>
      </c>
      <c r="J236" s="12" t="s">
        <v>68</v>
      </c>
      <c r="K236" s="15">
        <v>62</v>
      </c>
      <c r="L236" s="15">
        <v>2976</v>
      </c>
      <c r="M236" s="12" t="s">
        <v>69</v>
      </c>
      <c r="N236" s="12" t="s">
        <v>15</v>
      </c>
      <c r="O236" s="13" t="s">
        <v>1205</v>
      </c>
      <c r="P236" s="12" t="s">
        <v>25</v>
      </c>
      <c r="Q236" s="13" t="s">
        <v>1206</v>
      </c>
      <c r="R236" s="12" t="s">
        <v>1160</v>
      </c>
    </row>
    <row r="237" spans="1:18" ht="32" x14ac:dyDescent="0.2">
      <c r="A237" s="12" t="s">
        <v>1207</v>
      </c>
      <c r="B237" s="12" t="s">
        <v>1154</v>
      </c>
      <c r="C237" s="12" t="s">
        <v>34</v>
      </c>
      <c r="D237" s="12" t="s">
        <v>1208</v>
      </c>
      <c r="E237" s="12" t="s">
        <v>1156</v>
      </c>
      <c r="F237" s="12" t="s">
        <v>34</v>
      </c>
      <c r="G237" s="12" t="s">
        <v>1154</v>
      </c>
      <c r="H237" s="13" t="s">
        <v>1209</v>
      </c>
      <c r="I237" s="14">
        <v>2</v>
      </c>
      <c r="J237" s="12" t="s">
        <v>229</v>
      </c>
      <c r="K237" s="15">
        <v>350</v>
      </c>
      <c r="L237" s="15">
        <v>700</v>
      </c>
      <c r="M237" s="12" t="s">
        <v>69</v>
      </c>
      <c r="N237" s="12" t="s">
        <v>15</v>
      </c>
      <c r="O237" s="13" t="s">
        <v>1210</v>
      </c>
      <c r="P237" s="12" t="s">
        <v>27</v>
      </c>
      <c r="Q237" s="13" t="s">
        <v>1211</v>
      </c>
      <c r="R237" s="12" t="s">
        <v>1160</v>
      </c>
    </row>
    <row r="238" spans="1:18" ht="32" x14ac:dyDescent="0.2">
      <c r="A238" s="12" t="s">
        <v>1212</v>
      </c>
      <c r="B238" s="12" t="s">
        <v>1154</v>
      </c>
      <c r="C238" s="12" t="s">
        <v>34</v>
      </c>
      <c r="D238" s="12" t="s">
        <v>1213</v>
      </c>
      <c r="E238" s="12" t="s">
        <v>1156</v>
      </c>
      <c r="F238" s="12" t="s">
        <v>34</v>
      </c>
      <c r="G238" s="12" t="s">
        <v>1154</v>
      </c>
      <c r="H238" s="13" t="s">
        <v>1214</v>
      </c>
      <c r="I238" s="14">
        <v>2</v>
      </c>
      <c r="J238" s="12" t="s">
        <v>229</v>
      </c>
      <c r="K238" s="15">
        <v>85</v>
      </c>
      <c r="L238" s="15">
        <v>170</v>
      </c>
      <c r="M238" s="12" t="s">
        <v>69</v>
      </c>
      <c r="N238" s="12" t="s">
        <v>15</v>
      </c>
      <c r="O238" s="13" t="s">
        <v>1215</v>
      </c>
      <c r="P238" s="12" t="s">
        <v>27</v>
      </c>
      <c r="Q238" s="13" t="s">
        <v>1216</v>
      </c>
      <c r="R238" s="12" t="s">
        <v>1160</v>
      </c>
    </row>
    <row r="239" spans="1:18" ht="32" x14ac:dyDescent="0.2">
      <c r="A239" s="12" t="s">
        <v>1217</v>
      </c>
      <c r="B239" s="12" t="s">
        <v>1218</v>
      </c>
      <c r="C239" s="12" t="s">
        <v>34</v>
      </c>
      <c r="D239" s="12" t="s">
        <v>65</v>
      </c>
      <c r="E239" s="12" t="s">
        <v>1219</v>
      </c>
      <c r="F239" s="12" t="s">
        <v>34</v>
      </c>
      <c r="G239" s="12" t="s">
        <v>1218</v>
      </c>
      <c r="H239" s="13" t="s">
        <v>1220</v>
      </c>
      <c r="I239" s="14">
        <v>20</v>
      </c>
      <c r="J239" s="12" t="s">
        <v>229</v>
      </c>
      <c r="K239" s="15">
        <v>3000</v>
      </c>
      <c r="L239" s="15">
        <v>60000</v>
      </c>
      <c r="M239" s="12" t="s">
        <v>69</v>
      </c>
      <c r="N239" s="12" t="s">
        <v>15</v>
      </c>
      <c r="O239" s="13" t="s">
        <v>1221</v>
      </c>
      <c r="P239" s="12" t="s">
        <v>25</v>
      </c>
      <c r="Q239" s="13" t="s">
        <v>1222</v>
      </c>
      <c r="R239" s="12" t="s">
        <v>1223</v>
      </c>
    </row>
    <row r="240" spans="1:18" ht="32" x14ac:dyDescent="0.2">
      <c r="A240" s="12" t="s">
        <v>1224</v>
      </c>
      <c r="B240" s="12" t="s">
        <v>1218</v>
      </c>
      <c r="C240" s="12" t="s">
        <v>34</v>
      </c>
      <c r="D240" s="12" t="s">
        <v>74</v>
      </c>
      <c r="E240" s="12" t="s">
        <v>1178</v>
      </c>
      <c r="F240" s="12" t="s">
        <v>34</v>
      </c>
      <c r="G240" s="12" t="s">
        <v>1218</v>
      </c>
      <c r="H240" s="13" t="s">
        <v>1225</v>
      </c>
      <c r="I240" s="14">
        <v>80</v>
      </c>
      <c r="J240" s="12" t="s">
        <v>511</v>
      </c>
      <c r="K240" s="15">
        <v>220</v>
      </c>
      <c r="L240" s="15">
        <v>17600</v>
      </c>
      <c r="M240" s="12" t="s">
        <v>69</v>
      </c>
      <c r="N240" s="12" t="s">
        <v>15</v>
      </c>
      <c r="O240" s="13" t="s">
        <v>1226</v>
      </c>
      <c r="P240" s="12" t="s">
        <v>25</v>
      </c>
      <c r="Q240" s="13" t="s">
        <v>1227</v>
      </c>
      <c r="R240" s="12" t="s">
        <v>1223</v>
      </c>
    </row>
    <row r="241" spans="1:18" ht="32" x14ac:dyDescent="0.2">
      <c r="A241" s="12" t="s">
        <v>1228</v>
      </c>
      <c r="B241" s="12" t="s">
        <v>1218</v>
      </c>
      <c r="C241" s="12" t="s">
        <v>34</v>
      </c>
      <c r="D241" s="12" t="s">
        <v>79</v>
      </c>
      <c r="E241" s="12" t="s">
        <v>1178</v>
      </c>
      <c r="F241" s="12" t="s">
        <v>34</v>
      </c>
      <c r="G241" s="12" t="s">
        <v>1218</v>
      </c>
      <c r="H241" s="13" t="s">
        <v>1229</v>
      </c>
      <c r="I241" s="14">
        <v>557</v>
      </c>
      <c r="J241" s="12" t="s">
        <v>244</v>
      </c>
      <c r="K241" s="15">
        <v>85</v>
      </c>
      <c r="L241" s="15">
        <v>47345</v>
      </c>
      <c r="M241" s="12" t="s">
        <v>69</v>
      </c>
      <c r="N241" s="12" t="s">
        <v>15</v>
      </c>
      <c r="O241" s="13" t="s">
        <v>1230</v>
      </c>
      <c r="P241" s="12" t="s">
        <v>25</v>
      </c>
      <c r="Q241" s="13" t="s">
        <v>1231</v>
      </c>
      <c r="R241" s="12" t="s">
        <v>1223</v>
      </c>
    </row>
    <row r="242" spans="1:18" ht="32" x14ac:dyDescent="0.2">
      <c r="A242" s="12" t="s">
        <v>1232</v>
      </c>
      <c r="B242" s="12" t="s">
        <v>1218</v>
      </c>
      <c r="C242" s="12" t="s">
        <v>34</v>
      </c>
      <c r="D242" s="12" t="s">
        <v>85</v>
      </c>
      <c r="E242" s="12" t="s">
        <v>1178</v>
      </c>
      <c r="F242" s="12" t="s">
        <v>34</v>
      </c>
      <c r="G242" s="12" t="s">
        <v>1218</v>
      </c>
      <c r="H242" s="13" t="s">
        <v>1233</v>
      </c>
      <c r="I242" s="14">
        <v>48</v>
      </c>
      <c r="J242" s="12" t="s">
        <v>244</v>
      </c>
      <c r="K242" s="15">
        <v>108</v>
      </c>
      <c r="L242" s="15">
        <v>5184</v>
      </c>
      <c r="M242" s="12" t="s">
        <v>69</v>
      </c>
      <c r="N242" s="12" t="s">
        <v>15</v>
      </c>
      <c r="O242" s="13" t="s">
        <v>1234</v>
      </c>
      <c r="P242" s="12" t="s">
        <v>25</v>
      </c>
      <c r="Q242" s="13" t="s">
        <v>1235</v>
      </c>
      <c r="R242" s="12" t="s">
        <v>1223</v>
      </c>
    </row>
    <row r="243" spans="1:18" ht="32" x14ac:dyDescent="0.2">
      <c r="A243" s="12" t="s">
        <v>1236</v>
      </c>
      <c r="B243" s="12" t="s">
        <v>1218</v>
      </c>
      <c r="C243" s="12" t="s">
        <v>34</v>
      </c>
      <c r="D243" s="12" t="s">
        <v>248</v>
      </c>
      <c r="E243" s="12" t="s">
        <v>1178</v>
      </c>
      <c r="F243" s="12" t="s">
        <v>34</v>
      </c>
      <c r="G243" s="12" t="s">
        <v>1218</v>
      </c>
      <c r="H243" s="13" t="s">
        <v>1237</v>
      </c>
      <c r="I243" s="14">
        <v>6</v>
      </c>
      <c r="J243" s="12" t="s">
        <v>244</v>
      </c>
      <c r="K243" s="15">
        <v>85</v>
      </c>
      <c r="L243" s="15">
        <v>510</v>
      </c>
      <c r="M243" s="12" t="s">
        <v>69</v>
      </c>
      <c r="N243" s="12" t="s">
        <v>15</v>
      </c>
      <c r="O243" s="13" t="s">
        <v>1230</v>
      </c>
      <c r="P243" s="12" t="s">
        <v>25</v>
      </c>
      <c r="Q243" s="13" t="s">
        <v>1238</v>
      </c>
      <c r="R243" s="12" t="s">
        <v>1223</v>
      </c>
    </row>
    <row r="244" spans="1:18" ht="32" x14ac:dyDescent="0.2">
      <c r="A244" s="12" t="s">
        <v>1239</v>
      </c>
      <c r="B244" s="12" t="s">
        <v>1218</v>
      </c>
      <c r="C244" s="12" t="s">
        <v>34</v>
      </c>
      <c r="D244" s="12" t="s">
        <v>253</v>
      </c>
      <c r="E244" s="12" t="s">
        <v>1240</v>
      </c>
      <c r="F244" s="12" t="s">
        <v>34</v>
      </c>
      <c r="G244" s="12" t="s">
        <v>1218</v>
      </c>
      <c r="H244" s="13" t="s">
        <v>1241</v>
      </c>
      <c r="I244" s="14">
        <v>557</v>
      </c>
      <c r="J244" s="12" t="s">
        <v>244</v>
      </c>
      <c r="K244" s="15">
        <v>12</v>
      </c>
      <c r="L244" s="15">
        <v>6684</v>
      </c>
      <c r="M244" s="12" t="s">
        <v>69</v>
      </c>
      <c r="N244" s="12" t="s">
        <v>15</v>
      </c>
      <c r="O244" s="13" t="s">
        <v>1242</v>
      </c>
      <c r="P244" s="12" t="s">
        <v>25</v>
      </c>
      <c r="Q244" s="13" t="s">
        <v>1243</v>
      </c>
      <c r="R244" s="12" t="s">
        <v>1223</v>
      </c>
    </row>
    <row r="245" spans="1:18" ht="32" x14ac:dyDescent="0.2">
      <c r="A245" s="12" t="s">
        <v>1244</v>
      </c>
      <c r="B245" s="12" t="s">
        <v>1218</v>
      </c>
      <c r="C245" s="12" t="s">
        <v>34</v>
      </c>
      <c r="D245" s="12" t="s">
        <v>257</v>
      </c>
      <c r="E245" s="12" t="s">
        <v>1245</v>
      </c>
      <c r="F245" s="12" t="s">
        <v>34</v>
      </c>
      <c r="G245" s="12" t="s">
        <v>1218</v>
      </c>
      <c r="H245" s="13" t="s">
        <v>1246</v>
      </c>
      <c r="I245" s="14">
        <v>557</v>
      </c>
      <c r="J245" s="12" t="s">
        <v>244</v>
      </c>
      <c r="K245" s="15">
        <v>15</v>
      </c>
      <c r="L245" s="15">
        <v>8355</v>
      </c>
      <c r="M245" s="12" t="s">
        <v>69</v>
      </c>
      <c r="N245" s="12" t="s">
        <v>15</v>
      </c>
      <c r="O245" s="13" t="s">
        <v>1247</v>
      </c>
      <c r="P245" s="12" t="s">
        <v>25</v>
      </c>
      <c r="Q245" s="13" t="s">
        <v>1248</v>
      </c>
      <c r="R245" s="12" t="s">
        <v>1223</v>
      </c>
    </row>
    <row r="246" spans="1:18" ht="32" x14ac:dyDescent="0.2">
      <c r="A246" s="12" t="s">
        <v>1249</v>
      </c>
      <c r="B246" s="12" t="s">
        <v>1218</v>
      </c>
      <c r="C246" s="12" t="s">
        <v>34</v>
      </c>
      <c r="D246" s="12" t="s">
        <v>262</v>
      </c>
      <c r="E246" s="12" t="s">
        <v>1245</v>
      </c>
      <c r="F246" s="12" t="s">
        <v>34</v>
      </c>
      <c r="G246" s="12" t="s">
        <v>1218</v>
      </c>
      <c r="H246" s="13" t="s">
        <v>1250</v>
      </c>
      <c r="I246" s="14">
        <v>557</v>
      </c>
      <c r="J246" s="12" t="s">
        <v>244</v>
      </c>
      <c r="K246" s="15">
        <v>5</v>
      </c>
      <c r="L246" s="15">
        <v>2785</v>
      </c>
      <c r="M246" s="12" t="s">
        <v>69</v>
      </c>
      <c r="N246" s="12" t="s">
        <v>15</v>
      </c>
      <c r="O246" s="13" t="s">
        <v>1251</v>
      </c>
      <c r="P246" s="12" t="s">
        <v>25</v>
      </c>
      <c r="Q246" s="13" t="s">
        <v>1252</v>
      </c>
      <c r="R246" s="12" t="s">
        <v>1223</v>
      </c>
    </row>
    <row r="247" spans="1:18" ht="32" x14ac:dyDescent="0.2">
      <c r="A247" s="12" t="s">
        <v>1253</v>
      </c>
      <c r="B247" s="12" t="s">
        <v>1218</v>
      </c>
      <c r="C247" s="12" t="s">
        <v>34</v>
      </c>
      <c r="D247" s="12" t="s">
        <v>267</v>
      </c>
      <c r="E247" s="12" t="s">
        <v>1178</v>
      </c>
      <c r="F247" s="12" t="s">
        <v>34</v>
      </c>
      <c r="G247" s="12" t="s">
        <v>1218</v>
      </c>
      <c r="H247" s="13" t="s">
        <v>1254</v>
      </c>
      <c r="I247" s="14">
        <v>1500</v>
      </c>
      <c r="J247" s="12" t="s">
        <v>579</v>
      </c>
      <c r="K247" s="15">
        <v>3.25</v>
      </c>
      <c r="L247" s="15">
        <v>4875</v>
      </c>
      <c r="M247" s="12" t="s">
        <v>69</v>
      </c>
      <c r="N247" s="12" t="s">
        <v>15</v>
      </c>
      <c r="O247" s="13" t="s">
        <v>1255</v>
      </c>
      <c r="P247" s="12" t="s">
        <v>25</v>
      </c>
      <c r="Q247" s="13" t="s">
        <v>1256</v>
      </c>
      <c r="R247" s="12" t="s">
        <v>1223</v>
      </c>
    </row>
    <row r="248" spans="1:18" ht="32" x14ac:dyDescent="0.2">
      <c r="A248" s="12" t="s">
        <v>1257</v>
      </c>
      <c r="B248" s="12" t="s">
        <v>1218</v>
      </c>
      <c r="C248" s="12" t="s">
        <v>34</v>
      </c>
      <c r="D248" s="12" t="s">
        <v>271</v>
      </c>
      <c r="E248" s="12" t="s">
        <v>1219</v>
      </c>
      <c r="F248" s="12" t="s">
        <v>34</v>
      </c>
      <c r="G248" s="12" t="s">
        <v>1218</v>
      </c>
      <c r="H248" s="13" t="s">
        <v>1258</v>
      </c>
      <c r="I248" s="14">
        <v>80</v>
      </c>
      <c r="J248" s="12" t="s">
        <v>229</v>
      </c>
      <c r="K248" s="15">
        <v>45</v>
      </c>
      <c r="L248" s="15">
        <v>3600</v>
      </c>
      <c r="M248" s="12" t="s">
        <v>69</v>
      </c>
      <c r="N248" s="12" t="s">
        <v>15</v>
      </c>
      <c r="O248" s="13" t="s">
        <v>1259</v>
      </c>
      <c r="P248" s="12" t="s">
        <v>25</v>
      </c>
      <c r="Q248" s="13" t="s">
        <v>1260</v>
      </c>
      <c r="R248" s="12" t="s">
        <v>1223</v>
      </c>
    </row>
    <row r="249" spans="1:18" ht="64" x14ac:dyDescent="0.2">
      <c r="A249" s="12" t="s">
        <v>1261</v>
      </c>
      <c r="B249" s="12" t="s">
        <v>1262</v>
      </c>
      <c r="C249" s="12" t="s">
        <v>34</v>
      </c>
      <c r="D249" s="12" t="s">
        <v>1263</v>
      </c>
      <c r="E249" s="12" t="s">
        <v>1264</v>
      </c>
      <c r="F249" s="12" t="s">
        <v>34</v>
      </c>
      <c r="G249" s="12" t="s">
        <v>1262</v>
      </c>
      <c r="H249" s="13" t="s">
        <v>1265</v>
      </c>
      <c r="I249" s="14">
        <v>6000</v>
      </c>
      <c r="J249" s="12" t="s">
        <v>684</v>
      </c>
      <c r="K249" s="15">
        <v>6</v>
      </c>
      <c r="L249" s="15">
        <v>36000</v>
      </c>
      <c r="M249" s="12" t="s">
        <v>69</v>
      </c>
      <c r="N249" s="12" t="s">
        <v>15</v>
      </c>
      <c r="O249" s="13" t="s">
        <v>1266</v>
      </c>
      <c r="P249" s="12" t="s">
        <v>25</v>
      </c>
      <c r="Q249" s="13" t="s">
        <v>1267</v>
      </c>
      <c r="R249" s="12" t="s">
        <v>1268</v>
      </c>
    </row>
    <row r="250" spans="1:18" ht="48" x14ac:dyDescent="0.2">
      <c r="A250" s="12" t="s">
        <v>1269</v>
      </c>
      <c r="B250" s="12" t="s">
        <v>1262</v>
      </c>
      <c r="C250" s="12" t="s">
        <v>34</v>
      </c>
      <c r="D250" s="12" t="s">
        <v>1270</v>
      </c>
      <c r="E250" s="12" t="s">
        <v>1271</v>
      </c>
      <c r="F250" s="12" t="s">
        <v>34</v>
      </c>
      <c r="G250" s="12" t="s">
        <v>1262</v>
      </c>
      <c r="H250" s="13" t="s">
        <v>1272</v>
      </c>
      <c r="I250" s="14">
        <v>6000</v>
      </c>
      <c r="J250" s="12" t="s">
        <v>684</v>
      </c>
      <c r="K250" s="15">
        <v>3</v>
      </c>
      <c r="L250" s="15">
        <v>18000</v>
      </c>
      <c r="M250" s="12" t="s">
        <v>69</v>
      </c>
      <c r="N250" s="12" t="s">
        <v>15</v>
      </c>
      <c r="O250" s="13" t="s">
        <v>1273</v>
      </c>
      <c r="P250" s="12" t="s">
        <v>25</v>
      </c>
      <c r="Q250" s="13" t="s">
        <v>1274</v>
      </c>
      <c r="R250" s="12" t="s">
        <v>1268</v>
      </c>
    </row>
    <row r="251" spans="1:18" ht="80" x14ac:dyDescent="0.2">
      <c r="A251" s="12" t="s">
        <v>1275</v>
      </c>
      <c r="B251" s="12" t="s">
        <v>1276</v>
      </c>
      <c r="C251" s="12" t="s">
        <v>35</v>
      </c>
      <c r="D251" s="12" t="s">
        <v>1277</v>
      </c>
      <c r="E251" s="12" t="s">
        <v>1278</v>
      </c>
      <c r="F251" s="12" t="s">
        <v>35</v>
      </c>
      <c r="G251" s="12" t="s">
        <v>1276</v>
      </c>
      <c r="H251" s="13" t="s">
        <v>1279</v>
      </c>
      <c r="I251" s="14">
        <v>1</v>
      </c>
      <c r="J251" s="12" t="s">
        <v>103</v>
      </c>
      <c r="K251" s="15">
        <v>95000</v>
      </c>
      <c r="L251" s="15">
        <v>95000</v>
      </c>
      <c r="M251" s="12" t="s">
        <v>69</v>
      </c>
      <c r="N251" s="12" t="s">
        <v>16</v>
      </c>
      <c r="O251" s="13" t="s">
        <v>1280</v>
      </c>
      <c r="P251" s="12" t="s">
        <v>27</v>
      </c>
      <c r="Q251" s="13" t="s">
        <v>1281</v>
      </c>
      <c r="R251" s="12" t="s">
        <v>1282</v>
      </c>
    </row>
    <row r="252" spans="1:18" ht="64" x14ac:dyDescent="0.2">
      <c r="A252" s="12" t="s">
        <v>1283</v>
      </c>
      <c r="B252" s="12" t="s">
        <v>1276</v>
      </c>
      <c r="C252" s="12" t="s">
        <v>35</v>
      </c>
      <c r="D252" s="12" t="s">
        <v>1284</v>
      </c>
      <c r="E252" s="12" t="s">
        <v>1285</v>
      </c>
      <c r="F252" s="12" t="s">
        <v>35</v>
      </c>
      <c r="G252" s="12" t="s">
        <v>1276</v>
      </c>
      <c r="H252" s="13" t="s">
        <v>1286</v>
      </c>
      <c r="I252" s="14">
        <v>1</v>
      </c>
      <c r="J252" s="12" t="s">
        <v>103</v>
      </c>
      <c r="K252" s="15">
        <v>16000</v>
      </c>
      <c r="L252" s="15">
        <v>16000</v>
      </c>
      <c r="M252" s="12" t="s">
        <v>69</v>
      </c>
      <c r="N252" s="12" t="s">
        <v>16</v>
      </c>
      <c r="O252" s="13" t="s">
        <v>1287</v>
      </c>
      <c r="P252" s="12" t="s">
        <v>27</v>
      </c>
      <c r="Q252" s="13" t="s">
        <v>1288</v>
      </c>
      <c r="R252" s="12" t="s">
        <v>1282</v>
      </c>
    </row>
    <row r="253" spans="1:18" ht="64" x14ac:dyDescent="0.2">
      <c r="A253" s="12" t="s">
        <v>1289</v>
      </c>
      <c r="B253" s="12" t="s">
        <v>1276</v>
      </c>
      <c r="C253" s="12" t="s">
        <v>35</v>
      </c>
      <c r="D253" s="12" t="s">
        <v>1290</v>
      </c>
      <c r="E253" s="12" t="s">
        <v>1291</v>
      </c>
      <c r="F253" s="12" t="s">
        <v>35</v>
      </c>
      <c r="G253" s="12" t="s">
        <v>1276</v>
      </c>
      <c r="H253" s="13" t="s">
        <v>1292</v>
      </c>
      <c r="I253" s="14">
        <v>1</v>
      </c>
      <c r="J253" s="12" t="s">
        <v>103</v>
      </c>
      <c r="K253" s="15">
        <v>12000</v>
      </c>
      <c r="L253" s="15">
        <v>12000</v>
      </c>
      <c r="M253" s="12" t="s">
        <v>69</v>
      </c>
      <c r="N253" s="12" t="s">
        <v>16</v>
      </c>
      <c r="O253" s="13" t="s">
        <v>1293</v>
      </c>
      <c r="P253" s="12" t="s">
        <v>27</v>
      </c>
      <c r="Q253" s="13" t="s">
        <v>1294</v>
      </c>
      <c r="R253" s="12" t="s">
        <v>1282</v>
      </c>
    </row>
    <row r="254" spans="1:18" ht="48" x14ac:dyDescent="0.2">
      <c r="A254" s="12" t="s">
        <v>1295</v>
      </c>
      <c r="B254" s="12" t="s">
        <v>1296</v>
      </c>
      <c r="C254" s="12" t="s">
        <v>35</v>
      </c>
      <c r="D254" s="12" t="s">
        <v>1297</v>
      </c>
      <c r="E254" s="12" t="s">
        <v>1264</v>
      </c>
      <c r="F254" s="12" t="s">
        <v>35</v>
      </c>
      <c r="G254" s="12" t="s">
        <v>1296</v>
      </c>
      <c r="H254" s="13" t="s">
        <v>1298</v>
      </c>
      <c r="I254" s="14">
        <v>12</v>
      </c>
      <c r="J254" s="12" t="s">
        <v>229</v>
      </c>
      <c r="K254" s="15">
        <v>7500</v>
      </c>
      <c r="L254" s="15">
        <v>90000</v>
      </c>
      <c r="M254" s="12" t="s">
        <v>69</v>
      </c>
      <c r="N254" s="12" t="s">
        <v>15</v>
      </c>
      <c r="O254" s="13" t="s">
        <v>1299</v>
      </c>
      <c r="P254" s="12" t="s">
        <v>25</v>
      </c>
      <c r="Q254" s="13" t="s">
        <v>1300</v>
      </c>
      <c r="R254" s="12" t="s">
        <v>1301</v>
      </c>
    </row>
    <row r="255" spans="1:18" ht="48" x14ac:dyDescent="0.2">
      <c r="A255" s="12" t="s">
        <v>1302</v>
      </c>
      <c r="B255" s="12" t="s">
        <v>1296</v>
      </c>
      <c r="C255" s="12" t="s">
        <v>35</v>
      </c>
      <c r="D255" s="12" t="s">
        <v>1303</v>
      </c>
      <c r="E255" s="12" t="s">
        <v>1304</v>
      </c>
      <c r="F255" s="12" t="s">
        <v>35</v>
      </c>
      <c r="G255" s="12" t="s">
        <v>1296</v>
      </c>
      <c r="H255" s="13" t="s">
        <v>1305</v>
      </c>
      <c r="I255" s="14">
        <v>100</v>
      </c>
      <c r="J255" s="12" t="s">
        <v>511</v>
      </c>
      <c r="K255" s="15">
        <v>80</v>
      </c>
      <c r="L255" s="15">
        <v>8000</v>
      </c>
      <c r="M255" s="12" t="s">
        <v>69</v>
      </c>
      <c r="N255" s="12" t="s">
        <v>15</v>
      </c>
      <c r="O255" s="13" t="s">
        <v>1306</v>
      </c>
      <c r="P255" s="12" t="s">
        <v>25</v>
      </c>
      <c r="Q255" s="13" t="s">
        <v>1307</v>
      </c>
      <c r="R255" s="12" t="s">
        <v>1301</v>
      </c>
    </row>
    <row r="256" spans="1:18" ht="80" x14ac:dyDescent="0.2">
      <c r="A256" s="12" t="s">
        <v>1308</v>
      </c>
      <c r="B256" s="12" t="s">
        <v>1309</v>
      </c>
      <c r="C256" s="12" t="s">
        <v>35</v>
      </c>
      <c r="D256" s="12" t="s">
        <v>1310</v>
      </c>
      <c r="E256" s="12" t="s">
        <v>1311</v>
      </c>
      <c r="F256" s="12" t="s">
        <v>35</v>
      </c>
      <c r="G256" s="12" t="s">
        <v>1309</v>
      </c>
      <c r="H256" s="13" t="s">
        <v>1312</v>
      </c>
      <c r="I256" s="14">
        <v>1</v>
      </c>
      <c r="J256" s="12" t="s">
        <v>103</v>
      </c>
      <c r="K256" s="15">
        <v>45000</v>
      </c>
      <c r="L256" s="15">
        <v>45000</v>
      </c>
      <c r="M256" s="12" t="s">
        <v>69</v>
      </c>
      <c r="N256" s="12" t="s">
        <v>17</v>
      </c>
      <c r="O256" s="13" t="s">
        <v>1313</v>
      </c>
      <c r="P256" s="12" t="s">
        <v>27</v>
      </c>
      <c r="Q256" s="13" t="s">
        <v>1314</v>
      </c>
      <c r="R256" s="12" t="s">
        <v>1315</v>
      </c>
    </row>
    <row r="257" spans="1:18" ht="64" x14ac:dyDescent="0.2">
      <c r="A257" s="12" t="s">
        <v>1316</v>
      </c>
      <c r="B257" s="12" t="s">
        <v>1317</v>
      </c>
      <c r="C257" s="12" t="s">
        <v>35</v>
      </c>
      <c r="D257" s="12" t="s">
        <v>1318</v>
      </c>
      <c r="E257" s="12" t="s">
        <v>1319</v>
      </c>
      <c r="F257" s="12" t="s">
        <v>35</v>
      </c>
      <c r="G257" s="12" t="s">
        <v>1317</v>
      </c>
      <c r="H257" s="13" t="s">
        <v>1320</v>
      </c>
      <c r="I257" s="14">
        <v>1</v>
      </c>
      <c r="J257" s="12" t="s">
        <v>103</v>
      </c>
      <c r="K257" s="15">
        <v>50000</v>
      </c>
      <c r="L257" s="15">
        <v>50000</v>
      </c>
      <c r="M257" s="12" t="s">
        <v>69</v>
      </c>
      <c r="N257" s="12" t="s">
        <v>17</v>
      </c>
      <c r="O257" s="13" t="s">
        <v>1321</v>
      </c>
      <c r="P257" s="12" t="s">
        <v>27</v>
      </c>
      <c r="Q257" s="13" t="s">
        <v>1322</v>
      </c>
      <c r="R257" s="12" t="s">
        <v>1323</v>
      </c>
    </row>
    <row r="258" spans="1:18" ht="48" x14ac:dyDescent="0.2">
      <c r="A258" s="12" t="s">
        <v>1324</v>
      </c>
      <c r="B258" s="12" t="s">
        <v>1317</v>
      </c>
      <c r="C258" s="12" t="s">
        <v>35</v>
      </c>
      <c r="D258" s="12" t="s">
        <v>1325</v>
      </c>
      <c r="E258" s="12" t="s">
        <v>1326</v>
      </c>
      <c r="F258" s="12" t="s">
        <v>35</v>
      </c>
      <c r="G258" s="12" t="s">
        <v>1317</v>
      </c>
      <c r="H258" s="13" t="s">
        <v>1327</v>
      </c>
      <c r="I258" s="14">
        <v>1</v>
      </c>
      <c r="J258" s="12" t="s">
        <v>103</v>
      </c>
      <c r="K258" s="15">
        <v>5400</v>
      </c>
      <c r="L258" s="15">
        <v>5400</v>
      </c>
      <c r="M258" s="12" t="s">
        <v>69</v>
      </c>
      <c r="N258" s="12" t="s">
        <v>17</v>
      </c>
      <c r="O258" s="13" t="s">
        <v>1328</v>
      </c>
      <c r="P258" s="12" t="s">
        <v>27</v>
      </c>
      <c r="Q258" s="13" t="s">
        <v>1329</v>
      </c>
      <c r="R258" s="12" t="s">
        <v>1323</v>
      </c>
    </row>
    <row r="259" spans="1:18" ht="64" x14ac:dyDescent="0.2">
      <c r="A259" s="12" t="s">
        <v>1330</v>
      </c>
      <c r="B259" s="12" t="s">
        <v>1331</v>
      </c>
      <c r="C259" s="12" t="s">
        <v>35</v>
      </c>
      <c r="D259" s="12" t="s">
        <v>1332</v>
      </c>
      <c r="E259" s="12" t="s">
        <v>1333</v>
      </c>
      <c r="F259" s="12" t="s">
        <v>35</v>
      </c>
      <c r="G259" s="12" t="s">
        <v>1331</v>
      </c>
      <c r="H259" s="13" t="s">
        <v>1334</v>
      </c>
      <c r="I259" s="14">
        <v>1</v>
      </c>
      <c r="J259" s="12" t="s">
        <v>103</v>
      </c>
      <c r="K259" s="15">
        <v>12000</v>
      </c>
      <c r="L259" s="15">
        <v>12000</v>
      </c>
      <c r="M259" s="12" t="s">
        <v>69</v>
      </c>
      <c r="N259" s="12" t="s">
        <v>16</v>
      </c>
      <c r="O259" s="13" t="s">
        <v>1335</v>
      </c>
      <c r="P259" s="12" t="s">
        <v>27</v>
      </c>
      <c r="Q259" s="13" t="s">
        <v>1336</v>
      </c>
      <c r="R259" s="12" t="s">
        <v>1337</v>
      </c>
    </row>
    <row r="260" spans="1:18" ht="64" x14ac:dyDescent="0.2">
      <c r="A260" s="12" t="s">
        <v>1338</v>
      </c>
      <c r="B260" s="12" t="s">
        <v>1331</v>
      </c>
      <c r="C260" s="12" t="s">
        <v>35</v>
      </c>
      <c r="D260" s="12" t="s">
        <v>1339</v>
      </c>
      <c r="E260" s="12" t="s">
        <v>1333</v>
      </c>
      <c r="F260" s="12" t="s">
        <v>35</v>
      </c>
      <c r="G260" s="12" t="s">
        <v>1331</v>
      </c>
      <c r="H260" s="13" t="s">
        <v>1340</v>
      </c>
      <c r="I260" s="14">
        <v>1</v>
      </c>
      <c r="J260" s="12" t="s">
        <v>103</v>
      </c>
      <c r="K260" s="15">
        <v>22000</v>
      </c>
      <c r="L260" s="15">
        <v>22000</v>
      </c>
      <c r="M260" s="12" t="s">
        <v>69</v>
      </c>
      <c r="N260" s="12" t="s">
        <v>16</v>
      </c>
      <c r="O260" s="13" t="s">
        <v>1341</v>
      </c>
      <c r="P260" s="12" t="s">
        <v>27</v>
      </c>
      <c r="Q260" s="13" t="s">
        <v>1342</v>
      </c>
      <c r="R260" s="12" t="s">
        <v>1337</v>
      </c>
    </row>
    <row r="261" spans="1:18" ht="32" x14ac:dyDescent="0.2">
      <c r="A261" s="12" t="s">
        <v>1343</v>
      </c>
      <c r="B261" s="12" t="s">
        <v>1344</v>
      </c>
      <c r="C261" s="12" t="s">
        <v>35</v>
      </c>
      <c r="D261" s="12" t="s">
        <v>1345</v>
      </c>
      <c r="E261" s="12" t="s">
        <v>1346</v>
      </c>
      <c r="F261" s="12" t="s">
        <v>35</v>
      </c>
      <c r="G261" s="12" t="s">
        <v>1344</v>
      </c>
      <c r="H261" s="13" t="s">
        <v>1347</v>
      </c>
      <c r="I261" s="14">
        <v>2</v>
      </c>
      <c r="J261" s="12" t="s">
        <v>229</v>
      </c>
      <c r="K261" s="15">
        <v>1500</v>
      </c>
      <c r="L261" s="15">
        <v>3000</v>
      </c>
      <c r="M261" s="12" t="s">
        <v>69</v>
      </c>
      <c r="N261" s="12" t="s">
        <v>20</v>
      </c>
      <c r="O261" s="13" t="s">
        <v>1348</v>
      </c>
      <c r="P261" s="12" t="s">
        <v>26</v>
      </c>
      <c r="Q261" s="13" t="s">
        <v>1349</v>
      </c>
      <c r="R261" s="12" t="s">
        <v>1350</v>
      </c>
    </row>
    <row r="262" spans="1:18" ht="32" x14ac:dyDescent="0.2">
      <c r="A262" s="12" t="s">
        <v>1351</v>
      </c>
      <c r="B262" s="12" t="s">
        <v>1344</v>
      </c>
      <c r="C262" s="12" t="s">
        <v>35</v>
      </c>
      <c r="D262" s="12" t="s">
        <v>1352</v>
      </c>
      <c r="E262" s="12" t="s">
        <v>1346</v>
      </c>
      <c r="F262" s="12" t="s">
        <v>35</v>
      </c>
      <c r="G262" s="12" t="s">
        <v>1344</v>
      </c>
      <c r="H262" s="13" t="s">
        <v>1353</v>
      </c>
      <c r="I262" s="14">
        <v>2</v>
      </c>
      <c r="J262" s="12" t="s">
        <v>229</v>
      </c>
      <c r="K262" s="15">
        <v>450</v>
      </c>
      <c r="L262" s="15">
        <v>900</v>
      </c>
      <c r="M262" s="12" t="s">
        <v>69</v>
      </c>
      <c r="N262" s="12" t="s">
        <v>20</v>
      </c>
      <c r="O262" s="13" t="s">
        <v>1354</v>
      </c>
      <c r="P262" s="12" t="s">
        <v>26</v>
      </c>
      <c r="Q262" s="13" t="s">
        <v>1349</v>
      </c>
      <c r="R262" s="12" t="s">
        <v>1350</v>
      </c>
    </row>
    <row r="263" spans="1:18" ht="16" x14ac:dyDescent="0.2">
      <c r="A263" s="12" t="s">
        <v>1355</v>
      </c>
      <c r="B263" s="12" t="s">
        <v>1344</v>
      </c>
      <c r="C263" s="12" t="s">
        <v>35</v>
      </c>
      <c r="D263" s="12" t="s">
        <v>1356</v>
      </c>
      <c r="E263" s="12" t="s">
        <v>1346</v>
      </c>
      <c r="F263" s="12" t="s">
        <v>35</v>
      </c>
      <c r="G263" s="12" t="s">
        <v>1344</v>
      </c>
      <c r="H263" s="13" t="s">
        <v>1357</v>
      </c>
      <c r="I263" s="14">
        <v>1</v>
      </c>
      <c r="J263" s="12" t="s">
        <v>229</v>
      </c>
      <c r="K263" s="15">
        <v>3500</v>
      </c>
      <c r="L263" s="15">
        <v>3500</v>
      </c>
      <c r="M263" s="12" t="s">
        <v>69</v>
      </c>
      <c r="N263" s="12" t="s">
        <v>20</v>
      </c>
      <c r="O263" s="13" t="s">
        <v>1358</v>
      </c>
      <c r="P263" s="12" t="s">
        <v>26</v>
      </c>
      <c r="Q263" s="13" t="s">
        <v>1359</v>
      </c>
      <c r="R263" s="12" t="s">
        <v>1350</v>
      </c>
    </row>
    <row r="264" spans="1:18" ht="16" x14ac:dyDescent="0.2">
      <c r="A264" s="12" t="s">
        <v>1360</v>
      </c>
      <c r="B264" s="12" t="s">
        <v>1344</v>
      </c>
      <c r="C264" s="12" t="s">
        <v>35</v>
      </c>
      <c r="D264" s="12" t="s">
        <v>1361</v>
      </c>
      <c r="E264" s="12" t="s">
        <v>1346</v>
      </c>
      <c r="F264" s="12" t="s">
        <v>35</v>
      </c>
      <c r="G264" s="12" t="s">
        <v>1344</v>
      </c>
      <c r="H264" s="13" t="s">
        <v>1362</v>
      </c>
      <c r="I264" s="14">
        <v>1</v>
      </c>
      <c r="J264" s="12" t="s">
        <v>229</v>
      </c>
      <c r="K264" s="15">
        <v>1100</v>
      </c>
      <c r="L264" s="15">
        <v>1100</v>
      </c>
      <c r="M264" s="12" t="s">
        <v>69</v>
      </c>
      <c r="N264" s="12" t="s">
        <v>20</v>
      </c>
      <c r="O264" s="13" t="s">
        <v>1363</v>
      </c>
      <c r="P264" s="12" t="s">
        <v>26</v>
      </c>
      <c r="Q264" s="13" t="s">
        <v>1364</v>
      </c>
      <c r="R264" s="12" t="s">
        <v>1350</v>
      </c>
    </row>
    <row r="265" spans="1:18" ht="16" x14ac:dyDescent="0.2">
      <c r="A265" s="12" t="s">
        <v>1365</v>
      </c>
      <c r="B265" s="12" t="s">
        <v>1344</v>
      </c>
      <c r="C265" s="12" t="s">
        <v>35</v>
      </c>
      <c r="D265" s="12" t="s">
        <v>1366</v>
      </c>
      <c r="E265" s="12" t="s">
        <v>1346</v>
      </c>
      <c r="F265" s="12" t="s">
        <v>35</v>
      </c>
      <c r="G265" s="12" t="s">
        <v>1344</v>
      </c>
      <c r="H265" s="13" t="s">
        <v>1367</v>
      </c>
      <c r="I265" s="14">
        <v>2</v>
      </c>
      <c r="J265" s="12" t="s">
        <v>1368</v>
      </c>
      <c r="K265" s="15">
        <v>2800</v>
      </c>
      <c r="L265" s="15">
        <v>5600</v>
      </c>
      <c r="M265" s="12" t="s">
        <v>69</v>
      </c>
      <c r="N265" s="12" t="s">
        <v>20</v>
      </c>
      <c r="O265" s="13" t="s">
        <v>1369</v>
      </c>
      <c r="P265" s="12" t="s">
        <v>26</v>
      </c>
      <c r="Q265" s="13" t="s">
        <v>1370</v>
      </c>
      <c r="R265" s="12" t="s">
        <v>1350</v>
      </c>
    </row>
    <row r="266" spans="1:18" ht="32" x14ac:dyDescent="0.2">
      <c r="A266" s="12" t="s">
        <v>1371</v>
      </c>
      <c r="B266" s="12" t="s">
        <v>1344</v>
      </c>
      <c r="C266" s="12" t="s">
        <v>35</v>
      </c>
      <c r="D266" s="12" t="s">
        <v>1372</v>
      </c>
      <c r="E266" s="12" t="s">
        <v>1373</v>
      </c>
      <c r="F266" s="12" t="s">
        <v>35</v>
      </c>
      <c r="G266" s="12" t="s">
        <v>1344</v>
      </c>
      <c r="H266" s="13" t="s">
        <v>1374</v>
      </c>
      <c r="I266" s="14">
        <v>1</v>
      </c>
      <c r="J266" s="12" t="s">
        <v>103</v>
      </c>
      <c r="K266" s="15">
        <v>4500</v>
      </c>
      <c r="L266" s="15">
        <v>4500</v>
      </c>
      <c r="M266" s="12" t="s">
        <v>69</v>
      </c>
      <c r="N266" s="12" t="s">
        <v>20</v>
      </c>
      <c r="O266" s="13" t="s">
        <v>1375</v>
      </c>
      <c r="P266" s="12" t="s">
        <v>26</v>
      </c>
      <c r="Q266" s="13" t="s">
        <v>1376</v>
      </c>
      <c r="R266" s="12" t="s">
        <v>1350</v>
      </c>
    </row>
    <row r="267" spans="1:18" ht="48" x14ac:dyDescent="0.2">
      <c r="A267" s="12" t="s">
        <v>1377</v>
      </c>
      <c r="B267" s="12" t="s">
        <v>1378</v>
      </c>
      <c r="C267" s="12" t="s">
        <v>35</v>
      </c>
      <c r="D267" s="12" t="s">
        <v>1379</v>
      </c>
      <c r="E267" s="12" t="s">
        <v>1380</v>
      </c>
      <c r="F267" s="12" t="s">
        <v>35</v>
      </c>
      <c r="G267" s="12" t="s">
        <v>1381</v>
      </c>
      <c r="H267" s="13" t="s">
        <v>1382</v>
      </c>
      <c r="I267" s="14">
        <v>1</v>
      </c>
      <c r="J267" s="12" t="s">
        <v>103</v>
      </c>
      <c r="K267" s="15">
        <v>20000</v>
      </c>
      <c r="L267" s="15">
        <v>20000</v>
      </c>
      <c r="M267" s="12" t="s">
        <v>69</v>
      </c>
      <c r="N267" s="12" t="s">
        <v>16</v>
      </c>
      <c r="O267" s="13" t="s">
        <v>1383</v>
      </c>
      <c r="P267" s="12" t="s">
        <v>22</v>
      </c>
      <c r="Q267" s="13" t="s">
        <v>1384</v>
      </c>
      <c r="R267" s="12" t="s">
        <v>1385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showGridLines="0" workbookViewId="0"/>
  </sheetViews>
  <sheetFormatPr baseColWidth="10" defaultColWidth="8.83203125" defaultRowHeight="15" x14ac:dyDescent="0.2"/>
  <cols>
    <col min="1" max="1" width="27" customWidth="1"/>
    <col min="2" max="2" width="19" customWidth="1"/>
    <col min="3" max="3" width="18" customWidth="1"/>
    <col min="4" max="5" width="11" customWidth="1"/>
    <col min="6" max="6" width="10" customWidth="1"/>
  </cols>
  <sheetData>
    <row r="1" spans="1:6" ht="24" customHeight="1" x14ac:dyDescent="0.2">
      <c r="A1" s="11" t="s">
        <v>53</v>
      </c>
      <c r="B1" s="11" t="s">
        <v>54</v>
      </c>
      <c r="C1" s="11" t="s">
        <v>1386</v>
      </c>
      <c r="D1" s="11" t="s">
        <v>1387</v>
      </c>
      <c r="E1" s="11" t="s">
        <v>1388</v>
      </c>
      <c r="F1" s="11" t="s">
        <v>61</v>
      </c>
    </row>
    <row r="2" spans="1:6" x14ac:dyDescent="0.2">
      <c r="A2" s="12" t="s">
        <v>31</v>
      </c>
      <c r="B2" s="12" t="s">
        <v>64</v>
      </c>
      <c r="C2" s="15">
        <v>44800</v>
      </c>
      <c r="D2" s="14">
        <v>4</v>
      </c>
      <c r="E2" s="14">
        <v>0</v>
      </c>
      <c r="F2" s="13"/>
    </row>
    <row r="3" spans="1:6" x14ac:dyDescent="0.2">
      <c r="A3" s="12" t="s">
        <v>31</v>
      </c>
      <c r="B3" s="12" t="s">
        <v>91</v>
      </c>
      <c r="C3" s="15">
        <v>17400</v>
      </c>
      <c r="D3" s="14">
        <v>3</v>
      </c>
      <c r="E3" s="14">
        <v>0</v>
      </c>
      <c r="F3" s="13"/>
    </row>
    <row r="4" spans="1:6" x14ac:dyDescent="0.2">
      <c r="A4" s="12" t="s">
        <v>31</v>
      </c>
      <c r="B4" s="12" t="s">
        <v>107</v>
      </c>
      <c r="C4" s="15">
        <v>15240</v>
      </c>
      <c r="D4" s="14">
        <v>4</v>
      </c>
      <c r="E4" s="14">
        <v>0</v>
      </c>
      <c r="F4" s="13"/>
    </row>
    <row r="5" spans="1:6" x14ac:dyDescent="0.2">
      <c r="A5" s="12" t="s">
        <v>31</v>
      </c>
      <c r="B5" s="12" t="s">
        <v>133</v>
      </c>
      <c r="C5" s="15">
        <v>79910</v>
      </c>
      <c r="D5" s="14">
        <v>7</v>
      </c>
      <c r="E5" s="14">
        <v>0</v>
      </c>
      <c r="F5" s="13"/>
    </row>
    <row r="6" spans="1:6" x14ac:dyDescent="0.2">
      <c r="A6" s="12" t="s">
        <v>31</v>
      </c>
      <c r="B6" s="12" t="s">
        <v>172</v>
      </c>
      <c r="C6" s="15">
        <v>19750</v>
      </c>
      <c r="D6" s="14">
        <v>2</v>
      </c>
      <c r="E6" s="14">
        <v>0</v>
      </c>
      <c r="F6" s="13"/>
    </row>
    <row r="7" spans="1:6" x14ac:dyDescent="0.2">
      <c r="A7" s="12" t="s">
        <v>31</v>
      </c>
      <c r="B7" s="12" t="s">
        <v>183</v>
      </c>
      <c r="C7" s="15">
        <v>263700</v>
      </c>
      <c r="D7" s="14">
        <v>4</v>
      </c>
      <c r="E7" s="14">
        <v>0</v>
      </c>
      <c r="F7" s="13"/>
    </row>
    <row r="8" spans="1:6" x14ac:dyDescent="0.2">
      <c r="A8" s="12" t="s">
        <v>31</v>
      </c>
      <c r="B8" s="12" t="s">
        <v>206</v>
      </c>
      <c r="C8" s="15">
        <v>23650</v>
      </c>
      <c r="D8" s="14">
        <v>3</v>
      </c>
      <c r="E8" s="14">
        <v>0</v>
      </c>
      <c r="F8" s="13"/>
    </row>
    <row r="9" spans="1:6" x14ac:dyDescent="0.2">
      <c r="A9" s="12" t="s">
        <v>32</v>
      </c>
      <c r="B9" s="12" t="s">
        <v>226</v>
      </c>
      <c r="C9" s="15">
        <v>168329</v>
      </c>
      <c r="D9" s="14">
        <v>10</v>
      </c>
      <c r="E9" s="14">
        <v>0</v>
      </c>
      <c r="F9" s="13"/>
    </row>
    <row r="10" spans="1:6" x14ac:dyDescent="0.2">
      <c r="A10" s="12" t="s">
        <v>32</v>
      </c>
      <c r="B10" s="12" t="s">
        <v>277</v>
      </c>
      <c r="C10" s="15">
        <v>279279</v>
      </c>
      <c r="D10" s="14">
        <v>38</v>
      </c>
      <c r="E10" s="14">
        <v>0</v>
      </c>
      <c r="F10" s="13"/>
    </row>
    <row r="11" spans="1:6" x14ac:dyDescent="0.2">
      <c r="A11" s="12" t="s">
        <v>32</v>
      </c>
      <c r="B11" s="12" t="s">
        <v>437</v>
      </c>
      <c r="C11" s="15">
        <v>212396</v>
      </c>
      <c r="D11" s="14">
        <v>32</v>
      </c>
      <c r="E11" s="14">
        <v>0</v>
      </c>
      <c r="F11" s="13"/>
    </row>
    <row r="12" spans="1:6" x14ac:dyDescent="0.2">
      <c r="A12" s="12" t="s">
        <v>32</v>
      </c>
      <c r="B12" s="12" t="s">
        <v>559</v>
      </c>
      <c r="C12" s="15">
        <v>1721269</v>
      </c>
      <c r="D12" s="14">
        <v>28</v>
      </c>
      <c r="E12" s="14">
        <v>0</v>
      </c>
      <c r="F12" s="13"/>
    </row>
    <row r="13" spans="1:6" x14ac:dyDescent="0.2">
      <c r="A13" s="12" t="s">
        <v>32</v>
      </c>
      <c r="B13" s="12" t="s">
        <v>681</v>
      </c>
      <c r="C13" s="15">
        <v>1014095</v>
      </c>
      <c r="D13" s="14">
        <v>16</v>
      </c>
      <c r="E13" s="14">
        <v>0</v>
      </c>
      <c r="F13" s="13"/>
    </row>
    <row r="14" spans="1:6" x14ac:dyDescent="0.2">
      <c r="A14" s="12" t="s">
        <v>32</v>
      </c>
      <c r="B14" s="12" t="s">
        <v>764</v>
      </c>
      <c r="C14" s="15">
        <v>642936</v>
      </c>
      <c r="D14" s="14">
        <v>13</v>
      </c>
      <c r="E14" s="14">
        <v>0</v>
      </c>
      <c r="F14" s="13"/>
    </row>
    <row r="15" spans="1:6" x14ac:dyDescent="0.2">
      <c r="A15" s="12" t="s">
        <v>32</v>
      </c>
      <c r="B15" s="12" t="s">
        <v>838</v>
      </c>
      <c r="C15" s="15">
        <v>201000</v>
      </c>
      <c r="D15" s="14">
        <v>5</v>
      </c>
      <c r="E15" s="14">
        <v>0</v>
      </c>
      <c r="F15" s="13"/>
    </row>
    <row r="16" spans="1:6" x14ac:dyDescent="0.2">
      <c r="A16" s="12" t="s">
        <v>33</v>
      </c>
      <c r="B16" s="12" t="s">
        <v>869</v>
      </c>
      <c r="C16" s="15">
        <v>18500</v>
      </c>
      <c r="D16" s="14">
        <v>2</v>
      </c>
      <c r="E16" s="14">
        <v>0</v>
      </c>
      <c r="F16" s="13"/>
    </row>
    <row r="17" spans="1:6" x14ac:dyDescent="0.2">
      <c r="A17" s="12" t="s">
        <v>33</v>
      </c>
      <c r="B17" s="12" t="s">
        <v>881</v>
      </c>
      <c r="C17" s="15">
        <v>472062</v>
      </c>
      <c r="D17" s="14">
        <v>15</v>
      </c>
      <c r="E17" s="14">
        <v>0</v>
      </c>
      <c r="F17" s="13"/>
    </row>
    <row r="18" spans="1:6" x14ac:dyDescent="0.2">
      <c r="A18" s="12" t="s">
        <v>33</v>
      </c>
      <c r="B18" s="12" t="s">
        <v>952</v>
      </c>
      <c r="C18" s="15">
        <v>896380</v>
      </c>
      <c r="D18" s="14">
        <v>14</v>
      </c>
      <c r="E18" s="14">
        <v>0</v>
      </c>
      <c r="F18" s="13"/>
    </row>
    <row r="19" spans="1:6" x14ac:dyDescent="0.2">
      <c r="A19" s="12" t="s">
        <v>33</v>
      </c>
      <c r="B19" s="12" t="s">
        <v>1016</v>
      </c>
      <c r="C19" s="15">
        <v>226930</v>
      </c>
      <c r="D19" s="14">
        <v>18</v>
      </c>
      <c r="E19" s="14">
        <v>0</v>
      </c>
      <c r="F19" s="13"/>
    </row>
    <row r="20" spans="1:6" x14ac:dyDescent="0.2">
      <c r="A20" s="12" t="s">
        <v>33</v>
      </c>
      <c r="B20" s="12" t="s">
        <v>1116</v>
      </c>
      <c r="C20" s="15">
        <v>43470</v>
      </c>
      <c r="D20" s="14">
        <v>5</v>
      </c>
      <c r="E20" s="14">
        <v>0</v>
      </c>
      <c r="F20" s="13"/>
    </row>
    <row r="21" spans="1:6" x14ac:dyDescent="0.2">
      <c r="A21" s="12" t="s">
        <v>34</v>
      </c>
      <c r="B21" s="12" t="s">
        <v>1140</v>
      </c>
      <c r="C21" s="15">
        <v>202000</v>
      </c>
      <c r="D21" s="14">
        <v>2</v>
      </c>
      <c r="E21" s="14">
        <v>0</v>
      </c>
      <c r="F21" s="13"/>
    </row>
    <row r="22" spans="1:6" x14ac:dyDescent="0.2">
      <c r="A22" s="12" t="s">
        <v>34</v>
      </c>
      <c r="B22" s="12" t="s">
        <v>1154</v>
      </c>
      <c r="C22" s="15">
        <v>51812</v>
      </c>
      <c r="D22" s="14">
        <v>12</v>
      </c>
      <c r="E22" s="14">
        <v>0</v>
      </c>
      <c r="F22" s="13"/>
    </row>
    <row r="23" spans="1:6" x14ac:dyDescent="0.2">
      <c r="A23" s="12" t="s">
        <v>34</v>
      </c>
      <c r="B23" s="12" t="s">
        <v>1218</v>
      </c>
      <c r="C23" s="15">
        <v>156938</v>
      </c>
      <c r="D23" s="14">
        <v>10</v>
      </c>
      <c r="E23" s="14">
        <v>0</v>
      </c>
      <c r="F23" s="13"/>
    </row>
    <row r="24" spans="1:6" x14ac:dyDescent="0.2">
      <c r="A24" s="12" t="s">
        <v>34</v>
      </c>
      <c r="B24" s="12" t="s">
        <v>1262</v>
      </c>
      <c r="C24" s="15">
        <v>54000</v>
      </c>
      <c r="D24" s="14">
        <v>2</v>
      </c>
      <c r="E24" s="14">
        <v>0</v>
      </c>
      <c r="F24" s="13"/>
    </row>
    <row r="25" spans="1:6" x14ac:dyDescent="0.2">
      <c r="A25" s="12" t="s">
        <v>35</v>
      </c>
      <c r="B25" s="12" t="s">
        <v>1276</v>
      </c>
      <c r="C25" s="15">
        <v>123000</v>
      </c>
      <c r="D25" s="14">
        <v>3</v>
      </c>
      <c r="E25" s="14">
        <v>0</v>
      </c>
      <c r="F25" s="13"/>
    </row>
    <row r="26" spans="1:6" x14ac:dyDescent="0.2">
      <c r="A26" s="12" t="s">
        <v>35</v>
      </c>
      <c r="B26" s="12" t="s">
        <v>1296</v>
      </c>
      <c r="C26" s="15">
        <v>98000</v>
      </c>
      <c r="D26" s="14">
        <v>2</v>
      </c>
      <c r="E26" s="14">
        <v>0</v>
      </c>
      <c r="F26" s="13"/>
    </row>
    <row r="27" spans="1:6" x14ac:dyDescent="0.2">
      <c r="A27" s="12" t="s">
        <v>35</v>
      </c>
      <c r="B27" s="12" t="s">
        <v>1309</v>
      </c>
      <c r="C27" s="15">
        <v>45000</v>
      </c>
      <c r="D27" s="14">
        <v>1</v>
      </c>
      <c r="E27" s="14">
        <v>0</v>
      </c>
      <c r="F27" s="13"/>
    </row>
    <row r="28" spans="1:6" x14ac:dyDescent="0.2">
      <c r="A28" s="12" t="s">
        <v>35</v>
      </c>
      <c r="B28" s="12" t="s">
        <v>1317</v>
      </c>
      <c r="C28" s="15">
        <v>55400</v>
      </c>
      <c r="D28" s="14">
        <v>2</v>
      </c>
      <c r="E28" s="14">
        <v>0</v>
      </c>
      <c r="F28" s="13"/>
    </row>
    <row r="29" spans="1:6" x14ac:dyDescent="0.2">
      <c r="A29" s="12" t="s">
        <v>35</v>
      </c>
      <c r="B29" s="12" t="s">
        <v>1331</v>
      </c>
      <c r="C29" s="15">
        <v>34000</v>
      </c>
      <c r="D29" s="14">
        <v>2</v>
      </c>
      <c r="E29" s="14">
        <v>0</v>
      </c>
      <c r="F29" s="13"/>
    </row>
    <row r="30" spans="1:6" x14ac:dyDescent="0.2">
      <c r="A30" s="12" t="s">
        <v>35</v>
      </c>
      <c r="B30" s="12" t="s">
        <v>1344</v>
      </c>
      <c r="C30" s="15">
        <v>18600</v>
      </c>
      <c r="D30" s="14">
        <v>6</v>
      </c>
      <c r="E30" s="14">
        <v>0</v>
      </c>
      <c r="F30" s="13"/>
    </row>
    <row r="31" spans="1:6" x14ac:dyDescent="0.2">
      <c r="A31" s="12" t="s">
        <v>35</v>
      </c>
      <c r="B31" s="12" t="s">
        <v>1378</v>
      </c>
      <c r="C31" s="15">
        <v>20000</v>
      </c>
      <c r="D31" s="14">
        <v>1</v>
      </c>
      <c r="E31" s="14">
        <v>0</v>
      </c>
      <c r="F31" s="13"/>
    </row>
    <row r="32" spans="1:6" x14ac:dyDescent="0.2">
      <c r="A32" s="12" t="s">
        <v>1389</v>
      </c>
      <c r="B32" s="12"/>
      <c r="C32" s="15"/>
      <c r="D32" s="14"/>
      <c r="E32" s="14"/>
      <c r="F32" s="13"/>
    </row>
    <row r="33" spans="1:6" x14ac:dyDescent="0.2">
      <c r="A33" s="12" t="s">
        <v>31</v>
      </c>
      <c r="B33" s="12" t="s">
        <v>1390</v>
      </c>
      <c r="C33" s="15">
        <v>464450</v>
      </c>
      <c r="D33" s="14">
        <v>27</v>
      </c>
      <c r="E33" s="14">
        <v>0</v>
      </c>
      <c r="F33" s="13"/>
    </row>
    <row r="34" spans="1:6" x14ac:dyDescent="0.2">
      <c r="A34" s="12" t="s">
        <v>32</v>
      </c>
      <c r="B34" s="12" t="s">
        <v>1390</v>
      </c>
      <c r="C34" s="15">
        <v>4239304</v>
      </c>
      <c r="D34" s="14">
        <v>142</v>
      </c>
      <c r="E34" s="14">
        <v>0</v>
      </c>
      <c r="F34" s="13"/>
    </row>
    <row r="35" spans="1:6" x14ac:dyDescent="0.2">
      <c r="A35" s="12" t="s">
        <v>33</v>
      </c>
      <c r="B35" s="12" t="s">
        <v>1390</v>
      </c>
      <c r="C35" s="15">
        <v>1657342</v>
      </c>
      <c r="D35" s="14">
        <v>54</v>
      </c>
      <c r="E35" s="14">
        <v>0</v>
      </c>
      <c r="F35" s="13"/>
    </row>
    <row r="36" spans="1:6" x14ac:dyDescent="0.2">
      <c r="A36" s="12" t="s">
        <v>34</v>
      </c>
      <c r="B36" s="12" t="s">
        <v>1390</v>
      </c>
      <c r="C36" s="15">
        <v>464750</v>
      </c>
      <c r="D36" s="14">
        <v>26</v>
      </c>
      <c r="E36" s="14">
        <v>0</v>
      </c>
      <c r="F36" s="13"/>
    </row>
    <row r="37" spans="1:6" x14ac:dyDescent="0.2">
      <c r="A37" s="12" t="s">
        <v>35</v>
      </c>
      <c r="B37" s="12" t="s">
        <v>1390</v>
      </c>
      <c r="C37" s="15">
        <v>394000</v>
      </c>
      <c r="D37" s="14">
        <v>17</v>
      </c>
      <c r="E37" s="14">
        <v>0</v>
      </c>
      <c r="F37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"/>
  <sheetViews>
    <sheetView showGridLines="0" topLeftCell="A72" workbookViewId="0"/>
  </sheetViews>
  <sheetFormatPr baseColWidth="10" defaultColWidth="8.83203125" defaultRowHeight="15" x14ac:dyDescent="0.2"/>
  <cols>
    <col min="1" max="1" width="24" customWidth="1"/>
    <col min="2" max="2" width="18" customWidth="1"/>
    <col min="3" max="4" width="11" customWidth="1"/>
    <col min="5" max="5" width="10" customWidth="1"/>
  </cols>
  <sheetData>
    <row r="1" spans="1:5" ht="24" customHeight="1" x14ac:dyDescent="0.2">
      <c r="A1" s="11" t="s">
        <v>52</v>
      </c>
      <c r="B1" s="11" t="s">
        <v>1386</v>
      </c>
      <c r="C1" s="11" t="s">
        <v>1387</v>
      </c>
      <c r="D1" s="11" t="s">
        <v>1388</v>
      </c>
      <c r="E1" s="11" t="s">
        <v>61</v>
      </c>
    </row>
    <row r="2" spans="1:5" x14ac:dyDescent="0.2">
      <c r="A2" s="12" t="s">
        <v>185</v>
      </c>
      <c r="B2" s="15">
        <v>203700</v>
      </c>
      <c r="C2" s="14">
        <v>2</v>
      </c>
      <c r="D2" s="14">
        <v>0</v>
      </c>
      <c r="E2" s="13"/>
    </row>
    <row r="3" spans="1:5" x14ac:dyDescent="0.2">
      <c r="A3" s="12" t="s">
        <v>147</v>
      </c>
      <c r="B3" s="15">
        <v>71950</v>
      </c>
      <c r="C3" s="14">
        <v>5</v>
      </c>
      <c r="D3" s="14">
        <v>0</v>
      </c>
      <c r="E3" s="13"/>
    </row>
    <row r="4" spans="1:5" x14ac:dyDescent="0.2">
      <c r="A4" s="12" t="s">
        <v>135</v>
      </c>
      <c r="B4" s="15">
        <v>7960</v>
      </c>
      <c r="C4" s="14">
        <v>2</v>
      </c>
      <c r="D4" s="14">
        <v>0</v>
      </c>
      <c r="E4" s="13"/>
    </row>
    <row r="5" spans="1:5" x14ac:dyDescent="0.2">
      <c r="A5" s="12" t="s">
        <v>197</v>
      </c>
      <c r="B5" s="15">
        <v>60000</v>
      </c>
      <c r="C5" s="14">
        <v>2</v>
      </c>
      <c r="D5" s="14">
        <v>0</v>
      </c>
      <c r="E5" s="13"/>
    </row>
    <row r="6" spans="1:5" x14ac:dyDescent="0.2">
      <c r="A6" s="12" t="s">
        <v>1245</v>
      </c>
      <c r="B6" s="15">
        <v>11140</v>
      </c>
      <c r="C6" s="14">
        <v>2</v>
      </c>
      <c r="D6" s="14">
        <v>0</v>
      </c>
      <c r="E6" s="13"/>
    </row>
    <row r="7" spans="1:5" x14ac:dyDescent="0.2">
      <c r="A7" s="12" t="s">
        <v>882</v>
      </c>
      <c r="B7" s="15">
        <v>32010</v>
      </c>
      <c r="C7" s="14">
        <v>2</v>
      </c>
      <c r="D7" s="14">
        <v>0</v>
      </c>
      <c r="E7" s="13"/>
    </row>
    <row r="8" spans="1:5" x14ac:dyDescent="0.2">
      <c r="A8" s="12" t="s">
        <v>919</v>
      </c>
      <c r="B8" s="15">
        <v>74500</v>
      </c>
      <c r="C8" s="14">
        <v>3</v>
      </c>
      <c r="D8" s="14">
        <v>0</v>
      </c>
      <c r="E8" s="13"/>
    </row>
    <row r="9" spans="1:5" x14ac:dyDescent="0.2">
      <c r="A9" s="12" t="s">
        <v>947</v>
      </c>
      <c r="B9" s="15">
        <v>11514</v>
      </c>
      <c r="C9" s="14">
        <v>1</v>
      </c>
      <c r="D9" s="14">
        <v>0</v>
      </c>
      <c r="E9" s="13"/>
    </row>
    <row r="10" spans="1:5" x14ac:dyDescent="0.2">
      <c r="A10" s="12" t="s">
        <v>914</v>
      </c>
      <c r="B10" s="15">
        <v>22000</v>
      </c>
      <c r="C10" s="14">
        <v>1</v>
      </c>
      <c r="D10" s="14">
        <v>0</v>
      </c>
      <c r="E10" s="13"/>
    </row>
    <row r="11" spans="1:5" x14ac:dyDescent="0.2">
      <c r="A11" s="12" t="s">
        <v>893</v>
      </c>
      <c r="B11" s="15">
        <v>178038</v>
      </c>
      <c r="C11" s="14">
        <v>5</v>
      </c>
      <c r="D11" s="14">
        <v>0</v>
      </c>
      <c r="E11" s="13"/>
    </row>
    <row r="12" spans="1:5" x14ac:dyDescent="0.2">
      <c r="A12" s="12" t="s">
        <v>932</v>
      </c>
      <c r="B12" s="15">
        <v>110000</v>
      </c>
      <c r="C12" s="14">
        <v>1</v>
      </c>
      <c r="D12" s="14">
        <v>0</v>
      </c>
      <c r="E12" s="13"/>
    </row>
    <row r="13" spans="1:5" x14ac:dyDescent="0.2">
      <c r="A13" s="12" t="s">
        <v>942</v>
      </c>
      <c r="B13" s="15">
        <v>32000</v>
      </c>
      <c r="C13" s="14">
        <v>1</v>
      </c>
      <c r="D13" s="14">
        <v>0</v>
      </c>
      <c r="E13" s="13"/>
    </row>
    <row r="14" spans="1:5" x14ac:dyDescent="0.2">
      <c r="A14" s="12" t="s">
        <v>937</v>
      </c>
      <c r="B14" s="15">
        <v>12000</v>
      </c>
      <c r="C14" s="14">
        <v>1</v>
      </c>
      <c r="D14" s="14">
        <v>0</v>
      </c>
      <c r="E14" s="13"/>
    </row>
    <row r="15" spans="1:5" x14ac:dyDescent="0.2">
      <c r="A15" s="12" t="s">
        <v>278</v>
      </c>
      <c r="B15" s="15">
        <v>401219</v>
      </c>
      <c r="C15" s="14">
        <v>14</v>
      </c>
      <c r="D15" s="14">
        <v>0</v>
      </c>
      <c r="E15" s="13"/>
    </row>
    <row r="16" spans="1:5" x14ac:dyDescent="0.2">
      <c r="A16" s="12" t="s">
        <v>1178</v>
      </c>
      <c r="B16" s="15">
        <v>89290</v>
      </c>
      <c r="C16" s="14">
        <v>7</v>
      </c>
      <c r="D16" s="14">
        <v>0</v>
      </c>
      <c r="E16" s="13"/>
    </row>
    <row r="17" spans="1:5" x14ac:dyDescent="0.2">
      <c r="A17" s="12" t="s">
        <v>870</v>
      </c>
      <c r="B17" s="15">
        <v>13500</v>
      </c>
      <c r="C17" s="14">
        <v>1</v>
      </c>
      <c r="D17" s="14">
        <v>0</v>
      </c>
      <c r="E17" s="13"/>
    </row>
    <row r="18" spans="1:5" x14ac:dyDescent="0.2">
      <c r="A18" s="12" t="s">
        <v>876</v>
      </c>
      <c r="B18" s="15">
        <v>5000</v>
      </c>
      <c r="C18" s="14">
        <v>1</v>
      </c>
      <c r="D18" s="14">
        <v>0</v>
      </c>
      <c r="E18" s="13"/>
    </row>
    <row r="19" spans="1:5" x14ac:dyDescent="0.2">
      <c r="A19" s="12" t="s">
        <v>964</v>
      </c>
      <c r="B19" s="15">
        <v>390000</v>
      </c>
      <c r="C19" s="14">
        <v>3</v>
      </c>
      <c r="D19" s="14">
        <v>0</v>
      </c>
      <c r="E19" s="13"/>
    </row>
    <row r="20" spans="1:5" x14ac:dyDescent="0.2">
      <c r="A20" s="12" t="s">
        <v>953</v>
      </c>
      <c r="B20" s="15">
        <v>200000</v>
      </c>
      <c r="C20" s="14">
        <v>2</v>
      </c>
      <c r="D20" s="14">
        <v>0</v>
      </c>
      <c r="E20" s="13"/>
    </row>
    <row r="21" spans="1:5" x14ac:dyDescent="0.2">
      <c r="A21" s="12" t="s">
        <v>959</v>
      </c>
      <c r="B21" s="15">
        <v>208000</v>
      </c>
      <c r="C21" s="14">
        <v>2</v>
      </c>
      <c r="D21" s="14">
        <v>0</v>
      </c>
      <c r="E21" s="13"/>
    </row>
    <row r="22" spans="1:5" x14ac:dyDescent="0.2">
      <c r="A22" s="12" t="s">
        <v>973</v>
      </c>
      <c r="B22" s="15">
        <v>83230</v>
      </c>
      <c r="C22" s="14">
        <v>4</v>
      </c>
      <c r="D22" s="14">
        <v>0</v>
      </c>
      <c r="E22" s="13"/>
    </row>
    <row r="23" spans="1:5" x14ac:dyDescent="0.2">
      <c r="A23" s="12" t="s">
        <v>990</v>
      </c>
      <c r="B23" s="15">
        <v>3150</v>
      </c>
      <c r="C23" s="14">
        <v>2</v>
      </c>
      <c r="D23" s="14">
        <v>0</v>
      </c>
      <c r="E23" s="13"/>
    </row>
    <row r="24" spans="1:5" x14ac:dyDescent="0.2">
      <c r="A24" s="12" t="s">
        <v>999</v>
      </c>
      <c r="B24" s="15">
        <v>12000</v>
      </c>
      <c r="C24" s="14">
        <v>1</v>
      </c>
      <c r="D24" s="14">
        <v>0</v>
      </c>
      <c r="E24" s="13"/>
    </row>
    <row r="25" spans="1:5" x14ac:dyDescent="0.2">
      <c r="A25" s="12" t="s">
        <v>1149</v>
      </c>
      <c r="B25" s="15">
        <v>10000</v>
      </c>
      <c r="C25" s="14">
        <v>1</v>
      </c>
      <c r="D25" s="14">
        <v>0</v>
      </c>
      <c r="E25" s="13"/>
    </row>
    <row r="26" spans="1:5" x14ac:dyDescent="0.2">
      <c r="A26" s="12" t="s">
        <v>1142</v>
      </c>
      <c r="B26" s="15">
        <v>192000</v>
      </c>
      <c r="C26" s="14">
        <v>1</v>
      </c>
      <c r="D26" s="14">
        <v>0</v>
      </c>
      <c r="E26" s="13"/>
    </row>
    <row r="27" spans="1:5" x14ac:dyDescent="0.2">
      <c r="A27" s="12" t="s">
        <v>1219</v>
      </c>
      <c r="B27" s="15">
        <v>63600</v>
      </c>
      <c r="C27" s="14">
        <v>2</v>
      </c>
      <c r="D27" s="14">
        <v>0</v>
      </c>
      <c r="E27" s="13"/>
    </row>
    <row r="28" spans="1:5" x14ac:dyDescent="0.2">
      <c r="A28" s="12" t="s">
        <v>595</v>
      </c>
      <c r="B28" s="15">
        <v>461668</v>
      </c>
      <c r="C28" s="14">
        <v>4</v>
      </c>
      <c r="D28" s="14">
        <v>0</v>
      </c>
      <c r="E28" s="13"/>
    </row>
    <row r="29" spans="1:5" x14ac:dyDescent="0.2">
      <c r="A29" s="12" t="s">
        <v>612</v>
      </c>
      <c r="B29" s="15">
        <v>554790</v>
      </c>
      <c r="C29" s="14">
        <v>6</v>
      </c>
      <c r="D29" s="14">
        <v>0</v>
      </c>
      <c r="E29" s="13"/>
    </row>
    <row r="30" spans="1:5" x14ac:dyDescent="0.2">
      <c r="A30" s="12" t="s">
        <v>1184</v>
      </c>
      <c r="B30" s="15">
        <v>1286</v>
      </c>
      <c r="C30" s="14">
        <v>2</v>
      </c>
      <c r="D30" s="14">
        <v>0</v>
      </c>
      <c r="E30" s="13"/>
    </row>
    <row r="31" spans="1:5" x14ac:dyDescent="0.2">
      <c r="A31" s="12" t="s">
        <v>1156</v>
      </c>
      <c r="B31" s="15">
        <v>36750</v>
      </c>
      <c r="C31" s="14">
        <v>8</v>
      </c>
      <c r="D31" s="14">
        <v>0</v>
      </c>
      <c r="E31" s="13"/>
    </row>
    <row r="32" spans="1:5" x14ac:dyDescent="0.2">
      <c r="A32" s="12" t="s">
        <v>637</v>
      </c>
      <c r="B32" s="15">
        <v>249100</v>
      </c>
      <c r="C32" s="14">
        <v>6</v>
      </c>
      <c r="D32" s="14">
        <v>0</v>
      </c>
      <c r="E32" s="13"/>
    </row>
    <row r="33" spans="1:5" x14ac:dyDescent="0.2">
      <c r="A33" s="12" t="s">
        <v>284</v>
      </c>
      <c r="B33" s="15">
        <v>62850</v>
      </c>
      <c r="C33" s="14">
        <v>26</v>
      </c>
      <c r="D33" s="14">
        <v>0</v>
      </c>
      <c r="E33" s="13"/>
    </row>
    <row r="34" spans="1:5" x14ac:dyDescent="0.2">
      <c r="A34" s="12" t="s">
        <v>662</v>
      </c>
      <c r="B34" s="15">
        <v>58520</v>
      </c>
      <c r="C34" s="14">
        <v>2</v>
      </c>
      <c r="D34" s="14">
        <v>0</v>
      </c>
      <c r="E34" s="13"/>
    </row>
    <row r="35" spans="1:5" x14ac:dyDescent="0.2">
      <c r="A35" s="12" t="s">
        <v>1333</v>
      </c>
      <c r="B35" s="15">
        <v>34000</v>
      </c>
      <c r="C35" s="14">
        <v>2</v>
      </c>
      <c r="D35" s="14">
        <v>0</v>
      </c>
      <c r="E35" s="13"/>
    </row>
    <row r="36" spans="1:5" x14ac:dyDescent="0.2">
      <c r="A36" s="12" t="s">
        <v>289</v>
      </c>
      <c r="B36" s="15">
        <v>92600</v>
      </c>
      <c r="C36" s="14">
        <v>3</v>
      </c>
      <c r="D36" s="14">
        <v>0</v>
      </c>
      <c r="E36" s="13"/>
    </row>
    <row r="37" spans="1:5" x14ac:dyDescent="0.2">
      <c r="A37" s="12" t="s">
        <v>294</v>
      </c>
      <c r="B37" s="15">
        <v>55000</v>
      </c>
      <c r="C37" s="14">
        <v>1</v>
      </c>
      <c r="D37" s="14">
        <v>0</v>
      </c>
      <c r="E37" s="13"/>
    </row>
    <row r="38" spans="1:5" x14ac:dyDescent="0.2">
      <c r="A38" s="12" t="s">
        <v>438</v>
      </c>
      <c r="B38" s="15">
        <v>31850</v>
      </c>
      <c r="C38" s="14">
        <v>3</v>
      </c>
      <c r="D38" s="14">
        <v>0</v>
      </c>
      <c r="E38" s="13"/>
    </row>
    <row r="39" spans="1:5" x14ac:dyDescent="0.2">
      <c r="A39" s="12" t="s">
        <v>450</v>
      </c>
      <c r="B39" s="15">
        <v>40188</v>
      </c>
      <c r="C39" s="14">
        <v>4</v>
      </c>
      <c r="D39" s="14">
        <v>0</v>
      </c>
      <c r="E39" s="13"/>
    </row>
    <row r="40" spans="1:5" x14ac:dyDescent="0.2">
      <c r="A40" s="12" t="s">
        <v>466</v>
      </c>
      <c r="B40" s="15">
        <v>34000</v>
      </c>
      <c r="C40" s="14">
        <v>2</v>
      </c>
      <c r="D40" s="14">
        <v>0</v>
      </c>
      <c r="E40" s="13"/>
    </row>
    <row r="41" spans="1:5" x14ac:dyDescent="0.2">
      <c r="A41" s="12" t="s">
        <v>475</v>
      </c>
      <c r="B41" s="15">
        <v>95060</v>
      </c>
      <c r="C41" s="14">
        <v>12</v>
      </c>
      <c r="D41" s="14">
        <v>0</v>
      </c>
      <c r="E41" s="13"/>
    </row>
    <row r="42" spans="1:5" x14ac:dyDescent="0.2">
      <c r="A42" s="12" t="s">
        <v>519</v>
      </c>
      <c r="B42" s="15">
        <v>11298</v>
      </c>
      <c r="C42" s="14">
        <v>11</v>
      </c>
      <c r="D42" s="14">
        <v>0</v>
      </c>
      <c r="E42" s="13"/>
    </row>
    <row r="43" spans="1:5" x14ac:dyDescent="0.2">
      <c r="A43" s="12" t="s">
        <v>304</v>
      </c>
      <c r="B43" s="15">
        <v>18000</v>
      </c>
      <c r="C43" s="14">
        <v>1</v>
      </c>
      <c r="D43" s="14">
        <v>0</v>
      </c>
      <c r="E43" s="13"/>
    </row>
    <row r="44" spans="1:5" x14ac:dyDescent="0.2">
      <c r="A44" s="12" t="s">
        <v>759</v>
      </c>
      <c r="B44" s="15">
        <v>18000</v>
      </c>
      <c r="C44" s="14">
        <v>1</v>
      </c>
      <c r="D44" s="14">
        <v>0</v>
      </c>
      <c r="E44" s="13"/>
    </row>
    <row r="45" spans="1:5" x14ac:dyDescent="0.2">
      <c r="A45" s="12" t="s">
        <v>731</v>
      </c>
      <c r="B45" s="15">
        <v>72000</v>
      </c>
      <c r="C45" s="14">
        <v>1</v>
      </c>
      <c r="D45" s="14">
        <v>0</v>
      </c>
      <c r="E45" s="13"/>
    </row>
    <row r="46" spans="1:5" x14ac:dyDescent="0.2">
      <c r="A46" s="12" t="s">
        <v>715</v>
      </c>
      <c r="B46" s="15">
        <v>49000</v>
      </c>
      <c r="C46" s="14">
        <v>3</v>
      </c>
      <c r="D46" s="14">
        <v>0</v>
      </c>
      <c r="E46" s="13"/>
    </row>
    <row r="47" spans="1:5" x14ac:dyDescent="0.2">
      <c r="A47" s="12" t="s">
        <v>705</v>
      </c>
      <c r="B47" s="15">
        <v>144000</v>
      </c>
      <c r="C47" s="14">
        <v>2</v>
      </c>
      <c r="D47" s="14">
        <v>0</v>
      </c>
      <c r="E47" s="13"/>
    </row>
    <row r="48" spans="1:5" x14ac:dyDescent="0.2">
      <c r="A48" s="12" t="s">
        <v>737</v>
      </c>
      <c r="B48" s="15">
        <v>108000</v>
      </c>
      <c r="C48" s="14">
        <v>1</v>
      </c>
      <c r="D48" s="14">
        <v>0</v>
      </c>
      <c r="E48" s="13"/>
    </row>
    <row r="49" spans="1:5" x14ac:dyDescent="0.2">
      <c r="A49" s="12" t="s">
        <v>682</v>
      </c>
      <c r="B49" s="15">
        <v>435200</v>
      </c>
      <c r="C49" s="14">
        <v>3</v>
      </c>
      <c r="D49" s="14">
        <v>0</v>
      </c>
      <c r="E49" s="13"/>
    </row>
    <row r="50" spans="1:5" x14ac:dyDescent="0.2">
      <c r="A50" s="12" t="s">
        <v>299</v>
      </c>
      <c r="B50" s="15">
        <v>20000</v>
      </c>
      <c r="C50" s="14">
        <v>1</v>
      </c>
      <c r="D50" s="14">
        <v>0</v>
      </c>
      <c r="E50" s="13"/>
    </row>
    <row r="51" spans="1:5" x14ac:dyDescent="0.2">
      <c r="A51" s="12" t="s">
        <v>753</v>
      </c>
      <c r="B51" s="15">
        <v>24295</v>
      </c>
      <c r="C51" s="14">
        <v>1</v>
      </c>
      <c r="D51" s="14">
        <v>0</v>
      </c>
      <c r="E51" s="13"/>
    </row>
    <row r="52" spans="1:5" x14ac:dyDescent="0.2">
      <c r="A52" s="12" t="s">
        <v>696</v>
      </c>
      <c r="B52" s="15">
        <v>163600</v>
      </c>
      <c r="C52" s="14">
        <v>4</v>
      </c>
      <c r="D52" s="14">
        <v>0</v>
      </c>
      <c r="E52" s="13"/>
    </row>
    <row r="53" spans="1:5" x14ac:dyDescent="0.2">
      <c r="A53" s="12" t="s">
        <v>1271</v>
      </c>
      <c r="B53" s="15">
        <v>18000</v>
      </c>
      <c r="C53" s="14">
        <v>1</v>
      </c>
      <c r="D53" s="14">
        <v>0</v>
      </c>
      <c r="E53" s="13"/>
    </row>
    <row r="54" spans="1:5" x14ac:dyDescent="0.2">
      <c r="A54" s="12" t="s">
        <v>1311</v>
      </c>
      <c r="B54" s="15">
        <v>45000</v>
      </c>
      <c r="C54" s="14">
        <v>1</v>
      </c>
      <c r="D54" s="14">
        <v>0</v>
      </c>
      <c r="E54" s="13"/>
    </row>
    <row r="55" spans="1:5" x14ac:dyDescent="0.2">
      <c r="A55" s="12" t="s">
        <v>766</v>
      </c>
      <c r="B55" s="15">
        <v>333400</v>
      </c>
      <c r="C55" s="14">
        <v>3</v>
      </c>
      <c r="D55" s="14">
        <v>0</v>
      </c>
      <c r="E55" s="13"/>
    </row>
    <row r="56" spans="1:5" x14ac:dyDescent="0.2">
      <c r="A56" s="12" t="s">
        <v>816</v>
      </c>
      <c r="B56" s="15">
        <v>12000</v>
      </c>
      <c r="C56" s="14">
        <v>1</v>
      </c>
      <c r="D56" s="14">
        <v>0</v>
      </c>
      <c r="E56" s="13"/>
    </row>
    <row r="57" spans="1:5" x14ac:dyDescent="0.2">
      <c r="A57" s="12" t="s">
        <v>778</v>
      </c>
      <c r="B57" s="15">
        <v>173800</v>
      </c>
      <c r="C57" s="14">
        <v>3</v>
      </c>
      <c r="D57" s="14">
        <v>0</v>
      </c>
      <c r="E57" s="13"/>
    </row>
    <row r="58" spans="1:5" x14ac:dyDescent="0.2">
      <c r="A58" s="12" t="s">
        <v>827</v>
      </c>
      <c r="B58" s="15">
        <v>8000</v>
      </c>
      <c r="C58" s="14">
        <v>1</v>
      </c>
      <c r="D58" s="14">
        <v>0</v>
      </c>
      <c r="E58" s="13"/>
    </row>
    <row r="59" spans="1:5" x14ac:dyDescent="0.2">
      <c r="A59" s="12" t="s">
        <v>833</v>
      </c>
      <c r="B59" s="15">
        <v>15486</v>
      </c>
      <c r="C59" s="14">
        <v>1</v>
      </c>
      <c r="D59" s="14">
        <v>0</v>
      </c>
      <c r="E59" s="13"/>
    </row>
    <row r="60" spans="1:5" x14ac:dyDescent="0.2">
      <c r="A60" s="12" t="s">
        <v>1304</v>
      </c>
      <c r="B60" s="15">
        <v>8000</v>
      </c>
      <c r="C60" s="14">
        <v>1</v>
      </c>
      <c r="D60" s="14">
        <v>0</v>
      </c>
      <c r="E60" s="13"/>
    </row>
    <row r="61" spans="1:5" x14ac:dyDescent="0.2">
      <c r="A61" s="12" t="s">
        <v>1264</v>
      </c>
      <c r="B61" s="15">
        <v>126000</v>
      </c>
      <c r="C61" s="14">
        <v>2</v>
      </c>
      <c r="D61" s="14">
        <v>0</v>
      </c>
      <c r="E61" s="13"/>
    </row>
    <row r="62" spans="1:5" x14ac:dyDescent="0.2">
      <c r="A62" s="12" t="s">
        <v>864</v>
      </c>
      <c r="B62" s="15">
        <v>5000</v>
      </c>
      <c r="C62" s="14">
        <v>1</v>
      </c>
      <c r="D62" s="14">
        <v>0</v>
      </c>
      <c r="E62" s="13"/>
    </row>
    <row r="63" spans="1:5" x14ac:dyDescent="0.2">
      <c r="A63" s="12" t="s">
        <v>847</v>
      </c>
      <c r="B63" s="15">
        <v>18000</v>
      </c>
      <c r="C63" s="14">
        <v>1</v>
      </c>
      <c r="D63" s="14">
        <v>0</v>
      </c>
      <c r="E63" s="13"/>
    </row>
    <row r="64" spans="1:5" x14ac:dyDescent="0.2">
      <c r="A64" s="12" t="s">
        <v>853</v>
      </c>
      <c r="B64" s="15">
        <v>16000</v>
      </c>
      <c r="C64" s="14">
        <v>1</v>
      </c>
      <c r="D64" s="14">
        <v>0</v>
      </c>
      <c r="E64" s="13"/>
    </row>
    <row r="65" spans="1:5" x14ac:dyDescent="0.2">
      <c r="A65" s="12" t="s">
        <v>840</v>
      </c>
      <c r="B65" s="15">
        <v>162000</v>
      </c>
      <c r="C65" s="14">
        <v>2</v>
      </c>
      <c r="D65" s="14">
        <v>0</v>
      </c>
      <c r="E65" s="13"/>
    </row>
    <row r="66" spans="1:5" x14ac:dyDescent="0.2">
      <c r="A66" s="12" t="s">
        <v>1319</v>
      </c>
      <c r="B66" s="15">
        <v>50000</v>
      </c>
      <c r="C66" s="14">
        <v>1</v>
      </c>
      <c r="D66" s="14">
        <v>0</v>
      </c>
      <c r="E66" s="13"/>
    </row>
    <row r="67" spans="1:5" x14ac:dyDescent="0.2">
      <c r="A67" s="12" t="s">
        <v>1326</v>
      </c>
      <c r="B67" s="15">
        <v>5400</v>
      </c>
      <c r="C67" s="14">
        <v>1</v>
      </c>
      <c r="D67" s="14">
        <v>0</v>
      </c>
      <c r="E67" s="13"/>
    </row>
    <row r="68" spans="1:5" x14ac:dyDescent="0.2">
      <c r="A68" s="12" t="s">
        <v>789</v>
      </c>
      <c r="B68" s="15">
        <v>80250</v>
      </c>
      <c r="C68" s="14">
        <v>3</v>
      </c>
      <c r="D68" s="14">
        <v>0</v>
      </c>
      <c r="E68" s="13"/>
    </row>
    <row r="69" spans="1:5" x14ac:dyDescent="0.2">
      <c r="A69" s="12" t="s">
        <v>800</v>
      </c>
      <c r="B69" s="15">
        <v>20000</v>
      </c>
      <c r="C69" s="14">
        <v>1</v>
      </c>
      <c r="D69" s="14">
        <v>0</v>
      </c>
      <c r="E69" s="13"/>
    </row>
    <row r="70" spans="1:5" x14ac:dyDescent="0.2">
      <c r="A70" s="12" t="s">
        <v>671</v>
      </c>
      <c r="B70" s="15">
        <v>6000</v>
      </c>
      <c r="C70" s="14">
        <v>1</v>
      </c>
      <c r="D70" s="14">
        <v>0</v>
      </c>
      <c r="E70" s="13"/>
    </row>
    <row r="71" spans="1:5" x14ac:dyDescent="0.2">
      <c r="A71" s="12" t="s">
        <v>1240</v>
      </c>
      <c r="B71" s="15">
        <v>6684</v>
      </c>
      <c r="C71" s="14">
        <v>1</v>
      </c>
      <c r="D71" s="14">
        <v>0</v>
      </c>
      <c r="E71" s="13"/>
    </row>
    <row r="72" spans="1:5" x14ac:dyDescent="0.2">
      <c r="A72" s="12" t="s">
        <v>1111</v>
      </c>
      <c r="B72" s="15">
        <v>3730</v>
      </c>
      <c r="C72" s="14">
        <v>1</v>
      </c>
      <c r="D72" s="14">
        <v>0</v>
      </c>
      <c r="E72" s="13"/>
    </row>
    <row r="73" spans="1:5" x14ac:dyDescent="0.2">
      <c r="A73" s="12" t="s">
        <v>1018</v>
      </c>
      <c r="B73" s="15">
        <v>41000</v>
      </c>
      <c r="C73" s="14">
        <v>4</v>
      </c>
      <c r="D73" s="14">
        <v>0</v>
      </c>
      <c r="E73" s="13"/>
    </row>
    <row r="74" spans="1:5" x14ac:dyDescent="0.2">
      <c r="A74" s="12" t="s">
        <v>1040</v>
      </c>
      <c r="B74" s="15">
        <v>31000</v>
      </c>
      <c r="C74" s="14">
        <v>2</v>
      </c>
      <c r="D74" s="14">
        <v>0</v>
      </c>
      <c r="E74" s="13"/>
    </row>
    <row r="75" spans="1:5" x14ac:dyDescent="0.2">
      <c r="A75" s="12" t="s">
        <v>1051</v>
      </c>
      <c r="B75" s="15">
        <v>16800</v>
      </c>
      <c r="C75" s="14">
        <v>1</v>
      </c>
      <c r="D75" s="14">
        <v>0</v>
      </c>
      <c r="E75" s="13"/>
    </row>
    <row r="76" spans="1:5" x14ac:dyDescent="0.2">
      <c r="A76" s="12" t="s">
        <v>1057</v>
      </c>
      <c r="B76" s="15">
        <v>38400</v>
      </c>
      <c r="C76" s="14">
        <v>2</v>
      </c>
      <c r="D76" s="14">
        <v>0</v>
      </c>
      <c r="E76" s="13"/>
    </row>
    <row r="77" spans="1:5" x14ac:dyDescent="0.2">
      <c r="A77" s="12" t="s">
        <v>1068</v>
      </c>
      <c r="B77" s="15">
        <v>12000</v>
      </c>
      <c r="C77" s="14">
        <v>1</v>
      </c>
      <c r="D77" s="14">
        <v>0</v>
      </c>
      <c r="E77" s="13"/>
    </row>
    <row r="78" spans="1:5" x14ac:dyDescent="0.2">
      <c r="A78" s="12" t="s">
        <v>1074</v>
      </c>
      <c r="B78" s="15">
        <v>10000</v>
      </c>
      <c r="C78" s="14">
        <v>1</v>
      </c>
      <c r="D78" s="14">
        <v>0</v>
      </c>
      <c r="E78" s="13"/>
    </row>
    <row r="79" spans="1:5" x14ac:dyDescent="0.2">
      <c r="A79" s="12" t="s">
        <v>1080</v>
      </c>
      <c r="B79" s="15">
        <v>35000</v>
      </c>
      <c r="C79" s="14">
        <v>1</v>
      </c>
      <c r="D79" s="14">
        <v>0</v>
      </c>
      <c r="E79" s="13"/>
    </row>
    <row r="80" spans="1:5" x14ac:dyDescent="0.2">
      <c r="A80" s="12" t="s">
        <v>1086</v>
      </c>
      <c r="B80" s="15">
        <v>39000</v>
      </c>
      <c r="C80" s="14">
        <v>5</v>
      </c>
      <c r="D80" s="14">
        <v>0</v>
      </c>
      <c r="E80" s="13"/>
    </row>
    <row r="81" spans="1:5" x14ac:dyDescent="0.2">
      <c r="A81" s="12" t="s">
        <v>272</v>
      </c>
      <c r="B81" s="15">
        <v>11012</v>
      </c>
      <c r="C81" s="14">
        <v>1</v>
      </c>
      <c r="D81" s="14">
        <v>0</v>
      </c>
      <c r="E81" s="13"/>
    </row>
    <row r="82" spans="1:5" x14ac:dyDescent="0.2">
      <c r="A82" s="12" t="s">
        <v>242</v>
      </c>
      <c r="B82" s="15">
        <v>30225</v>
      </c>
      <c r="C82" s="14">
        <v>1</v>
      </c>
      <c r="D82" s="14">
        <v>0</v>
      </c>
      <c r="E82" s="13"/>
    </row>
    <row r="83" spans="1:5" x14ac:dyDescent="0.2">
      <c r="A83" s="12" t="s">
        <v>227</v>
      </c>
      <c r="B83" s="15">
        <v>47200</v>
      </c>
      <c r="C83" s="14">
        <v>3</v>
      </c>
      <c r="D83" s="14">
        <v>0</v>
      </c>
      <c r="E83" s="13"/>
    </row>
    <row r="84" spans="1:5" x14ac:dyDescent="0.2">
      <c r="A84" s="12" t="s">
        <v>249</v>
      </c>
      <c r="B84" s="15">
        <v>58882</v>
      </c>
      <c r="C84" s="14">
        <v>3</v>
      </c>
      <c r="D84" s="14">
        <v>0</v>
      </c>
      <c r="E84" s="13"/>
    </row>
    <row r="85" spans="1:5" x14ac:dyDescent="0.2">
      <c r="A85" s="12" t="s">
        <v>258</v>
      </c>
      <c r="B85" s="15">
        <v>9490</v>
      </c>
      <c r="C85" s="14">
        <v>1</v>
      </c>
      <c r="D85" s="14">
        <v>0</v>
      </c>
      <c r="E85" s="13"/>
    </row>
    <row r="86" spans="1:5" x14ac:dyDescent="0.2">
      <c r="A86" s="12" t="s">
        <v>263</v>
      </c>
      <c r="B86" s="15">
        <v>11520</v>
      </c>
      <c r="C86" s="14">
        <v>1</v>
      </c>
      <c r="D86" s="14">
        <v>0</v>
      </c>
      <c r="E86" s="13"/>
    </row>
    <row r="87" spans="1:5" x14ac:dyDescent="0.2">
      <c r="A87" s="12" t="s">
        <v>676</v>
      </c>
      <c r="B87" s="15">
        <v>20801</v>
      </c>
      <c r="C87" s="14">
        <v>1</v>
      </c>
      <c r="D87" s="14">
        <v>0</v>
      </c>
      <c r="E87" s="13"/>
    </row>
    <row r="88" spans="1:5" x14ac:dyDescent="0.2">
      <c r="A88" s="12" t="s">
        <v>86</v>
      </c>
      <c r="B88" s="15">
        <v>8800</v>
      </c>
      <c r="C88" s="14">
        <v>2</v>
      </c>
      <c r="D88" s="14">
        <v>0</v>
      </c>
      <c r="E88" s="13"/>
    </row>
    <row r="89" spans="1:5" x14ac:dyDescent="0.2">
      <c r="A89" s="12" t="s">
        <v>221</v>
      </c>
      <c r="B89" s="15">
        <v>1600</v>
      </c>
      <c r="C89" s="14">
        <v>1</v>
      </c>
      <c r="D89" s="14">
        <v>0</v>
      </c>
      <c r="E89" s="13"/>
    </row>
    <row r="90" spans="1:5" x14ac:dyDescent="0.2">
      <c r="A90" s="12" t="s">
        <v>208</v>
      </c>
      <c r="B90" s="15">
        <v>16800</v>
      </c>
      <c r="C90" s="14">
        <v>1</v>
      </c>
      <c r="D90" s="14">
        <v>0</v>
      </c>
      <c r="E90" s="13"/>
    </row>
    <row r="91" spans="1:5" x14ac:dyDescent="0.2">
      <c r="A91" s="12" t="s">
        <v>215</v>
      </c>
      <c r="B91" s="15">
        <v>5250</v>
      </c>
      <c r="C91" s="14">
        <v>1</v>
      </c>
      <c r="D91" s="14">
        <v>0</v>
      </c>
      <c r="E91" s="13"/>
    </row>
    <row r="92" spans="1:5" x14ac:dyDescent="0.2">
      <c r="A92" s="12" t="s">
        <v>1291</v>
      </c>
      <c r="B92" s="15">
        <v>12000</v>
      </c>
      <c r="C92" s="14">
        <v>1</v>
      </c>
      <c r="D92" s="14">
        <v>0</v>
      </c>
      <c r="E92" s="13"/>
    </row>
    <row r="93" spans="1:5" x14ac:dyDescent="0.2">
      <c r="A93" s="12" t="s">
        <v>1278</v>
      </c>
      <c r="B93" s="15">
        <v>95000</v>
      </c>
      <c r="C93" s="14">
        <v>1</v>
      </c>
      <c r="D93" s="14">
        <v>0</v>
      </c>
      <c r="E93" s="13"/>
    </row>
    <row r="94" spans="1:5" x14ac:dyDescent="0.2">
      <c r="A94" s="12" t="s">
        <v>1285</v>
      </c>
      <c r="B94" s="15">
        <v>16000</v>
      </c>
      <c r="C94" s="14">
        <v>1</v>
      </c>
      <c r="D94" s="14">
        <v>0</v>
      </c>
      <c r="E94" s="13"/>
    </row>
    <row r="95" spans="1:5" x14ac:dyDescent="0.2">
      <c r="A95" s="12" t="s">
        <v>1346</v>
      </c>
      <c r="B95" s="15">
        <v>14100</v>
      </c>
      <c r="C95" s="14">
        <v>5</v>
      </c>
      <c r="D95" s="14">
        <v>0</v>
      </c>
      <c r="E95" s="13"/>
    </row>
    <row r="96" spans="1:5" x14ac:dyDescent="0.2">
      <c r="A96" s="12" t="s">
        <v>1373</v>
      </c>
      <c r="B96" s="15">
        <v>4500</v>
      </c>
      <c r="C96" s="14">
        <v>1</v>
      </c>
      <c r="D96" s="14">
        <v>0</v>
      </c>
      <c r="E96" s="13"/>
    </row>
    <row r="97" spans="1:5" x14ac:dyDescent="0.2">
      <c r="A97" s="12" t="s">
        <v>116</v>
      </c>
      <c r="B97" s="15">
        <v>640</v>
      </c>
      <c r="C97" s="14">
        <v>1</v>
      </c>
      <c r="D97" s="14">
        <v>0</v>
      </c>
      <c r="E97" s="13"/>
    </row>
    <row r="98" spans="1:5" x14ac:dyDescent="0.2">
      <c r="A98" s="12" t="s">
        <v>109</v>
      </c>
      <c r="B98" s="15">
        <v>6600</v>
      </c>
      <c r="C98" s="14">
        <v>1</v>
      </c>
      <c r="D98" s="14">
        <v>0</v>
      </c>
      <c r="E98" s="13"/>
    </row>
    <row r="99" spans="1:5" x14ac:dyDescent="0.2">
      <c r="A99" s="12" t="s">
        <v>128</v>
      </c>
      <c r="B99" s="15">
        <v>3500</v>
      </c>
      <c r="C99" s="14">
        <v>1</v>
      </c>
      <c r="D99" s="14">
        <v>0</v>
      </c>
      <c r="E99" s="13"/>
    </row>
    <row r="100" spans="1:5" x14ac:dyDescent="0.2">
      <c r="A100" s="12" t="s">
        <v>122</v>
      </c>
      <c r="B100" s="15">
        <v>4500</v>
      </c>
      <c r="C100" s="14">
        <v>1</v>
      </c>
      <c r="D100" s="14">
        <v>0</v>
      </c>
      <c r="E100" s="13"/>
    </row>
    <row r="101" spans="1:5" x14ac:dyDescent="0.2">
      <c r="A101" s="12" t="s">
        <v>80</v>
      </c>
      <c r="B101" s="15">
        <v>5800</v>
      </c>
      <c r="C101" s="14">
        <v>1</v>
      </c>
      <c r="D101" s="14">
        <v>0</v>
      </c>
      <c r="E101" s="13"/>
    </row>
    <row r="102" spans="1:5" x14ac:dyDescent="0.2">
      <c r="A102" s="12" t="s">
        <v>1380</v>
      </c>
      <c r="B102" s="15">
        <v>20000</v>
      </c>
      <c r="C102" s="14">
        <v>1</v>
      </c>
      <c r="D102" s="14">
        <v>0</v>
      </c>
      <c r="E102" s="13"/>
    </row>
    <row r="103" spans="1:5" x14ac:dyDescent="0.2">
      <c r="A103" s="12" t="s">
        <v>66</v>
      </c>
      <c r="B103" s="15">
        <v>34200</v>
      </c>
      <c r="C103" s="14">
        <v>2</v>
      </c>
      <c r="D103" s="14">
        <v>0</v>
      </c>
      <c r="E103" s="13"/>
    </row>
    <row r="104" spans="1:5" x14ac:dyDescent="0.2">
      <c r="A104" s="12" t="s">
        <v>92</v>
      </c>
      <c r="B104" s="15">
        <v>17400</v>
      </c>
      <c r="C104" s="14">
        <v>3</v>
      </c>
      <c r="D104" s="14">
        <v>0</v>
      </c>
      <c r="E104" s="13"/>
    </row>
    <row r="105" spans="1:5" x14ac:dyDescent="0.2">
      <c r="A105" s="12" t="s">
        <v>173</v>
      </c>
      <c r="B105" s="15">
        <v>15750</v>
      </c>
      <c r="C105" s="14">
        <v>1</v>
      </c>
      <c r="D105" s="14">
        <v>0</v>
      </c>
      <c r="E105" s="13"/>
    </row>
    <row r="106" spans="1:5" x14ac:dyDescent="0.2">
      <c r="A106" s="12" t="s">
        <v>1117</v>
      </c>
      <c r="B106" s="15">
        <v>26500</v>
      </c>
      <c r="C106" s="14">
        <v>2</v>
      </c>
      <c r="D106" s="14">
        <v>0</v>
      </c>
      <c r="E106" s="13"/>
    </row>
    <row r="107" spans="1:5" x14ac:dyDescent="0.2">
      <c r="A107" s="12" t="s">
        <v>1123</v>
      </c>
      <c r="B107" s="15">
        <v>16970</v>
      </c>
      <c r="C107" s="14">
        <v>3</v>
      </c>
      <c r="D107" s="14">
        <v>0</v>
      </c>
      <c r="E107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1"/>
  <sheetViews>
    <sheetView showGridLines="0" workbookViewId="0"/>
  </sheetViews>
  <sheetFormatPr baseColWidth="10" defaultColWidth="8.83203125" defaultRowHeight="15" x14ac:dyDescent="0.2"/>
  <cols>
    <col min="1" max="1" width="15" customWidth="1"/>
    <col min="2" max="2" width="37" customWidth="1"/>
    <col min="3" max="3" width="24" customWidth="1"/>
    <col min="4" max="4" width="10" customWidth="1"/>
    <col min="5" max="5" width="14" customWidth="1"/>
    <col min="6" max="6" width="11" customWidth="1"/>
    <col min="7" max="7" width="27" customWidth="1"/>
    <col min="8" max="8" width="10" customWidth="1"/>
  </cols>
  <sheetData>
    <row r="1" spans="1:8" ht="24" customHeight="1" x14ac:dyDescent="0.2">
      <c r="A1" s="11" t="s">
        <v>53</v>
      </c>
      <c r="B1" s="11" t="s">
        <v>54</v>
      </c>
      <c r="C1" s="11" t="s">
        <v>52</v>
      </c>
      <c r="D1" s="11" t="s">
        <v>59</v>
      </c>
      <c r="E1" s="11" t="s">
        <v>1391</v>
      </c>
      <c r="F1" s="11" t="s">
        <v>1387</v>
      </c>
      <c r="G1" s="11" t="s">
        <v>1392</v>
      </c>
      <c r="H1" s="11" t="s">
        <v>61</v>
      </c>
    </row>
    <row r="2" spans="1:8" ht="16" x14ac:dyDescent="0.2">
      <c r="A2" s="12" t="s">
        <v>31</v>
      </c>
      <c r="B2" s="12" t="s">
        <v>64</v>
      </c>
      <c r="C2" s="12" t="s">
        <v>86</v>
      </c>
      <c r="D2" s="12" t="s">
        <v>69</v>
      </c>
      <c r="E2" s="15">
        <v>4800</v>
      </c>
      <c r="F2" s="14">
        <v>1</v>
      </c>
      <c r="G2" s="13" t="s">
        <v>1393</v>
      </c>
      <c r="H2" s="13"/>
    </row>
    <row r="3" spans="1:8" ht="16" x14ac:dyDescent="0.2">
      <c r="A3" s="12" t="s">
        <v>31</v>
      </c>
      <c r="B3" s="12" t="s">
        <v>64</v>
      </c>
      <c r="C3" s="12" t="s">
        <v>80</v>
      </c>
      <c r="D3" s="12" t="s">
        <v>69</v>
      </c>
      <c r="E3" s="15">
        <v>5800</v>
      </c>
      <c r="F3" s="14">
        <v>1</v>
      </c>
      <c r="G3" s="13" t="s">
        <v>1393</v>
      </c>
      <c r="H3" s="13"/>
    </row>
    <row r="4" spans="1:8" ht="16" x14ac:dyDescent="0.2">
      <c r="A4" s="12" t="s">
        <v>31</v>
      </c>
      <c r="B4" s="12" t="s">
        <v>64</v>
      </c>
      <c r="C4" s="12" t="s">
        <v>66</v>
      </c>
      <c r="D4" s="12" t="s">
        <v>69</v>
      </c>
      <c r="E4" s="15">
        <v>34200</v>
      </c>
      <c r="F4" s="14">
        <v>2</v>
      </c>
      <c r="G4" s="13" t="s">
        <v>1393</v>
      </c>
      <c r="H4" s="13"/>
    </row>
    <row r="5" spans="1:8" ht="16" x14ac:dyDescent="0.2">
      <c r="A5" s="12" t="s">
        <v>31</v>
      </c>
      <c r="B5" s="12" t="s">
        <v>91</v>
      </c>
      <c r="C5" s="12" t="s">
        <v>92</v>
      </c>
      <c r="D5" s="12" t="s">
        <v>69</v>
      </c>
      <c r="E5" s="15">
        <v>17400</v>
      </c>
      <c r="F5" s="14">
        <v>3</v>
      </c>
      <c r="G5" s="13" t="s">
        <v>1393</v>
      </c>
      <c r="H5" s="13"/>
    </row>
    <row r="6" spans="1:8" ht="16" x14ac:dyDescent="0.2">
      <c r="A6" s="12" t="s">
        <v>31</v>
      </c>
      <c r="B6" s="12" t="s">
        <v>107</v>
      </c>
      <c r="C6" s="12" t="s">
        <v>116</v>
      </c>
      <c r="D6" s="12" t="s">
        <v>69</v>
      </c>
      <c r="E6" s="15">
        <v>640</v>
      </c>
      <c r="F6" s="14">
        <v>1</v>
      </c>
      <c r="G6" s="13" t="s">
        <v>1393</v>
      </c>
      <c r="H6" s="13"/>
    </row>
    <row r="7" spans="1:8" ht="16" x14ac:dyDescent="0.2">
      <c r="A7" s="12" t="s">
        <v>31</v>
      </c>
      <c r="B7" s="12" t="s">
        <v>107</v>
      </c>
      <c r="C7" s="12" t="s">
        <v>109</v>
      </c>
      <c r="D7" s="12" t="s">
        <v>69</v>
      </c>
      <c r="E7" s="15">
        <v>6600</v>
      </c>
      <c r="F7" s="14">
        <v>1</v>
      </c>
      <c r="G7" s="13" t="s">
        <v>1393</v>
      </c>
      <c r="H7" s="13"/>
    </row>
    <row r="8" spans="1:8" ht="16" x14ac:dyDescent="0.2">
      <c r="A8" s="12" t="s">
        <v>31</v>
      </c>
      <c r="B8" s="12" t="s">
        <v>107</v>
      </c>
      <c r="C8" s="12" t="s">
        <v>128</v>
      </c>
      <c r="D8" s="12" t="s">
        <v>69</v>
      </c>
      <c r="E8" s="15">
        <v>3500</v>
      </c>
      <c r="F8" s="14">
        <v>1</v>
      </c>
      <c r="G8" s="13" t="s">
        <v>1393</v>
      </c>
      <c r="H8" s="13"/>
    </row>
    <row r="9" spans="1:8" ht="16" x14ac:dyDescent="0.2">
      <c r="A9" s="12" t="s">
        <v>31</v>
      </c>
      <c r="B9" s="12" t="s">
        <v>107</v>
      </c>
      <c r="C9" s="12" t="s">
        <v>122</v>
      </c>
      <c r="D9" s="12" t="s">
        <v>69</v>
      </c>
      <c r="E9" s="15">
        <v>4500</v>
      </c>
      <c r="F9" s="14">
        <v>1</v>
      </c>
      <c r="G9" s="13" t="s">
        <v>1393</v>
      </c>
      <c r="H9" s="13"/>
    </row>
    <row r="10" spans="1:8" ht="16" x14ac:dyDescent="0.2">
      <c r="A10" s="12" t="s">
        <v>31</v>
      </c>
      <c r="B10" s="12" t="s">
        <v>133</v>
      </c>
      <c r="C10" s="12" t="s">
        <v>147</v>
      </c>
      <c r="D10" s="12" t="s">
        <v>69</v>
      </c>
      <c r="E10" s="15">
        <v>71950</v>
      </c>
      <c r="F10" s="14">
        <v>5</v>
      </c>
      <c r="G10" s="13" t="s">
        <v>1393</v>
      </c>
      <c r="H10" s="13"/>
    </row>
    <row r="11" spans="1:8" ht="16" x14ac:dyDescent="0.2">
      <c r="A11" s="12" t="s">
        <v>31</v>
      </c>
      <c r="B11" s="12" t="s">
        <v>133</v>
      </c>
      <c r="C11" s="12" t="s">
        <v>135</v>
      </c>
      <c r="D11" s="12" t="s">
        <v>69</v>
      </c>
      <c r="E11" s="15">
        <v>7960</v>
      </c>
      <c r="F11" s="14">
        <v>2</v>
      </c>
      <c r="G11" s="13" t="s">
        <v>1393</v>
      </c>
      <c r="H11" s="13"/>
    </row>
    <row r="12" spans="1:8" ht="16" x14ac:dyDescent="0.2">
      <c r="A12" s="12" t="s">
        <v>31</v>
      </c>
      <c r="B12" s="12" t="s">
        <v>172</v>
      </c>
      <c r="C12" s="12" t="s">
        <v>86</v>
      </c>
      <c r="D12" s="12" t="s">
        <v>69</v>
      </c>
      <c r="E12" s="15">
        <v>4000</v>
      </c>
      <c r="F12" s="14">
        <v>1</v>
      </c>
      <c r="G12" s="13" t="s">
        <v>1393</v>
      </c>
      <c r="H12" s="13"/>
    </row>
    <row r="13" spans="1:8" ht="16" x14ac:dyDescent="0.2">
      <c r="A13" s="12" t="s">
        <v>31</v>
      </c>
      <c r="B13" s="12" t="s">
        <v>172</v>
      </c>
      <c r="C13" s="12" t="s">
        <v>173</v>
      </c>
      <c r="D13" s="12" t="s">
        <v>69</v>
      </c>
      <c r="E13" s="15">
        <v>15750</v>
      </c>
      <c r="F13" s="14">
        <v>1</v>
      </c>
      <c r="G13" s="13" t="s">
        <v>1393</v>
      </c>
      <c r="H13" s="13"/>
    </row>
    <row r="14" spans="1:8" ht="16" x14ac:dyDescent="0.2">
      <c r="A14" s="12" t="s">
        <v>31</v>
      </c>
      <c r="B14" s="12" t="s">
        <v>183</v>
      </c>
      <c r="C14" s="12" t="s">
        <v>185</v>
      </c>
      <c r="D14" s="12" t="s">
        <v>69</v>
      </c>
      <c r="E14" s="15">
        <v>203700</v>
      </c>
      <c r="F14" s="14">
        <v>2</v>
      </c>
      <c r="G14" s="13" t="s">
        <v>1393</v>
      </c>
      <c r="H14" s="13"/>
    </row>
    <row r="15" spans="1:8" ht="16" x14ac:dyDescent="0.2">
      <c r="A15" s="12" t="s">
        <v>31</v>
      </c>
      <c r="B15" s="12" t="s">
        <v>183</v>
      </c>
      <c r="C15" s="12" t="s">
        <v>197</v>
      </c>
      <c r="D15" s="12" t="s">
        <v>69</v>
      </c>
      <c r="E15" s="15">
        <v>60000</v>
      </c>
      <c r="F15" s="14">
        <v>2</v>
      </c>
      <c r="G15" s="13" t="s">
        <v>1393</v>
      </c>
      <c r="H15" s="13"/>
    </row>
    <row r="16" spans="1:8" ht="16" x14ac:dyDescent="0.2">
      <c r="A16" s="12" t="s">
        <v>31</v>
      </c>
      <c r="B16" s="12" t="s">
        <v>206</v>
      </c>
      <c r="C16" s="12" t="s">
        <v>221</v>
      </c>
      <c r="D16" s="12" t="s">
        <v>69</v>
      </c>
      <c r="E16" s="15">
        <v>1600</v>
      </c>
      <c r="F16" s="14">
        <v>1</v>
      </c>
      <c r="G16" s="13" t="s">
        <v>1393</v>
      </c>
      <c r="H16" s="13"/>
    </row>
    <row r="17" spans="1:8" ht="16" x14ac:dyDescent="0.2">
      <c r="A17" s="12" t="s">
        <v>31</v>
      </c>
      <c r="B17" s="12" t="s">
        <v>206</v>
      </c>
      <c r="C17" s="12" t="s">
        <v>208</v>
      </c>
      <c r="D17" s="12" t="s">
        <v>69</v>
      </c>
      <c r="E17" s="15">
        <v>16800</v>
      </c>
      <c r="F17" s="14">
        <v>1</v>
      </c>
      <c r="G17" s="13" t="s">
        <v>1393</v>
      </c>
      <c r="H17" s="13"/>
    </row>
    <row r="18" spans="1:8" ht="16" x14ac:dyDescent="0.2">
      <c r="A18" s="12" t="s">
        <v>31</v>
      </c>
      <c r="B18" s="12" t="s">
        <v>206</v>
      </c>
      <c r="C18" s="12" t="s">
        <v>215</v>
      </c>
      <c r="D18" s="12" t="s">
        <v>69</v>
      </c>
      <c r="E18" s="15">
        <v>5250</v>
      </c>
      <c r="F18" s="14">
        <v>1</v>
      </c>
      <c r="G18" s="13" t="s">
        <v>1393</v>
      </c>
      <c r="H18" s="13"/>
    </row>
    <row r="19" spans="1:8" ht="16" x14ac:dyDescent="0.2">
      <c r="A19" s="12" t="s">
        <v>32</v>
      </c>
      <c r="B19" s="12" t="s">
        <v>226</v>
      </c>
      <c r="C19" s="12" t="s">
        <v>272</v>
      </c>
      <c r="D19" s="12" t="s">
        <v>69</v>
      </c>
      <c r="E19" s="15">
        <v>11012</v>
      </c>
      <c r="F19" s="14">
        <v>1</v>
      </c>
      <c r="G19" s="13" t="s">
        <v>1393</v>
      </c>
      <c r="H19" s="13"/>
    </row>
    <row r="20" spans="1:8" ht="16" x14ac:dyDescent="0.2">
      <c r="A20" s="12" t="s">
        <v>32</v>
      </c>
      <c r="B20" s="12" t="s">
        <v>226</v>
      </c>
      <c r="C20" s="12" t="s">
        <v>242</v>
      </c>
      <c r="D20" s="12" t="s">
        <v>69</v>
      </c>
      <c r="E20" s="15">
        <v>30225</v>
      </c>
      <c r="F20" s="14">
        <v>1</v>
      </c>
      <c r="G20" s="13" t="s">
        <v>1393</v>
      </c>
      <c r="H20" s="13"/>
    </row>
    <row r="21" spans="1:8" ht="16" x14ac:dyDescent="0.2">
      <c r="A21" s="12" t="s">
        <v>32</v>
      </c>
      <c r="B21" s="12" t="s">
        <v>226</v>
      </c>
      <c r="C21" s="12" t="s">
        <v>227</v>
      </c>
      <c r="D21" s="12" t="s">
        <v>69</v>
      </c>
      <c r="E21" s="15">
        <v>47200</v>
      </c>
      <c r="F21" s="14">
        <v>3</v>
      </c>
      <c r="G21" s="13" t="s">
        <v>1393</v>
      </c>
      <c r="H21" s="13"/>
    </row>
    <row r="22" spans="1:8" ht="16" x14ac:dyDescent="0.2">
      <c r="A22" s="12" t="s">
        <v>32</v>
      </c>
      <c r="B22" s="12" t="s">
        <v>226</v>
      </c>
      <c r="C22" s="12" t="s">
        <v>249</v>
      </c>
      <c r="D22" s="12" t="s">
        <v>69</v>
      </c>
      <c r="E22" s="15">
        <v>58882</v>
      </c>
      <c r="F22" s="14">
        <v>3</v>
      </c>
      <c r="G22" s="13" t="s">
        <v>1393</v>
      </c>
      <c r="H22" s="13"/>
    </row>
    <row r="23" spans="1:8" ht="16" x14ac:dyDescent="0.2">
      <c r="A23" s="12" t="s">
        <v>32</v>
      </c>
      <c r="B23" s="12" t="s">
        <v>226</v>
      </c>
      <c r="C23" s="12" t="s">
        <v>258</v>
      </c>
      <c r="D23" s="12" t="s">
        <v>69</v>
      </c>
      <c r="E23" s="15">
        <v>9490</v>
      </c>
      <c r="F23" s="14">
        <v>1</v>
      </c>
      <c r="G23" s="13" t="s">
        <v>1393</v>
      </c>
      <c r="H23" s="13"/>
    </row>
    <row r="24" spans="1:8" ht="16" x14ac:dyDescent="0.2">
      <c r="A24" s="12" t="s">
        <v>32</v>
      </c>
      <c r="B24" s="12" t="s">
        <v>226</v>
      </c>
      <c r="C24" s="12" t="s">
        <v>263</v>
      </c>
      <c r="D24" s="12" t="s">
        <v>69</v>
      </c>
      <c r="E24" s="15">
        <v>11520</v>
      </c>
      <c r="F24" s="14">
        <v>1</v>
      </c>
      <c r="G24" s="13" t="s">
        <v>1393</v>
      </c>
      <c r="H24" s="13"/>
    </row>
    <row r="25" spans="1:8" ht="16" x14ac:dyDescent="0.2">
      <c r="A25" s="12" t="s">
        <v>32</v>
      </c>
      <c r="B25" s="12" t="s">
        <v>277</v>
      </c>
      <c r="C25" s="12" t="s">
        <v>278</v>
      </c>
      <c r="D25" s="12" t="s">
        <v>69</v>
      </c>
      <c r="E25" s="15">
        <v>30829</v>
      </c>
      <c r="F25" s="14">
        <v>6</v>
      </c>
      <c r="G25" s="13" t="s">
        <v>1393</v>
      </c>
      <c r="H25" s="13"/>
    </row>
    <row r="26" spans="1:8" ht="16" x14ac:dyDescent="0.2">
      <c r="A26" s="12" t="s">
        <v>32</v>
      </c>
      <c r="B26" s="12" t="s">
        <v>277</v>
      </c>
      <c r="C26" s="12" t="s">
        <v>284</v>
      </c>
      <c r="D26" s="12" t="s">
        <v>69</v>
      </c>
      <c r="E26" s="15">
        <v>62850</v>
      </c>
      <c r="F26" s="14">
        <v>26</v>
      </c>
      <c r="G26" s="13" t="s">
        <v>1393</v>
      </c>
      <c r="H26" s="13"/>
    </row>
    <row r="27" spans="1:8" ht="16" x14ac:dyDescent="0.2">
      <c r="A27" s="12" t="s">
        <v>32</v>
      </c>
      <c r="B27" s="12" t="s">
        <v>277</v>
      </c>
      <c r="C27" s="12" t="s">
        <v>289</v>
      </c>
      <c r="D27" s="12" t="s">
        <v>69</v>
      </c>
      <c r="E27" s="15">
        <v>92600</v>
      </c>
      <c r="F27" s="14">
        <v>3</v>
      </c>
      <c r="G27" s="13" t="s">
        <v>1393</v>
      </c>
      <c r="H27" s="13"/>
    </row>
    <row r="28" spans="1:8" ht="16" x14ac:dyDescent="0.2">
      <c r="A28" s="12" t="s">
        <v>32</v>
      </c>
      <c r="B28" s="12" t="s">
        <v>277</v>
      </c>
      <c r="C28" s="12" t="s">
        <v>294</v>
      </c>
      <c r="D28" s="12" t="s">
        <v>69</v>
      </c>
      <c r="E28" s="15">
        <v>55000</v>
      </c>
      <c r="F28" s="14">
        <v>1</v>
      </c>
      <c r="G28" s="13" t="s">
        <v>1393</v>
      </c>
      <c r="H28" s="13"/>
    </row>
    <row r="29" spans="1:8" ht="16" x14ac:dyDescent="0.2">
      <c r="A29" s="12" t="s">
        <v>32</v>
      </c>
      <c r="B29" s="12" t="s">
        <v>277</v>
      </c>
      <c r="C29" s="12" t="s">
        <v>304</v>
      </c>
      <c r="D29" s="12" t="s">
        <v>69</v>
      </c>
      <c r="E29" s="15">
        <v>18000</v>
      </c>
      <c r="F29" s="14">
        <v>1</v>
      </c>
      <c r="G29" s="13" t="s">
        <v>1393</v>
      </c>
      <c r="H29" s="13"/>
    </row>
    <row r="30" spans="1:8" ht="16" x14ac:dyDescent="0.2">
      <c r="A30" s="12" t="s">
        <v>32</v>
      </c>
      <c r="B30" s="12" t="s">
        <v>277</v>
      </c>
      <c r="C30" s="12" t="s">
        <v>299</v>
      </c>
      <c r="D30" s="12" t="s">
        <v>69</v>
      </c>
      <c r="E30" s="15">
        <v>20000</v>
      </c>
      <c r="F30" s="14">
        <v>1</v>
      </c>
      <c r="G30" s="13" t="s">
        <v>1393</v>
      </c>
      <c r="H30" s="13"/>
    </row>
    <row r="31" spans="1:8" ht="16" x14ac:dyDescent="0.2">
      <c r="A31" s="12" t="s">
        <v>32</v>
      </c>
      <c r="B31" s="12" t="s">
        <v>437</v>
      </c>
      <c r="C31" s="12" t="s">
        <v>438</v>
      </c>
      <c r="D31" s="12" t="s">
        <v>69</v>
      </c>
      <c r="E31" s="15">
        <v>31850</v>
      </c>
      <c r="F31" s="14">
        <v>3</v>
      </c>
      <c r="G31" s="13" t="s">
        <v>1393</v>
      </c>
      <c r="H31" s="13"/>
    </row>
    <row r="32" spans="1:8" ht="16" x14ac:dyDescent="0.2">
      <c r="A32" s="12" t="s">
        <v>32</v>
      </c>
      <c r="B32" s="12" t="s">
        <v>437</v>
      </c>
      <c r="C32" s="12" t="s">
        <v>450</v>
      </c>
      <c r="D32" s="12" t="s">
        <v>69</v>
      </c>
      <c r="E32" s="15">
        <v>40188</v>
      </c>
      <c r="F32" s="14">
        <v>4</v>
      </c>
      <c r="G32" s="13" t="s">
        <v>1393</v>
      </c>
      <c r="H32" s="13"/>
    </row>
    <row r="33" spans="1:8" ht="16" x14ac:dyDescent="0.2">
      <c r="A33" s="12" t="s">
        <v>32</v>
      </c>
      <c r="B33" s="12" t="s">
        <v>437</v>
      </c>
      <c r="C33" s="12" t="s">
        <v>466</v>
      </c>
      <c r="D33" s="12" t="s">
        <v>69</v>
      </c>
      <c r="E33" s="15">
        <v>34000</v>
      </c>
      <c r="F33" s="14">
        <v>2</v>
      </c>
      <c r="G33" s="13" t="s">
        <v>1393</v>
      </c>
      <c r="H33" s="13"/>
    </row>
    <row r="34" spans="1:8" ht="16" x14ac:dyDescent="0.2">
      <c r="A34" s="12" t="s">
        <v>32</v>
      </c>
      <c r="B34" s="12" t="s">
        <v>437</v>
      </c>
      <c r="C34" s="12" t="s">
        <v>475</v>
      </c>
      <c r="D34" s="12" t="s">
        <v>69</v>
      </c>
      <c r="E34" s="15">
        <v>95060</v>
      </c>
      <c r="F34" s="14">
        <v>12</v>
      </c>
      <c r="G34" s="13" t="s">
        <v>1393</v>
      </c>
      <c r="H34" s="13"/>
    </row>
    <row r="35" spans="1:8" ht="16" x14ac:dyDescent="0.2">
      <c r="A35" s="12" t="s">
        <v>32</v>
      </c>
      <c r="B35" s="12" t="s">
        <v>437</v>
      </c>
      <c r="C35" s="12" t="s">
        <v>519</v>
      </c>
      <c r="D35" s="12" t="s">
        <v>69</v>
      </c>
      <c r="E35" s="15">
        <v>11298</v>
      </c>
      <c r="F35" s="14">
        <v>11</v>
      </c>
      <c r="G35" s="13" t="s">
        <v>1393</v>
      </c>
      <c r="H35" s="13"/>
    </row>
    <row r="36" spans="1:8" ht="16" x14ac:dyDescent="0.2">
      <c r="A36" s="12" t="s">
        <v>32</v>
      </c>
      <c r="B36" s="12" t="s">
        <v>559</v>
      </c>
      <c r="C36" s="12" t="s">
        <v>278</v>
      </c>
      <c r="D36" s="12" t="s">
        <v>69</v>
      </c>
      <c r="E36" s="15">
        <v>370390</v>
      </c>
      <c r="F36" s="14">
        <v>8</v>
      </c>
      <c r="G36" s="13" t="s">
        <v>1393</v>
      </c>
      <c r="H36" s="13"/>
    </row>
    <row r="37" spans="1:8" ht="16" x14ac:dyDescent="0.2">
      <c r="A37" s="12" t="s">
        <v>32</v>
      </c>
      <c r="B37" s="12" t="s">
        <v>559</v>
      </c>
      <c r="C37" s="12" t="s">
        <v>595</v>
      </c>
      <c r="D37" s="12" t="s">
        <v>69</v>
      </c>
      <c r="E37" s="15">
        <v>461668</v>
      </c>
      <c r="F37" s="14">
        <v>4</v>
      </c>
      <c r="G37" s="13" t="s">
        <v>1393</v>
      </c>
      <c r="H37" s="13"/>
    </row>
    <row r="38" spans="1:8" ht="16" x14ac:dyDescent="0.2">
      <c r="A38" s="12" t="s">
        <v>32</v>
      </c>
      <c r="B38" s="12" t="s">
        <v>559</v>
      </c>
      <c r="C38" s="12" t="s">
        <v>612</v>
      </c>
      <c r="D38" s="12" t="s">
        <v>69</v>
      </c>
      <c r="E38" s="15">
        <v>554790</v>
      </c>
      <c r="F38" s="14">
        <v>6</v>
      </c>
      <c r="G38" s="13" t="s">
        <v>1393</v>
      </c>
      <c r="H38" s="13"/>
    </row>
    <row r="39" spans="1:8" ht="16" x14ac:dyDescent="0.2">
      <c r="A39" s="12" t="s">
        <v>32</v>
      </c>
      <c r="B39" s="12" t="s">
        <v>559</v>
      </c>
      <c r="C39" s="12" t="s">
        <v>637</v>
      </c>
      <c r="D39" s="12" t="s">
        <v>69</v>
      </c>
      <c r="E39" s="15">
        <v>249100</v>
      </c>
      <c r="F39" s="14">
        <v>6</v>
      </c>
      <c r="G39" s="13" t="s">
        <v>1393</v>
      </c>
      <c r="H39" s="13"/>
    </row>
    <row r="40" spans="1:8" ht="16" x14ac:dyDescent="0.2">
      <c r="A40" s="12" t="s">
        <v>32</v>
      </c>
      <c r="B40" s="12" t="s">
        <v>559</v>
      </c>
      <c r="C40" s="12" t="s">
        <v>662</v>
      </c>
      <c r="D40" s="12" t="s">
        <v>69</v>
      </c>
      <c r="E40" s="15">
        <v>58520</v>
      </c>
      <c r="F40" s="14">
        <v>2</v>
      </c>
      <c r="G40" s="13" t="s">
        <v>1393</v>
      </c>
      <c r="H40" s="13"/>
    </row>
    <row r="41" spans="1:8" ht="16" x14ac:dyDescent="0.2">
      <c r="A41" s="12" t="s">
        <v>32</v>
      </c>
      <c r="B41" s="12" t="s">
        <v>559</v>
      </c>
      <c r="C41" s="12" t="s">
        <v>671</v>
      </c>
      <c r="D41" s="12" t="s">
        <v>69</v>
      </c>
      <c r="E41" s="15">
        <v>6000</v>
      </c>
      <c r="F41" s="14">
        <v>1</v>
      </c>
      <c r="G41" s="13" t="s">
        <v>1393</v>
      </c>
      <c r="H41" s="13"/>
    </row>
    <row r="42" spans="1:8" ht="16" x14ac:dyDescent="0.2">
      <c r="A42" s="12" t="s">
        <v>32</v>
      </c>
      <c r="B42" s="12" t="s">
        <v>559</v>
      </c>
      <c r="C42" s="12" t="s">
        <v>676</v>
      </c>
      <c r="D42" s="12" t="s">
        <v>69</v>
      </c>
      <c r="E42" s="15">
        <v>20801</v>
      </c>
      <c r="F42" s="14">
        <v>1</v>
      </c>
      <c r="G42" s="13" t="s">
        <v>1393</v>
      </c>
      <c r="H42" s="13"/>
    </row>
    <row r="43" spans="1:8" ht="16" x14ac:dyDescent="0.2">
      <c r="A43" s="12" t="s">
        <v>32</v>
      </c>
      <c r="B43" s="12" t="s">
        <v>681</v>
      </c>
      <c r="C43" s="12" t="s">
        <v>759</v>
      </c>
      <c r="D43" s="12" t="s">
        <v>69</v>
      </c>
      <c r="E43" s="15">
        <v>18000</v>
      </c>
      <c r="F43" s="14">
        <v>1</v>
      </c>
      <c r="G43" s="13" t="s">
        <v>1393</v>
      </c>
      <c r="H43" s="13"/>
    </row>
    <row r="44" spans="1:8" ht="16" x14ac:dyDescent="0.2">
      <c r="A44" s="12" t="s">
        <v>32</v>
      </c>
      <c r="B44" s="12" t="s">
        <v>681</v>
      </c>
      <c r="C44" s="12" t="s">
        <v>731</v>
      </c>
      <c r="D44" s="12" t="s">
        <v>69</v>
      </c>
      <c r="E44" s="15">
        <v>72000</v>
      </c>
      <c r="F44" s="14">
        <v>1</v>
      </c>
      <c r="G44" s="13" t="s">
        <v>1393</v>
      </c>
      <c r="H44" s="13"/>
    </row>
    <row r="45" spans="1:8" ht="16" x14ac:dyDescent="0.2">
      <c r="A45" s="12" t="s">
        <v>32</v>
      </c>
      <c r="B45" s="12" t="s">
        <v>681</v>
      </c>
      <c r="C45" s="12" t="s">
        <v>715</v>
      </c>
      <c r="D45" s="12" t="s">
        <v>69</v>
      </c>
      <c r="E45" s="15">
        <v>49000</v>
      </c>
      <c r="F45" s="14">
        <v>3</v>
      </c>
      <c r="G45" s="13" t="s">
        <v>1393</v>
      </c>
      <c r="H45" s="13"/>
    </row>
    <row r="46" spans="1:8" ht="16" x14ac:dyDescent="0.2">
      <c r="A46" s="12" t="s">
        <v>32</v>
      </c>
      <c r="B46" s="12" t="s">
        <v>681</v>
      </c>
      <c r="C46" s="12" t="s">
        <v>705</v>
      </c>
      <c r="D46" s="12" t="s">
        <v>69</v>
      </c>
      <c r="E46" s="15">
        <v>144000</v>
      </c>
      <c r="F46" s="14">
        <v>2</v>
      </c>
      <c r="G46" s="13" t="s">
        <v>1393</v>
      </c>
      <c r="H46" s="13"/>
    </row>
    <row r="47" spans="1:8" ht="16" x14ac:dyDescent="0.2">
      <c r="A47" s="12" t="s">
        <v>32</v>
      </c>
      <c r="B47" s="12" t="s">
        <v>681</v>
      </c>
      <c r="C47" s="12" t="s">
        <v>737</v>
      </c>
      <c r="D47" s="12" t="s">
        <v>69</v>
      </c>
      <c r="E47" s="15">
        <v>108000</v>
      </c>
      <c r="F47" s="14">
        <v>1</v>
      </c>
      <c r="G47" s="13" t="s">
        <v>1393</v>
      </c>
      <c r="H47" s="13"/>
    </row>
    <row r="48" spans="1:8" ht="16" x14ac:dyDescent="0.2">
      <c r="A48" s="12" t="s">
        <v>32</v>
      </c>
      <c r="B48" s="12" t="s">
        <v>681</v>
      </c>
      <c r="C48" s="12" t="s">
        <v>682</v>
      </c>
      <c r="D48" s="12" t="s">
        <v>69</v>
      </c>
      <c r="E48" s="15">
        <v>435200</v>
      </c>
      <c r="F48" s="14">
        <v>3</v>
      </c>
      <c r="G48" s="13" t="s">
        <v>1393</v>
      </c>
      <c r="H48" s="13"/>
    </row>
    <row r="49" spans="1:8" ht="16" x14ac:dyDescent="0.2">
      <c r="A49" s="12" t="s">
        <v>32</v>
      </c>
      <c r="B49" s="12" t="s">
        <v>681</v>
      </c>
      <c r="C49" s="12" t="s">
        <v>753</v>
      </c>
      <c r="D49" s="12" t="s">
        <v>69</v>
      </c>
      <c r="E49" s="15">
        <v>24295</v>
      </c>
      <c r="F49" s="14">
        <v>1</v>
      </c>
      <c r="G49" s="13" t="s">
        <v>1393</v>
      </c>
      <c r="H49" s="13"/>
    </row>
    <row r="50" spans="1:8" ht="16" x14ac:dyDescent="0.2">
      <c r="A50" s="12" t="s">
        <v>32</v>
      </c>
      <c r="B50" s="12" t="s">
        <v>681</v>
      </c>
      <c r="C50" s="12" t="s">
        <v>696</v>
      </c>
      <c r="D50" s="12" t="s">
        <v>69</v>
      </c>
      <c r="E50" s="15">
        <v>163600</v>
      </c>
      <c r="F50" s="14">
        <v>4</v>
      </c>
      <c r="G50" s="13" t="s">
        <v>1393</v>
      </c>
      <c r="H50" s="13"/>
    </row>
    <row r="51" spans="1:8" ht="16" x14ac:dyDescent="0.2">
      <c r="A51" s="12" t="s">
        <v>32</v>
      </c>
      <c r="B51" s="12" t="s">
        <v>764</v>
      </c>
      <c r="C51" s="12" t="s">
        <v>766</v>
      </c>
      <c r="D51" s="12" t="s">
        <v>69</v>
      </c>
      <c r="E51" s="15">
        <v>333400</v>
      </c>
      <c r="F51" s="14">
        <v>3</v>
      </c>
      <c r="G51" s="13" t="s">
        <v>1393</v>
      </c>
      <c r="H51" s="13"/>
    </row>
    <row r="52" spans="1:8" ht="16" x14ac:dyDescent="0.2">
      <c r="A52" s="12" t="s">
        <v>32</v>
      </c>
      <c r="B52" s="12" t="s">
        <v>764</v>
      </c>
      <c r="C52" s="12" t="s">
        <v>816</v>
      </c>
      <c r="D52" s="12" t="s">
        <v>69</v>
      </c>
      <c r="E52" s="15">
        <v>12000</v>
      </c>
      <c r="F52" s="14">
        <v>1</v>
      </c>
      <c r="G52" s="13" t="s">
        <v>1393</v>
      </c>
      <c r="H52" s="13"/>
    </row>
    <row r="53" spans="1:8" ht="16" x14ac:dyDescent="0.2">
      <c r="A53" s="12" t="s">
        <v>32</v>
      </c>
      <c r="B53" s="12" t="s">
        <v>764</v>
      </c>
      <c r="C53" s="12" t="s">
        <v>778</v>
      </c>
      <c r="D53" s="12" t="s">
        <v>69</v>
      </c>
      <c r="E53" s="15">
        <v>173800</v>
      </c>
      <c r="F53" s="14">
        <v>3</v>
      </c>
      <c r="G53" s="13" t="s">
        <v>1393</v>
      </c>
      <c r="H53" s="13"/>
    </row>
    <row r="54" spans="1:8" ht="16" x14ac:dyDescent="0.2">
      <c r="A54" s="12" t="s">
        <v>32</v>
      </c>
      <c r="B54" s="12" t="s">
        <v>764</v>
      </c>
      <c r="C54" s="12" t="s">
        <v>827</v>
      </c>
      <c r="D54" s="12" t="s">
        <v>69</v>
      </c>
      <c r="E54" s="15">
        <v>8000</v>
      </c>
      <c r="F54" s="14">
        <v>1</v>
      </c>
      <c r="G54" s="13" t="s">
        <v>1393</v>
      </c>
      <c r="H54" s="13"/>
    </row>
    <row r="55" spans="1:8" ht="16" x14ac:dyDescent="0.2">
      <c r="A55" s="12" t="s">
        <v>32</v>
      </c>
      <c r="B55" s="12" t="s">
        <v>764</v>
      </c>
      <c r="C55" s="12" t="s">
        <v>833</v>
      </c>
      <c r="D55" s="12" t="s">
        <v>69</v>
      </c>
      <c r="E55" s="15">
        <v>15486</v>
      </c>
      <c r="F55" s="14">
        <v>1</v>
      </c>
      <c r="G55" s="13" t="s">
        <v>1393</v>
      </c>
      <c r="H55" s="13"/>
    </row>
    <row r="56" spans="1:8" ht="16" x14ac:dyDescent="0.2">
      <c r="A56" s="12" t="s">
        <v>32</v>
      </c>
      <c r="B56" s="12" t="s">
        <v>764</v>
      </c>
      <c r="C56" s="12" t="s">
        <v>789</v>
      </c>
      <c r="D56" s="12" t="s">
        <v>69</v>
      </c>
      <c r="E56" s="15">
        <v>80250</v>
      </c>
      <c r="F56" s="14">
        <v>3</v>
      </c>
      <c r="G56" s="13" t="s">
        <v>1393</v>
      </c>
      <c r="H56" s="13"/>
    </row>
    <row r="57" spans="1:8" ht="16" x14ac:dyDescent="0.2">
      <c r="A57" s="12" t="s">
        <v>32</v>
      </c>
      <c r="B57" s="12" t="s">
        <v>764</v>
      </c>
      <c r="C57" s="12" t="s">
        <v>800</v>
      </c>
      <c r="D57" s="12" t="s">
        <v>69</v>
      </c>
      <c r="E57" s="15">
        <v>20000</v>
      </c>
      <c r="F57" s="14">
        <v>1</v>
      </c>
      <c r="G57" s="13" t="s">
        <v>1393</v>
      </c>
      <c r="H57" s="13"/>
    </row>
    <row r="58" spans="1:8" ht="16" x14ac:dyDescent="0.2">
      <c r="A58" s="12" t="s">
        <v>32</v>
      </c>
      <c r="B58" s="12" t="s">
        <v>838</v>
      </c>
      <c r="C58" s="12" t="s">
        <v>864</v>
      </c>
      <c r="D58" s="12" t="s">
        <v>69</v>
      </c>
      <c r="E58" s="15">
        <v>5000</v>
      </c>
      <c r="F58" s="14">
        <v>1</v>
      </c>
      <c r="G58" s="13" t="s">
        <v>1393</v>
      </c>
      <c r="H58" s="13"/>
    </row>
    <row r="59" spans="1:8" ht="16" x14ac:dyDescent="0.2">
      <c r="A59" s="12" t="s">
        <v>32</v>
      </c>
      <c r="B59" s="12" t="s">
        <v>838</v>
      </c>
      <c r="C59" s="12" t="s">
        <v>847</v>
      </c>
      <c r="D59" s="12" t="s">
        <v>69</v>
      </c>
      <c r="E59" s="15">
        <v>18000</v>
      </c>
      <c r="F59" s="14">
        <v>1</v>
      </c>
      <c r="G59" s="13" t="s">
        <v>1393</v>
      </c>
      <c r="H59" s="13"/>
    </row>
    <row r="60" spans="1:8" ht="16" x14ac:dyDescent="0.2">
      <c r="A60" s="12" t="s">
        <v>32</v>
      </c>
      <c r="B60" s="12" t="s">
        <v>838</v>
      </c>
      <c r="C60" s="12" t="s">
        <v>853</v>
      </c>
      <c r="D60" s="12" t="s">
        <v>69</v>
      </c>
      <c r="E60" s="15">
        <v>16000</v>
      </c>
      <c r="F60" s="14">
        <v>1</v>
      </c>
      <c r="G60" s="13" t="s">
        <v>1393</v>
      </c>
      <c r="H60" s="13"/>
    </row>
    <row r="61" spans="1:8" ht="16" x14ac:dyDescent="0.2">
      <c r="A61" s="12" t="s">
        <v>32</v>
      </c>
      <c r="B61" s="12" t="s">
        <v>838</v>
      </c>
      <c r="C61" s="12" t="s">
        <v>840</v>
      </c>
      <c r="D61" s="12" t="s">
        <v>69</v>
      </c>
      <c r="E61" s="15">
        <v>162000</v>
      </c>
      <c r="F61" s="14">
        <v>2</v>
      </c>
      <c r="G61" s="13" t="s">
        <v>1393</v>
      </c>
      <c r="H61" s="13"/>
    </row>
    <row r="62" spans="1:8" ht="16" x14ac:dyDescent="0.2">
      <c r="A62" s="12" t="s">
        <v>33</v>
      </c>
      <c r="B62" s="12" t="s">
        <v>869</v>
      </c>
      <c r="C62" s="12" t="s">
        <v>870</v>
      </c>
      <c r="D62" s="12" t="s">
        <v>69</v>
      </c>
      <c r="E62" s="15">
        <v>13500</v>
      </c>
      <c r="F62" s="14">
        <v>1</v>
      </c>
      <c r="G62" s="13" t="s">
        <v>1393</v>
      </c>
      <c r="H62" s="13"/>
    </row>
    <row r="63" spans="1:8" ht="16" x14ac:dyDescent="0.2">
      <c r="A63" s="12" t="s">
        <v>33</v>
      </c>
      <c r="B63" s="12" t="s">
        <v>869</v>
      </c>
      <c r="C63" s="12" t="s">
        <v>876</v>
      </c>
      <c r="D63" s="12" t="s">
        <v>69</v>
      </c>
      <c r="E63" s="15">
        <v>5000</v>
      </c>
      <c r="F63" s="14">
        <v>1</v>
      </c>
      <c r="G63" s="13" t="s">
        <v>1393</v>
      </c>
      <c r="H63" s="13"/>
    </row>
    <row r="64" spans="1:8" ht="16" x14ac:dyDescent="0.2">
      <c r="A64" s="12" t="s">
        <v>33</v>
      </c>
      <c r="B64" s="12" t="s">
        <v>881</v>
      </c>
      <c r="C64" s="12" t="s">
        <v>882</v>
      </c>
      <c r="D64" s="12" t="s">
        <v>69</v>
      </c>
      <c r="E64" s="15">
        <v>32010</v>
      </c>
      <c r="F64" s="14">
        <v>2</v>
      </c>
      <c r="G64" s="13" t="s">
        <v>1393</v>
      </c>
      <c r="H64" s="13"/>
    </row>
    <row r="65" spans="1:8" ht="16" x14ac:dyDescent="0.2">
      <c r="A65" s="12" t="s">
        <v>33</v>
      </c>
      <c r="B65" s="12" t="s">
        <v>881</v>
      </c>
      <c r="C65" s="12" t="s">
        <v>919</v>
      </c>
      <c r="D65" s="12" t="s">
        <v>69</v>
      </c>
      <c r="E65" s="15">
        <v>74500</v>
      </c>
      <c r="F65" s="14">
        <v>3</v>
      </c>
      <c r="G65" s="13" t="s">
        <v>1393</v>
      </c>
      <c r="H65" s="13"/>
    </row>
    <row r="66" spans="1:8" ht="16" x14ac:dyDescent="0.2">
      <c r="A66" s="12" t="s">
        <v>33</v>
      </c>
      <c r="B66" s="12" t="s">
        <v>881</v>
      </c>
      <c r="C66" s="12" t="s">
        <v>947</v>
      </c>
      <c r="D66" s="12" t="s">
        <v>69</v>
      </c>
      <c r="E66" s="15">
        <v>11514</v>
      </c>
      <c r="F66" s="14">
        <v>1</v>
      </c>
      <c r="G66" s="13" t="s">
        <v>1393</v>
      </c>
      <c r="H66" s="13"/>
    </row>
    <row r="67" spans="1:8" ht="16" x14ac:dyDescent="0.2">
      <c r="A67" s="12" t="s">
        <v>33</v>
      </c>
      <c r="B67" s="12" t="s">
        <v>881</v>
      </c>
      <c r="C67" s="12" t="s">
        <v>914</v>
      </c>
      <c r="D67" s="12" t="s">
        <v>69</v>
      </c>
      <c r="E67" s="15">
        <v>22000</v>
      </c>
      <c r="F67" s="14">
        <v>1</v>
      </c>
      <c r="G67" s="13" t="s">
        <v>1393</v>
      </c>
      <c r="H67" s="13"/>
    </row>
    <row r="68" spans="1:8" ht="16" x14ac:dyDescent="0.2">
      <c r="A68" s="12" t="s">
        <v>33</v>
      </c>
      <c r="B68" s="12" t="s">
        <v>881</v>
      </c>
      <c r="C68" s="12" t="s">
        <v>893</v>
      </c>
      <c r="D68" s="12" t="s">
        <v>69</v>
      </c>
      <c r="E68" s="15">
        <v>178038</v>
      </c>
      <c r="F68" s="14">
        <v>5</v>
      </c>
      <c r="G68" s="13" t="s">
        <v>1393</v>
      </c>
      <c r="H68" s="13"/>
    </row>
    <row r="69" spans="1:8" ht="16" x14ac:dyDescent="0.2">
      <c r="A69" s="12" t="s">
        <v>33</v>
      </c>
      <c r="B69" s="12" t="s">
        <v>881</v>
      </c>
      <c r="C69" s="12" t="s">
        <v>932</v>
      </c>
      <c r="D69" s="12" t="s">
        <v>69</v>
      </c>
      <c r="E69" s="15">
        <v>110000</v>
      </c>
      <c r="F69" s="14">
        <v>1</v>
      </c>
      <c r="G69" s="13" t="s">
        <v>1393</v>
      </c>
      <c r="H69" s="13"/>
    </row>
    <row r="70" spans="1:8" ht="16" x14ac:dyDescent="0.2">
      <c r="A70" s="12" t="s">
        <v>33</v>
      </c>
      <c r="B70" s="12" t="s">
        <v>881</v>
      </c>
      <c r="C70" s="12" t="s">
        <v>942</v>
      </c>
      <c r="D70" s="12" t="s">
        <v>69</v>
      </c>
      <c r="E70" s="15">
        <v>32000</v>
      </c>
      <c r="F70" s="14">
        <v>1</v>
      </c>
      <c r="G70" s="13" t="s">
        <v>1393</v>
      </c>
      <c r="H70" s="13"/>
    </row>
    <row r="71" spans="1:8" ht="16" x14ac:dyDescent="0.2">
      <c r="A71" s="12" t="s">
        <v>33</v>
      </c>
      <c r="B71" s="12" t="s">
        <v>881</v>
      </c>
      <c r="C71" s="12" t="s">
        <v>937</v>
      </c>
      <c r="D71" s="12" t="s">
        <v>69</v>
      </c>
      <c r="E71" s="15">
        <v>12000</v>
      </c>
      <c r="F71" s="14">
        <v>1</v>
      </c>
      <c r="G71" s="13" t="s">
        <v>1393</v>
      </c>
      <c r="H71" s="13"/>
    </row>
    <row r="72" spans="1:8" ht="16" x14ac:dyDescent="0.2">
      <c r="A72" s="12" t="s">
        <v>33</v>
      </c>
      <c r="B72" s="12" t="s">
        <v>952</v>
      </c>
      <c r="C72" s="12" t="s">
        <v>964</v>
      </c>
      <c r="D72" s="12" t="s">
        <v>69</v>
      </c>
      <c r="E72" s="15">
        <v>390000</v>
      </c>
      <c r="F72" s="14">
        <v>3</v>
      </c>
      <c r="G72" s="13" t="s">
        <v>1393</v>
      </c>
      <c r="H72" s="13"/>
    </row>
    <row r="73" spans="1:8" ht="16" x14ac:dyDescent="0.2">
      <c r="A73" s="12" t="s">
        <v>33</v>
      </c>
      <c r="B73" s="12" t="s">
        <v>952</v>
      </c>
      <c r="C73" s="12" t="s">
        <v>953</v>
      </c>
      <c r="D73" s="12" t="s">
        <v>69</v>
      </c>
      <c r="E73" s="15">
        <v>200000</v>
      </c>
      <c r="F73" s="14">
        <v>2</v>
      </c>
      <c r="G73" s="13" t="s">
        <v>1393</v>
      </c>
      <c r="H73" s="13"/>
    </row>
    <row r="74" spans="1:8" ht="16" x14ac:dyDescent="0.2">
      <c r="A74" s="12" t="s">
        <v>33</v>
      </c>
      <c r="B74" s="12" t="s">
        <v>952</v>
      </c>
      <c r="C74" s="12" t="s">
        <v>959</v>
      </c>
      <c r="D74" s="12" t="s">
        <v>69</v>
      </c>
      <c r="E74" s="15">
        <v>208000</v>
      </c>
      <c r="F74" s="14">
        <v>2</v>
      </c>
      <c r="G74" s="13" t="s">
        <v>1393</v>
      </c>
      <c r="H74" s="13"/>
    </row>
    <row r="75" spans="1:8" ht="16" x14ac:dyDescent="0.2">
      <c r="A75" s="12" t="s">
        <v>33</v>
      </c>
      <c r="B75" s="12" t="s">
        <v>952</v>
      </c>
      <c r="C75" s="12" t="s">
        <v>973</v>
      </c>
      <c r="D75" s="12" t="s">
        <v>69</v>
      </c>
      <c r="E75" s="15">
        <v>83230</v>
      </c>
      <c r="F75" s="14">
        <v>4</v>
      </c>
      <c r="G75" s="13" t="s">
        <v>1393</v>
      </c>
      <c r="H75" s="13"/>
    </row>
    <row r="76" spans="1:8" ht="16" x14ac:dyDescent="0.2">
      <c r="A76" s="12" t="s">
        <v>33</v>
      </c>
      <c r="B76" s="12" t="s">
        <v>952</v>
      </c>
      <c r="C76" s="12" t="s">
        <v>990</v>
      </c>
      <c r="D76" s="12" t="s">
        <v>69</v>
      </c>
      <c r="E76" s="15">
        <v>3150</v>
      </c>
      <c r="F76" s="14">
        <v>2</v>
      </c>
      <c r="G76" s="13" t="s">
        <v>1393</v>
      </c>
      <c r="H76" s="13"/>
    </row>
    <row r="77" spans="1:8" ht="16" x14ac:dyDescent="0.2">
      <c r="A77" s="12" t="s">
        <v>33</v>
      </c>
      <c r="B77" s="12" t="s">
        <v>952</v>
      </c>
      <c r="C77" s="12" t="s">
        <v>999</v>
      </c>
      <c r="D77" s="12" t="s">
        <v>69</v>
      </c>
      <c r="E77" s="15">
        <v>12000</v>
      </c>
      <c r="F77" s="14">
        <v>1</v>
      </c>
      <c r="G77" s="13" t="s">
        <v>1393</v>
      </c>
      <c r="H77" s="13"/>
    </row>
    <row r="78" spans="1:8" ht="16" x14ac:dyDescent="0.2">
      <c r="A78" s="12" t="s">
        <v>33</v>
      </c>
      <c r="B78" s="12" t="s">
        <v>1016</v>
      </c>
      <c r="C78" s="12" t="s">
        <v>1111</v>
      </c>
      <c r="D78" s="12" t="s">
        <v>69</v>
      </c>
      <c r="E78" s="15">
        <v>3730</v>
      </c>
      <c r="F78" s="14">
        <v>1</v>
      </c>
      <c r="G78" s="13" t="s">
        <v>1393</v>
      </c>
      <c r="H78" s="13"/>
    </row>
    <row r="79" spans="1:8" ht="16" x14ac:dyDescent="0.2">
      <c r="A79" s="12" t="s">
        <v>33</v>
      </c>
      <c r="B79" s="12" t="s">
        <v>1016</v>
      </c>
      <c r="C79" s="12" t="s">
        <v>1018</v>
      </c>
      <c r="D79" s="12" t="s">
        <v>69</v>
      </c>
      <c r="E79" s="15">
        <v>41000</v>
      </c>
      <c r="F79" s="14">
        <v>4</v>
      </c>
      <c r="G79" s="13" t="s">
        <v>1393</v>
      </c>
      <c r="H79" s="13"/>
    </row>
    <row r="80" spans="1:8" ht="16" x14ac:dyDescent="0.2">
      <c r="A80" s="12" t="s">
        <v>33</v>
      </c>
      <c r="B80" s="12" t="s">
        <v>1016</v>
      </c>
      <c r="C80" s="12" t="s">
        <v>1040</v>
      </c>
      <c r="D80" s="12" t="s">
        <v>69</v>
      </c>
      <c r="E80" s="15">
        <v>31000</v>
      </c>
      <c r="F80" s="14">
        <v>2</v>
      </c>
      <c r="G80" s="13" t="s">
        <v>1393</v>
      </c>
      <c r="H80" s="13"/>
    </row>
    <row r="81" spans="1:8" ht="16" x14ac:dyDescent="0.2">
      <c r="A81" s="12" t="s">
        <v>33</v>
      </c>
      <c r="B81" s="12" t="s">
        <v>1016</v>
      </c>
      <c r="C81" s="12" t="s">
        <v>1051</v>
      </c>
      <c r="D81" s="12" t="s">
        <v>69</v>
      </c>
      <c r="E81" s="15">
        <v>16800</v>
      </c>
      <c r="F81" s="14">
        <v>1</v>
      </c>
      <c r="G81" s="13" t="s">
        <v>1393</v>
      </c>
      <c r="H81" s="13"/>
    </row>
    <row r="82" spans="1:8" ht="16" x14ac:dyDescent="0.2">
      <c r="A82" s="12" t="s">
        <v>33</v>
      </c>
      <c r="B82" s="12" t="s">
        <v>1016</v>
      </c>
      <c r="C82" s="12" t="s">
        <v>1057</v>
      </c>
      <c r="D82" s="12" t="s">
        <v>69</v>
      </c>
      <c r="E82" s="15">
        <v>38400</v>
      </c>
      <c r="F82" s="14">
        <v>2</v>
      </c>
      <c r="G82" s="13" t="s">
        <v>1393</v>
      </c>
      <c r="H82" s="13"/>
    </row>
    <row r="83" spans="1:8" ht="16" x14ac:dyDescent="0.2">
      <c r="A83" s="12" t="s">
        <v>33</v>
      </c>
      <c r="B83" s="12" t="s">
        <v>1016</v>
      </c>
      <c r="C83" s="12" t="s">
        <v>1068</v>
      </c>
      <c r="D83" s="12" t="s">
        <v>69</v>
      </c>
      <c r="E83" s="15">
        <v>12000</v>
      </c>
      <c r="F83" s="14">
        <v>1</v>
      </c>
      <c r="G83" s="13" t="s">
        <v>1393</v>
      </c>
      <c r="H83" s="13"/>
    </row>
    <row r="84" spans="1:8" ht="16" x14ac:dyDescent="0.2">
      <c r="A84" s="12" t="s">
        <v>33</v>
      </c>
      <c r="B84" s="12" t="s">
        <v>1016</v>
      </c>
      <c r="C84" s="12" t="s">
        <v>1074</v>
      </c>
      <c r="D84" s="12" t="s">
        <v>69</v>
      </c>
      <c r="E84" s="15">
        <v>10000</v>
      </c>
      <c r="F84" s="14">
        <v>1</v>
      </c>
      <c r="G84" s="13" t="s">
        <v>1393</v>
      </c>
      <c r="H84" s="13"/>
    </row>
    <row r="85" spans="1:8" ht="16" x14ac:dyDescent="0.2">
      <c r="A85" s="12" t="s">
        <v>33</v>
      </c>
      <c r="B85" s="12" t="s">
        <v>1016</v>
      </c>
      <c r="C85" s="12" t="s">
        <v>1080</v>
      </c>
      <c r="D85" s="12" t="s">
        <v>69</v>
      </c>
      <c r="E85" s="15">
        <v>35000</v>
      </c>
      <c r="F85" s="14">
        <v>1</v>
      </c>
      <c r="G85" s="13" t="s">
        <v>1393</v>
      </c>
      <c r="H85" s="13"/>
    </row>
    <row r="86" spans="1:8" ht="16" x14ac:dyDescent="0.2">
      <c r="A86" s="12" t="s">
        <v>33</v>
      </c>
      <c r="B86" s="12" t="s">
        <v>1016</v>
      </c>
      <c r="C86" s="12" t="s">
        <v>1086</v>
      </c>
      <c r="D86" s="12" t="s">
        <v>69</v>
      </c>
      <c r="E86" s="15">
        <v>39000</v>
      </c>
      <c r="F86" s="14">
        <v>5</v>
      </c>
      <c r="G86" s="13" t="s">
        <v>1393</v>
      </c>
      <c r="H86" s="13"/>
    </row>
    <row r="87" spans="1:8" ht="16" x14ac:dyDescent="0.2">
      <c r="A87" s="12" t="s">
        <v>33</v>
      </c>
      <c r="B87" s="12" t="s">
        <v>1116</v>
      </c>
      <c r="C87" s="12" t="s">
        <v>1117</v>
      </c>
      <c r="D87" s="12" t="s">
        <v>69</v>
      </c>
      <c r="E87" s="15">
        <v>26500</v>
      </c>
      <c r="F87" s="14">
        <v>2</v>
      </c>
      <c r="G87" s="13" t="s">
        <v>1393</v>
      </c>
      <c r="H87" s="13"/>
    </row>
    <row r="88" spans="1:8" ht="16" x14ac:dyDescent="0.2">
      <c r="A88" s="12" t="s">
        <v>33</v>
      </c>
      <c r="B88" s="12" t="s">
        <v>1116</v>
      </c>
      <c r="C88" s="12" t="s">
        <v>1123</v>
      </c>
      <c r="D88" s="12" t="s">
        <v>69</v>
      </c>
      <c r="E88" s="15">
        <v>16970</v>
      </c>
      <c r="F88" s="14">
        <v>3</v>
      </c>
      <c r="G88" s="13" t="s">
        <v>1393</v>
      </c>
      <c r="H88" s="13"/>
    </row>
    <row r="89" spans="1:8" ht="16" x14ac:dyDescent="0.2">
      <c r="A89" s="12" t="s">
        <v>34</v>
      </c>
      <c r="B89" s="12" t="s">
        <v>1140</v>
      </c>
      <c r="C89" s="12" t="s">
        <v>1149</v>
      </c>
      <c r="D89" s="12" t="s">
        <v>69</v>
      </c>
      <c r="E89" s="15">
        <v>10000</v>
      </c>
      <c r="F89" s="14">
        <v>1</v>
      </c>
      <c r="G89" s="13" t="s">
        <v>1393</v>
      </c>
      <c r="H89" s="13"/>
    </row>
    <row r="90" spans="1:8" ht="16" x14ac:dyDescent="0.2">
      <c r="A90" s="12" t="s">
        <v>34</v>
      </c>
      <c r="B90" s="12" t="s">
        <v>1140</v>
      </c>
      <c r="C90" s="12" t="s">
        <v>1142</v>
      </c>
      <c r="D90" s="12" t="s">
        <v>69</v>
      </c>
      <c r="E90" s="15">
        <v>192000</v>
      </c>
      <c r="F90" s="14">
        <v>1</v>
      </c>
      <c r="G90" s="13" t="s">
        <v>1393</v>
      </c>
      <c r="H90" s="13"/>
    </row>
    <row r="91" spans="1:8" ht="16" x14ac:dyDescent="0.2">
      <c r="A91" s="12" t="s">
        <v>34</v>
      </c>
      <c r="B91" s="12" t="s">
        <v>1154</v>
      </c>
      <c r="C91" s="12" t="s">
        <v>1178</v>
      </c>
      <c r="D91" s="12" t="s">
        <v>69</v>
      </c>
      <c r="E91" s="15">
        <v>13776</v>
      </c>
      <c r="F91" s="14">
        <v>2</v>
      </c>
      <c r="G91" s="13" t="s">
        <v>1393</v>
      </c>
      <c r="H91" s="13"/>
    </row>
    <row r="92" spans="1:8" ht="16" x14ac:dyDescent="0.2">
      <c r="A92" s="12" t="s">
        <v>34</v>
      </c>
      <c r="B92" s="12" t="s">
        <v>1154</v>
      </c>
      <c r="C92" s="12" t="s">
        <v>1184</v>
      </c>
      <c r="D92" s="12" t="s">
        <v>69</v>
      </c>
      <c r="E92" s="15">
        <v>1286</v>
      </c>
      <c r="F92" s="14">
        <v>2</v>
      </c>
      <c r="G92" s="13" t="s">
        <v>1393</v>
      </c>
      <c r="H92" s="13"/>
    </row>
    <row r="93" spans="1:8" ht="16" x14ac:dyDescent="0.2">
      <c r="A93" s="12" t="s">
        <v>34</v>
      </c>
      <c r="B93" s="12" t="s">
        <v>1154</v>
      </c>
      <c r="C93" s="12" t="s">
        <v>1156</v>
      </c>
      <c r="D93" s="12" t="s">
        <v>69</v>
      </c>
      <c r="E93" s="15">
        <v>36750</v>
      </c>
      <c r="F93" s="14">
        <v>8</v>
      </c>
      <c r="G93" s="13" t="s">
        <v>1393</v>
      </c>
      <c r="H93" s="13"/>
    </row>
    <row r="94" spans="1:8" ht="16" x14ac:dyDescent="0.2">
      <c r="A94" s="12" t="s">
        <v>34</v>
      </c>
      <c r="B94" s="12" t="s">
        <v>1218</v>
      </c>
      <c r="C94" s="12" t="s">
        <v>1245</v>
      </c>
      <c r="D94" s="12" t="s">
        <v>69</v>
      </c>
      <c r="E94" s="15">
        <v>11140</v>
      </c>
      <c r="F94" s="14">
        <v>2</v>
      </c>
      <c r="G94" s="13" t="s">
        <v>1393</v>
      </c>
      <c r="H94" s="13"/>
    </row>
    <row r="95" spans="1:8" ht="16" x14ac:dyDescent="0.2">
      <c r="A95" s="12" t="s">
        <v>34</v>
      </c>
      <c r="B95" s="12" t="s">
        <v>1218</v>
      </c>
      <c r="C95" s="12" t="s">
        <v>1178</v>
      </c>
      <c r="D95" s="12" t="s">
        <v>69</v>
      </c>
      <c r="E95" s="15">
        <v>75514</v>
      </c>
      <c r="F95" s="14">
        <v>5</v>
      </c>
      <c r="G95" s="13" t="s">
        <v>1393</v>
      </c>
      <c r="H95" s="13"/>
    </row>
    <row r="96" spans="1:8" ht="16" x14ac:dyDescent="0.2">
      <c r="A96" s="12" t="s">
        <v>34</v>
      </c>
      <c r="B96" s="12" t="s">
        <v>1218</v>
      </c>
      <c r="C96" s="12" t="s">
        <v>1219</v>
      </c>
      <c r="D96" s="12" t="s">
        <v>69</v>
      </c>
      <c r="E96" s="15">
        <v>63600</v>
      </c>
      <c r="F96" s="14">
        <v>2</v>
      </c>
      <c r="G96" s="13" t="s">
        <v>1393</v>
      </c>
      <c r="H96" s="13"/>
    </row>
    <row r="97" spans="1:8" ht="16" x14ac:dyDescent="0.2">
      <c r="A97" s="12" t="s">
        <v>34</v>
      </c>
      <c r="B97" s="12" t="s">
        <v>1218</v>
      </c>
      <c r="C97" s="12" t="s">
        <v>1240</v>
      </c>
      <c r="D97" s="12" t="s">
        <v>69</v>
      </c>
      <c r="E97" s="15">
        <v>6684</v>
      </c>
      <c r="F97" s="14">
        <v>1</v>
      </c>
      <c r="G97" s="13" t="s">
        <v>1393</v>
      </c>
      <c r="H97" s="13"/>
    </row>
    <row r="98" spans="1:8" ht="16" x14ac:dyDescent="0.2">
      <c r="A98" s="12" t="s">
        <v>34</v>
      </c>
      <c r="B98" s="12" t="s">
        <v>1262</v>
      </c>
      <c r="C98" s="12" t="s">
        <v>1271</v>
      </c>
      <c r="D98" s="12" t="s">
        <v>69</v>
      </c>
      <c r="E98" s="15">
        <v>18000</v>
      </c>
      <c r="F98" s="14">
        <v>1</v>
      </c>
      <c r="G98" s="13" t="s">
        <v>1393</v>
      </c>
      <c r="H98" s="13"/>
    </row>
    <row r="99" spans="1:8" ht="16" x14ac:dyDescent="0.2">
      <c r="A99" s="12" t="s">
        <v>34</v>
      </c>
      <c r="B99" s="12" t="s">
        <v>1262</v>
      </c>
      <c r="C99" s="12" t="s">
        <v>1264</v>
      </c>
      <c r="D99" s="12" t="s">
        <v>69</v>
      </c>
      <c r="E99" s="15">
        <v>36000</v>
      </c>
      <c r="F99" s="14">
        <v>1</v>
      </c>
      <c r="G99" s="13" t="s">
        <v>1393</v>
      </c>
      <c r="H99" s="13"/>
    </row>
    <row r="100" spans="1:8" ht="16" x14ac:dyDescent="0.2">
      <c r="A100" s="12" t="s">
        <v>35</v>
      </c>
      <c r="B100" s="12" t="s">
        <v>1276</v>
      </c>
      <c r="C100" s="12" t="s">
        <v>1291</v>
      </c>
      <c r="D100" s="12" t="s">
        <v>69</v>
      </c>
      <c r="E100" s="15">
        <v>12000</v>
      </c>
      <c r="F100" s="14">
        <v>1</v>
      </c>
      <c r="G100" s="13" t="s">
        <v>1393</v>
      </c>
      <c r="H100" s="13"/>
    </row>
    <row r="101" spans="1:8" ht="16" x14ac:dyDescent="0.2">
      <c r="A101" s="12" t="s">
        <v>35</v>
      </c>
      <c r="B101" s="12" t="s">
        <v>1276</v>
      </c>
      <c r="C101" s="12" t="s">
        <v>1278</v>
      </c>
      <c r="D101" s="12" t="s">
        <v>69</v>
      </c>
      <c r="E101" s="15">
        <v>95000</v>
      </c>
      <c r="F101" s="14">
        <v>1</v>
      </c>
      <c r="G101" s="13" t="s">
        <v>1393</v>
      </c>
      <c r="H101" s="13"/>
    </row>
    <row r="102" spans="1:8" ht="16" x14ac:dyDescent="0.2">
      <c r="A102" s="12" t="s">
        <v>35</v>
      </c>
      <c r="B102" s="12" t="s">
        <v>1276</v>
      </c>
      <c r="C102" s="12" t="s">
        <v>1285</v>
      </c>
      <c r="D102" s="12" t="s">
        <v>69</v>
      </c>
      <c r="E102" s="15">
        <v>16000</v>
      </c>
      <c r="F102" s="14">
        <v>1</v>
      </c>
      <c r="G102" s="13" t="s">
        <v>1393</v>
      </c>
      <c r="H102" s="13"/>
    </row>
    <row r="103" spans="1:8" ht="16" x14ac:dyDescent="0.2">
      <c r="A103" s="12" t="s">
        <v>35</v>
      </c>
      <c r="B103" s="12" t="s">
        <v>1296</v>
      </c>
      <c r="C103" s="12" t="s">
        <v>1304</v>
      </c>
      <c r="D103" s="12" t="s">
        <v>69</v>
      </c>
      <c r="E103" s="15">
        <v>8000</v>
      </c>
      <c r="F103" s="14">
        <v>1</v>
      </c>
      <c r="G103" s="13" t="s">
        <v>1393</v>
      </c>
      <c r="H103" s="13"/>
    </row>
    <row r="104" spans="1:8" ht="16" x14ac:dyDescent="0.2">
      <c r="A104" s="12" t="s">
        <v>35</v>
      </c>
      <c r="B104" s="12" t="s">
        <v>1296</v>
      </c>
      <c r="C104" s="12" t="s">
        <v>1264</v>
      </c>
      <c r="D104" s="12" t="s">
        <v>69</v>
      </c>
      <c r="E104" s="15">
        <v>90000</v>
      </c>
      <c r="F104" s="14">
        <v>1</v>
      </c>
      <c r="G104" s="13" t="s">
        <v>1393</v>
      </c>
      <c r="H104" s="13"/>
    </row>
    <row r="105" spans="1:8" ht="16" x14ac:dyDescent="0.2">
      <c r="A105" s="12" t="s">
        <v>35</v>
      </c>
      <c r="B105" s="12" t="s">
        <v>1309</v>
      </c>
      <c r="C105" s="12" t="s">
        <v>1311</v>
      </c>
      <c r="D105" s="12" t="s">
        <v>69</v>
      </c>
      <c r="E105" s="15">
        <v>45000</v>
      </c>
      <c r="F105" s="14">
        <v>1</v>
      </c>
      <c r="G105" s="13" t="s">
        <v>1393</v>
      </c>
      <c r="H105" s="13"/>
    </row>
    <row r="106" spans="1:8" ht="16" x14ac:dyDescent="0.2">
      <c r="A106" s="12" t="s">
        <v>35</v>
      </c>
      <c r="B106" s="12" t="s">
        <v>1317</v>
      </c>
      <c r="C106" s="12" t="s">
        <v>1319</v>
      </c>
      <c r="D106" s="12" t="s">
        <v>69</v>
      </c>
      <c r="E106" s="15">
        <v>50000</v>
      </c>
      <c r="F106" s="14">
        <v>1</v>
      </c>
      <c r="G106" s="13" t="s">
        <v>1393</v>
      </c>
      <c r="H106" s="13"/>
    </row>
    <row r="107" spans="1:8" ht="16" x14ac:dyDescent="0.2">
      <c r="A107" s="12" t="s">
        <v>35</v>
      </c>
      <c r="B107" s="12" t="s">
        <v>1317</v>
      </c>
      <c r="C107" s="12" t="s">
        <v>1326</v>
      </c>
      <c r="D107" s="12" t="s">
        <v>69</v>
      </c>
      <c r="E107" s="15">
        <v>5400</v>
      </c>
      <c r="F107" s="14">
        <v>1</v>
      </c>
      <c r="G107" s="13" t="s">
        <v>1393</v>
      </c>
      <c r="H107" s="13"/>
    </row>
    <row r="108" spans="1:8" ht="16" x14ac:dyDescent="0.2">
      <c r="A108" s="12" t="s">
        <v>35</v>
      </c>
      <c r="B108" s="12" t="s">
        <v>1331</v>
      </c>
      <c r="C108" s="12" t="s">
        <v>1333</v>
      </c>
      <c r="D108" s="12" t="s">
        <v>69</v>
      </c>
      <c r="E108" s="15">
        <v>34000</v>
      </c>
      <c r="F108" s="14">
        <v>2</v>
      </c>
      <c r="G108" s="13" t="s">
        <v>1393</v>
      </c>
      <c r="H108" s="13"/>
    </row>
    <row r="109" spans="1:8" ht="16" x14ac:dyDescent="0.2">
      <c r="A109" s="12" t="s">
        <v>35</v>
      </c>
      <c r="B109" s="12" t="s">
        <v>1344</v>
      </c>
      <c r="C109" s="12" t="s">
        <v>1346</v>
      </c>
      <c r="D109" s="12" t="s">
        <v>69</v>
      </c>
      <c r="E109" s="15">
        <v>14100</v>
      </c>
      <c r="F109" s="14">
        <v>5</v>
      </c>
      <c r="G109" s="13" t="s">
        <v>1393</v>
      </c>
      <c r="H109" s="13"/>
    </row>
    <row r="110" spans="1:8" ht="16" x14ac:dyDescent="0.2">
      <c r="A110" s="12" t="s">
        <v>35</v>
      </c>
      <c r="B110" s="12" t="s">
        <v>1344</v>
      </c>
      <c r="C110" s="12" t="s">
        <v>1373</v>
      </c>
      <c r="D110" s="12" t="s">
        <v>69</v>
      </c>
      <c r="E110" s="15">
        <v>4500</v>
      </c>
      <c r="F110" s="14">
        <v>1</v>
      </c>
      <c r="G110" s="13" t="s">
        <v>1393</v>
      </c>
      <c r="H110" s="13"/>
    </row>
    <row r="111" spans="1:8" ht="16" x14ac:dyDescent="0.2">
      <c r="A111" s="12" t="s">
        <v>35</v>
      </c>
      <c r="B111" s="12" t="s">
        <v>1381</v>
      </c>
      <c r="C111" s="12" t="s">
        <v>1380</v>
      </c>
      <c r="D111" s="12" t="s">
        <v>69</v>
      </c>
      <c r="E111" s="15">
        <v>20000</v>
      </c>
      <c r="F111" s="14">
        <v>1</v>
      </c>
      <c r="G111" s="13" t="s">
        <v>1393</v>
      </c>
      <c r="H111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showGridLines="0" workbookViewId="0"/>
  </sheetViews>
  <sheetFormatPr baseColWidth="10" defaultColWidth="8.83203125" defaultRowHeight="15" x14ac:dyDescent="0.2"/>
  <cols>
    <col min="1" max="1" width="19" customWidth="1"/>
    <col min="2" max="3" width="15" customWidth="1"/>
    <col min="4" max="4" width="17" customWidth="1"/>
    <col min="5" max="5" width="12" customWidth="1"/>
    <col min="6" max="6" width="23" customWidth="1"/>
    <col min="7" max="7" width="11" customWidth="1"/>
    <col min="8" max="8" width="55" customWidth="1"/>
  </cols>
  <sheetData>
    <row r="1" spans="1:8" ht="24" customHeight="1" x14ac:dyDescent="0.2">
      <c r="A1" s="11" t="s">
        <v>49</v>
      </c>
      <c r="B1" s="11" t="s">
        <v>50</v>
      </c>
      <c r="C1" s="11" t="s">
        <v>1394</v>
      </c>
      <c r="D1" s="11" t="s">
        <v>1395</v>
      </c>
      <c r="E1" s="11" t="s">
        <v>1396</v>
      </c>
      <c r="F1" s="11" t="s">
        <v>1397</v>
      </c>
      <c r="G1" s="11" t="s">
        <v>1398</v>
      </c>
      <c r="H1" s="11" t="s">
        <v>1399</v>
      </c>
    </row>
    <row r="2" spans="1:8" ht="32" x14ac:dyDescent="0.2">
      <c r="A2" s="12" t="s">
        <v>64</v>
      </c>
      <c r="B2" s="12" t="s">
        <v>31</v>
      </c>
      <c r="C2" s="12" t="s">
        <v>15</v>
      </c>
      <c r="D2" s="12" t="s">
        <v>1400</v>
      </c>
      <c r="E2" s="16" t="b">
        <v>0</v>
      </c>
      <c r="F2" s="13" t="s">
        <v>15</v>
      </c>
      <c r="G2" s="12" t="s">
        <v>1401</v>
      </c>
      <c r="H2" s="13" t="s">
        <v>1402</v>
      </c>
    </row>
    <row r="3" spans="1:8" ht="32" x14ac:dyDescent="0.2">
      <c r="A3" s="12" t="s">
        <v>91</v>
      </c>
      <c r="B3" s="12" t="s">
        <v>31</v>
      </c>
      <c r="C3" s="12" t="s">
        <v>15</v>
      </c>
      <c r="D3" s="12" t="s">
        <v>1403</v>
      </c>
      <c r="E3" s="16" t="b">
        <v>1</v>
      </c>
      <c r="F3" s="13" t="s">
        <v>1404</v>
      </c>
      <c r="G3" s="12" t="s">
        <v>1405</v>
      </c>
      <c r="H3" s="13" t="s">
        <v>1406</v>
      </c>
    </row>
    <row r="4" spans="1:8" ht="32" x14ac:dyDescent="0.2">
      <c r="A4" s="12" t="s">
        <v>107</v>
      </c>
      <c r="B4" s="12" t="s">
        <v>31</v>
      </c>
      <c r="C4" s="12" t="s">
        <v>15</v>
      </c>
      <c r="D4" s="12" t="s">
        <v>1403</v>
      </c>
      <c r="E4" s="16" t="b">
        <v>1</v>
      </c>
      <c r="F4" s="13" t="s">
        <v>1404</v>
      </c>
      <c r="G4" s="12" t="s">
        <v>1405</v>
      </c>
      <c r="H4" s="13" t="s">
        <v>1407</v>
      </c>
    </row>
    <row r="5" spans="1:8" ht="32" x14ac:dyDescent="0.2">
      <c r="A5" s="12" t="s">
        <v>133</v>
      </c>
      <c r="B5" s="12" t="s">
        <v>31</v>
      </c>
      <c r="C5" s="12" t="s">
        <v>15</v>
      </c>
      <c r="D5" s="12" t="s">
        <v>1403</v>
      </c>
      <c r="E5" s="16" t="b">
        <v>1</v>
      </c>
      <c r="F5" s="13" t="s">
        <v>1404</v>
      </c>
      <c r="G5" s="12" t="s">
        <v>1405</v>
      </c>
      <c r="H5" s="13" t="s">
        <v>1408</v>
      </c>
    </row>
    <row r="6" spans="1:8" ht="32" x14ac:dyDescent="0.2">
      <c r="A6" s="12" t="s">
        <v>172</v>
      </c>
      <c r="B6" s="12" t="s">
        <v>31</v>
      </c>
      <c r="C6" s="12" t="s">
        <v>15</v>
      </c>
      <c r="D6" s="12" t="s">
        <v>1400</v>
      </c>
      <c r="E6" s="16" t="b">
        <v>0</v>
      </c>
      <c r="F6" s="13" t="s">
        <v>15</v>
      </c>
      <c r="G6" s="12" t="s">
        <v>1405</v>
      </c>
      <c r="H6" s="13" t="s">
        <v>1409</v>
      </c>
    </row>
    <row r="7" spans="1:8" ht="32" x14ac:dyDescent="0.2">
      <c r="A7" s="12" t="s">
        <v>183</v>
      </c>
      <c r="B7" s="12" t="s">
        <v>31</v>
      </c>
      <c r="C7" s="12" t="s">
        <v>15</v>
      </c>
      <c r="D7" s="12" t="s">
        <v>1403</v>
      </c>
      <c r="E7" s="16" t="b">
        <v>1</v>
      </c>
      <c r="F7" s="13" t="s">
        <v>1404</v>
      </c>
      <c r="G7" s="12" t="s">
        <v>1405</v>
      </c>
      <c r="H7" s="13" t="s">
        <v>1410</v>
      </c>
    </row>
    <row r="8" spans="1:8" ht="32" x14ac:dyDescent="0.2">
      <c r="A8" s="12" t="s">
        <v>206</v>
      </c>
      <c r="B8" s="12" t="s">
        <v>31</v>
      </c>
      <c r="C8" s="12" t="s">
        <v>15</v>
      </c>
      <c r="D8" s="12" t="s">
        <v>1400</v>
      </c>
      <c r="E8" s="16" t="b">
        <v>0</v>
      </c>
      <c r="F8" s="13" t="s">
        <v>15</v>
      </c>
      <c r="G8" s="12" t="s">
        <v>1401</v>
      </c>
      <c r="H8" s="13" t="s">
        <v>1411</v>
      </c>
    </row>
    <row r="9" spans="1:8" ht="32" x14ac:dyDescent="0.2">
      <c r="A9" s="12" t="s">
        <v>226</v>
      </c>
      <c r="B9" s="12" t="s">
        <v>32</v>
      </c>
      <c r="C9" s="12" t="s">
        <v>15</v>
      </c>
      <c r="D9" s="12" t="s">
        <v>1400</v>
      </c>
      <c r="E9" s="16" t="b">
        <v>0</v>
      </c>
      <c r="F9" s="13" t="s">
        <v>15</v>
      </c>
      <c r="G9" s="12" t="s">
        <v>1405</v>
      </c>
      <c r="H9" s="13" t="s">
        <v>1412</v>
      </c>
    </row>
    <row r="10" spans="1:8" ht="32" x14ac:dyDescent="0.2">
      <c r="A10" s="12" t="s">
        <v>277</v>
      </c>
      <c r="B10" s="12" t="s">
        <v>32</v>
      </c>
      <c r="C10" s="12" t="s">
        <v>15</v>
      </c>
      <c r="D10" s="12" t="s">
        <v>1403</v>
      </c>
      <c r="E10" s="16" t="b">
        <v>1</v>
      </c>
      <c r="F10" s="13" t="s">
        <v>1404</v>
      </c>
      <c r="G10" s="12" t="s">
        <v>1405</v>
      </c>
      <c r="H10" s="13" t="s">
        <v>1413</v>
      </c>
    </row>
    <row r="11" spans="1:8" ht="32" x14ac:dyDescent="0.2">
      <c r="A11" s="12" t="s">
        <v>437</v>
      </c>
      <c r="B11" s="12" t="s">
        <v>32</v>
      </c>
      <c r="C11" s="12" t="s">
        <v>15</v>
      </c>
      <c r="D11" s="12" t="s">
        <v>1403</v>
      </c>
      <c r="E11" s="16" t="b">
        <v>1</v>
      </c>
      <c r="F11" s="13" t="s">
        <v>1404</v>
      </c>
      <c r="G11" s="12" t="s">
        <v>1405</v>
      </c>
      <c r="H11" s="13" t="s">
        <v>1414</v>
      </c>
    </row>
    <row r="12" spans="1:8" ht="32" x14ac:dyDescent="0.2">
      <c r="A12" s="12" t="s">
        <v>559</v>
      </c>
      <c r="B12" s="12" t="s">
        <v>32</v>
      </c>
      <c r="C12" s="12" t="s">
        <v>15</v>
      </c>
      <c r="D12" s="12" t="s">
        <v>1400</v>
      </c>
      <c r="E12" s="16" t="b">
        <v>0</v>
      </c>
      <c r="F12" s="13" t="s">
        <v>15</v>
      </c>
      <c r="G12" s="12" t="s">
        <v>1405</v>
      </c>
      <c r="H12" s="13" t="s">
        <v>1415</v>
      </c>
    </row>
    <row r="13" spans="1:8" ht="32" x14ac:dyDescent="0.2">
      <c r="A13" s="12" t="s">
        <v>681</v>
      </c>
      <c r="B13" s="12" t="s">
        <v>32</v>
      </c>
      <c r="C13" s="12" t="s">
        <v>15</v>
      </c>
      <c r="D13" s="12" t="s">
        <v>1400</v>
      </c>
      <c r="E13" s="16" t="b">
        <v>0</v>
      </c>
      <c r="F13" s="13" t="s">
        <v>15</v>
      </c>
      <c r="G13" s="12" t="s">
        <v>1401</v>
      </c>
      <c r="H13" s="13" t="s">
        <v>1416</v>
      </c>
    </row>
    <row r="14" spans="1:8" ht="32" x14ac:dyDescent="0.2">
      <c r="A14" s="12" t="s">
        <v>764</v>
      </c>
      <c r="B14" s="12" t="s">
        <v>32</v>
      </c>
      <c r="C14" s="12" t="s">
        <v>15</v>
      </c>
      <c r="D14" s="12" t="s">
        <v>1400</v>
      </c>
      <c r="E14" s="16" t="b">
        <v>0</v>
      </c>
      <c r="F14" s="13" t="s">
        <v>15</v>
      </c>
      <c r="G14" s="12" t="s">
        <v>1401</v>
      </c>
      <c r="H14" s="13" t="s">
        <v>1417</v>
      </c>
    </row>
    <row r="15" spans="1:8" ht="32" x14ac:dyDescent="0.2">
      <c r="A15" s="12" t="s">
        <v>838</v>
      </c>
      <c r="B15" s="12" t="s">
        <v>32</v>
      </c>
      <c r="C15" s="12" t="s">
        <v>20</v>
      </c>
      <c r="D15" s="12" t="s">
        <v>1403</v>
      </c>
      <c r="E15" s="16" t="b">
        <v>1</v>
      </c>
      <c r="F15" s="13" t="s">
        <v>16</v>
      </c>
      <c r="G15" s="12" t="s">
        <v>1405</v>
      </c>
      <c r="H15" s="13" t="s">
        <v>1418</v>
      </c>
    </row>
    <row r="16" spans="1:8" ht="32" x14ac:dyDescent="0.2">
      <c r="A16" s="12" t="s">
        <v>869</v>
      </c>
      <c r="B16" s="12" t="s">
        <v>33</v>
      </c>
      <c r="C16" s="12" t="s">
        <v>15</v>
      </c>
      <c r="D16" s="12" t="s">
        <v>1400</v>
      </c>
      <c r="E16" s="16" t="b">
        <v>0</v>
      </c>
      <c r="F16" s="13" t="s">
        <v>15</v>
      </c>
      <c r="G16" s="12" t="s">
        <v>1405</v>
      </c>
      <c r="H16" s="13" t="s">
        <v>1419</v>
      </c>
    </row>
    <row r="17" spans="1:8" ht="32" x14ac:dyDescent="0.2">
      <c r="A17" s="12" t="s">
        <v>881</v>
      </c>
      <c r="B17" s="12" t="s">
        <v>33</v>
      </c>
      <c r="C17" s="12" t="s">
        <v>15</v>
      </c>
      <c r="D17" s="12" t="s">
        <v>1400</v>
      </c>
      <c r="E17" s="16" t="b">
        <v>0</v>
      </c>
      <c r="F17" s="13" t="s">
        <v>15</v>
      </c>
      <c r="G17" s="12" t="s">
        <v>1405</v>
      </c>
      <c r="H17" s="13" t="s">
        <v>1420</v>
      </c>
    </row>
    <row r="18" spans="1:8" ht="32" x14ac:dyDescent="0.2">
      <c r="A18" s="12" t="s">
        <v>952</v>
      </c>
      <c r="B18" s="12" t="s">
        <v>33</v>
      </c>
      <c r="C18" s="12" t="s">
        <v>15</v>
      </c>
      <c r="D18" s="12" t="s">
        <v>1400</v>
      </c>
      <c r="E18" s="16" t="b">
        <v>0</v>
      </c>
      <c r="F18" s="13" t="s">
        <v>15</v>
      </c>
      <c r="G18" s="12" t="s">
        <v>1405</v>
      </c>
      <c r="H18" s="13" t="s">
        <v>1421</v>
      </c>
    </row>
    <row r="19" spans="1:8" ht="32" x14ac:dyDescent="0.2">
      <c r="A19" s="12" t="s">
        <v>1016</v>
      </c>
      <c r="B19" s="12" t="s">
        <v>33</v>
      </c>
      <c r="C19" s="12" t="s">
        <v>15</v>
      </c>
      <c r="D19" s="12" t="s">
        <v>1403</v>
      </c>
      <c r="E19" s="16" t="b">
        <v>1</v>
      </c>
      <c r="F19" s="13" t="s">
        <v>1404</v>
      </c>
      <c r="G19" s="12" t="s">
        <v>1405</v>
      </c>
      <c r="H19" s="13" t="s">
        <v>1422</v>
      </c>
    </row>
    <row r="20" spans="1:8" ht="32" x14ac:dyDescent="0.2">
      <c r="A20" s="12" t="s">
        <v>1116</v>
      </c>
      <c r="B20" s="12" t="s">
        <v>33</v>
      </c>
      <c r="C20" s="12" t="s">
        <v>15</v>
      </c>
      <c r="D20" s="12" t="s">
        <v>1403</v>
      </c>
      <c r="E20" s="16" t="b">
        <v>1</v>
      </c>
      <c r="F20" s="13" t="s">
        <v>1404</v>
      </c>
      <c r="G20" s="12" t="s">
        <v>1405</v>
      </c>
      <c r="H20" s="13" t="s">
        <v>1423</v>
      </c>
    </row>
    <row r="21" spans="1:8" ht="32" x14ac:dyDescent="0.2">
      <c r="A21" s="12" t="s">
        <v>1140</v>
      </c>
      <c r="B21" s="12" t="s">
        <v>34</v>
      </c>
      <c r="C21" s="12" t="s">
        <v>17</v>
      </c>
      <c r="D21" s="12" t="s">
        <v>1403</v>
      </c>
      <c r="E21" s="16" t="b">
        <v>1</v>
      </c>
      <c r="F21" s="13" t="s">
        <v>1424</v>
      </c>
      <c r="G21" s="12" t="s">
        <v>1401</v>
      </c>
      <c r="H21" s="13" t="s">
        <v>1425</v>
      </c>
    </row>
    <row r="22" spans="1:8" ht="32" x14ac:dyDescent="0.2">
      <c r="A22" s="12" t="s">
        <v>1154</v>
      </c>
      <c r="B22" s="12" t="s">
        <v>34</v>
      </c>
      <c r="C22" s="12" t="s">
        <v>15</v>
      </c>
      <c r="D22" s="12" t="s">
        <v>1400</v>
      </c>
      <c r="E22" s="16" t="b">
        <v>0</v>
      </c>
      <c r="F22" s="13" t="s">
        <v>15</v>
      </c>
      <c r="G22" s="12" t="s">
        <v>1401</v>
      </c>
      <c r="H22" s="13" t="s">
        <v>1426</v>
      </c>
    </row>
    <row r="23" spans="1:8" ht="32" x14ac:dyDescent="0.2">
      <c r="A23" s="12" t="s">
        <v>1218</v>
      </c>
      <c r="B23" s="12" t="s">
        <v>34</v>
      </c>
      <c r="C23" s="12" t="s">
        <v>15</v>
      </c>
      <c r="D23" s="12" t="s">
        <v>1400</v>
      </c>
      <c r="E23" s="16" t="b">
        <v>0</v>
      </c>
      <c r="F23" s="13" t="s">
        <v>15</v>
      </c>
      <c r="G23" s="12" t="s">
        <v>1405</v>
      </c>
      <c r="H23" s="13" t="s">
        <v>1427</v>
      </c>
    </row>
    <row r="24" spans="1:8" ht="32" x14ac:dyDescent="0.2">
      <c r="A24" s="12" t="s">
        <v>1262</v>
      </c>
      <c r="B24" s="12" t="s">
        <v>34</v>
      </c>
      <c r="C24" s="12" t="s">
        <v>15</v>
      </c>
      <c r="D24" s="12" t="s">
        <v>1400</v>
      </c>
      <c r="E24" s="16" t="b">
        <v>0</v>
      </c>
      <c r="F24" s="13" t="s">
        <v>15</v>
      </c>
      <c r="G24" s="12" t="s">
        <v>1401</v>
      </c>
      <c r="H24" s="13" t="s">
        <v>1428</v>
      </c>
    </row>
    <row r="25" spans="1:8" ht="32" x14ac:dyDescent="0.2">
      <c r="A25" s="12" t="s">
        <v>1276</v>
      </c>
      <c r="B25" s="12" t="s">
        <v>35</v>
      </c>
      <c r="C25" s="12" t="s">
        <v>20</v>
      </c>
      <c r="D25" s="12" t="s">
        <v>1403</v>
      </c>
      <c r="E25" s="16" t="b">
        <v>1</v>
      </c>
      <c r="F25" s="13" t="s">
        <v>16</v>
      </c>
      <c r="G25" s="12" t="s">
        <v>1405</v>
      </c>
      <c r="H25" s="13" t="s">
        <v>1429</v>
      </c>
    </row>
    <row r="26" spans="1:8" ht="32" x14ac:dyDescent="0.2">
      <c r="A26" s="12" t="s">
        <v>1296</v>
      </c>
      <c r="B26" s="12" t="s">
        <v>35</v>
      </c>
      <c r="C26" s="12" t="s">
        <v>15</v>
      </c>
      <c r="D26" s="12" t="s">
        <v>1400</v>
      </c>
      <c r="E26" s="16" t="b">
        <v>0</v>
      </c>
      <c r="F26" s="13" t="s">
        <v>15</v>
      </c>
      <c r="G26" s="12" t="s">
        <v>1405</v>
      </c>
      <c r="H26" s="13" t="s">
        <v>1430</v>
      </c>
    </row>
    <row r="27" spans="1:8" ht="32" x14ac:dyDescent="0.2">
      <c r="A27" s="12" t="s">
        <v>1309</v>
      </c>
      <c r="B27" s="12" t="s">
        <v>35</v>
      </c>
      <c r="C27" s="12" t="s">
        <v>20</v>
      </c>
      <c r="D27" s="12" t="s">
        <v>1403</v>
      </c>
      <c r="E27" s="16" t="b">
        <v>1</v>
      </c>
      <c r="F27" s="13" t="s">
        <v>17</v>
      </c>
      <c r="G27" s="12" t="s">
        <v>1405</v>
      </c>
      <c r="H27" s="13" t="s">
        <v>1431</v>
      </c>
    </row>
    <row r="28" spans="1:8" ht="32" x14ac:dyDescent="0.2">
      <c r="A28" s="12" t="s">
        <v>1317</v>
      </c>
      <c r="B28" s="12" t="s">
        <v>35</v>
      </c>
      <c r="C28" s="12" t="s">
        <v>20</v>
      </c>
      <c r="D28" s="12" t="s">
        <v>1403</v>
      </c>
      <c r="E28" s="16" t="b">
        <v>1</v>
      </c>
      <c r="F28" s="13" t="s">
        <v>17</v>
      </c>
      <c r="G28" s="12" t="s">
        <v>1405</v>
      </c>
      <c r="H28" s="13" t="s">
        <v>1432</v>
      </c>
    </row>
    <row r="29" spans="1:8" ht="32" x14ac:dyDescent="0.2">
      <c r="A29" s="12" t="s">
        <v>1331</v>
      </c>
      <c r="B29" s="12" t="s">
        <v>35</v>
      </c>
      <c r="C29" s="12" t="s">
        <v>20</v>
      </c>
      <c r="D29" s="12" t="s">
        <v>1403</v>
      </c>
      <c r="E29" s="16" t="b">
        <v>1</v>
      </c>
      <c r="F29" s="13" t="s">
        <v>16</v>
      </c>
      <c r="G29" s="12" t="s">
        <v>1405</v>
      </c>
      <c r="H29" s="13" t="s">
        <v>1433</v>
      </c>
    </row>
    <row r="30" spans="1:8" ht="32" x14ac:dyDescent="0.2">
      <c r="A30" s="12" t="s">
        <v>1344</v>
      </c>
      <c r="B30" s="12" t="s">
        <v>35</v>
      </c>
      <c r="C30" s="12" t="s">
        <v>20</v>
      </c>
      <c r="D30" s="12" t="s">
        <v>1400</v>
      </c>
      <c r="E30" s="16" t="b">
        <v>0</v>
      </c>
      <c r="F30" s="13" t="s">
        <v>20</v>
      </c>
      <c r="G30" s="12" t="s">
        <v>1405</v>
      </c>
      <c r="H30" s="13" t="s">
        <v>1434</v>
      </c>
    </row>
    <row r="31" spans="1:8" ht="32" x14ac:dyDescent="0.2">
      <c r="A31" s="12" t="s">
        <v>1378</v>
      </c>
      <c r="B31" s="12" t="s">
        <v>35</v>
      </c>
      <c r="C31" s="12" t="s">
        <v>16</v>
      </c>
      <c r="D31" s="12" t="s">
        <v>1400</v>
      </c>
      <c r="E31" s="16" t="b">
        <v>0</v>
      </c>
      <c r="F31" s="13" t="s">
        <v>16</v>
      </c>
      <c r="G31" s="12" t="s">
        <v>1401</v>
      </c>
      <c r="H31" s="13" t="s">
        <v>1435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1"/>
  <sheetViews>
    <sheetView showGridLines="0" workbookViewId="0"/>
  </sheetViews>
  <sheetFormatPr baseColWidth="10" defaultColWidth="8.83203125" defaultRowHeight="15" x14ac:dyDescent="0.2"/>
  <cols>
    <col min="1" max="1" width="15" customWidth="1"/>
    <col min="2" max="2" width="19" customWidth="1"/>
    <col min="3" max="3" width="52" customWidth="1"/>
    <col min="4" max="7" width="55" customWidth="1"/>
    <col min="8" max="8" width="14" customWidth="1"/>
    <col min="9" max="9" width="55" customWidth="1"/>
  </cols>
  <sheetData>
    <row r="1" spans="1:9" ht="24" customHeight="1" x14ac:dyDescent="0.2">
      <c r="A1" s="11" t="s">
        <v>50</v>
      </c>
      <c r="B1" s="11" t="s">
        <v>49</v>
      </c>
      <c r="C1" s="11" t="s">
        <v>1436</v>
      </c>
      <c r="D1" s="11" t="s">
        <v>1437</v>
      </c>
      <c r="E1" s="11" t="s">
        <v>1399</v>
      </c>
      <c r="F1" s="11" t="s">
        <v>1438</v>
      </c>
      <c r="G1" s="11" t="s">
        <v>1439</v>
      </c>
      <c r="H1" s="11" t="s">
        <v>1440</v>
      </c>
      <c r="I1" s="11" t="s">
        <v>61</v>
      </c>
    </row>
    <row r="2" spans="1:9" ht="48" x14ac:dyDescent="0.2">
      <c r="A2" s="12" t="s">
        <v>31</v>
      </c>
      <c r="B2" s="12" t="s">
        <v>64</v>
      </c>
      <c r="C2" s="13" t="s">
        <v>1441</v>
      </c>
      <c r="D2" s="13" t="s">
        <v>1442</v>
      </c>
      <c r="E2" s="13" t="s">
        <v>1402</v>
      </c>
      <c r="F2" s="13" t="s">
        <v>1443</v>
      </c>
      <c r="G2" s="13" t="s">
        <v>1444</v>
      </c>
      <c r="H2" s="12" t="s">
        <v>1401</v>
      </c>
      <c r="I2" s="13"/>
    </row>
    <row r="3" spans="1:9" ht="48" x14ac:dyDescent="0.2">
      <c r="A3" s="12" t="s">
        <v>31</v>
      </c>
      <c r="B3" s="12" t="s">
        <v>91</v>
      </c>
      <c r="C3" s="13" t="s">
        <v>1445</v>
      </c>
      <c r="D3" s="13" t="s">
        <v>1446</v>
      </c>
      <c r="E3" s="13" t="s">
        <v>1406</v>
      </c>
      <c r="F3" s="13" t="s">
        <v>1447</v>
      </c>
      <c r="G3" s="13" t="s">
        <v>1444</v>
      </c>
      <c r="H3" s="12" t="s">
        <v>1401</v>
      </c>
      <c r="I3" s="13"/>
    </row>
    <row r="4" spans="1:9" ht="48" x14ac:dyDescent="0.2">
      <c r="A4" s="12" t="s">
        <v>31</v>
      </c>
      <c r="B4" s="12" t="s">
        <v>107</v>
      </c>
      <c r="C4" s="13" t="s">
        <v>1448</v>
      </c>
      <c r="D4" s="13" t="s">
        <v>1449</v>
      </c>
      <c r="E4" s="13" t="s">
        <v>1407</v>
      </c>
      <c r="F4" s="13" t="s">
        <v>1450</v>
      </c>
      <c r="G4" s="13" t="s">
        <v>1444</v>
      </c>
      <c r="H4" s="12" t="s">
        <v>1401</v>
      </c>
      <c r="I4" s="13"/>
    </row>
    <row r="5" spans="1:9" ht="48" x14ac:dyDescent="0.2">
      <c r="A5" s="12" t="s">
        <v>31</v>
      </c>
      <c r="B5" s="12" t="s">
        <v>133</v>
      </c>
      <c r="C5" s="13" t="s">
        <v>1451</v>
      </c>
      <c r="D5" s="13" t="s">
        <v>1452</v>
      </c>
      <c r="E5" s="13" t="s">
        <v>1408</v>
      </c>
      <c r="F5" s="13" t="s">
        <v>1453</v>
      </c>
      <c r="G5" s="13" t="s">
        <v>1444</v>
      </c>
      <c r="H5" s="12" t="s">
        <v>1401</v>
      </c>
      <c r="I5" s="13"/>
    </row>
    <row r="6" spans="1:9" ht="48" x14ac:dyDescent="0.2">
      <c r="A6" s="12" t="s">
        <v>31</v>
      </c>
      <c r="B6" s="12" t="s">
        <v>172</v>
      </c>
      <c r="C6" s="13" t="s">
        <v>1454</v>
      </c>
      <c r="D6" s="13" t="s">
        <v>1455</v>
      </c>
      <c r="E6" s="13" t="s">
        <v>1409</v>
      </c>
      <c r="F6" s="13" t="s">
        <v>1456</v>
      </c>
      <c r="G6" s="13" t="s">
        <v>1444</v>
      </c>
      <c r="H6" s="12" t="s">
        <v>1401</v>
      </c>
      <c r="I6" s="13"/>
    </row>
    <row r="7" spans="1:9" ht="48" x14ac:dyDescent="0.2">
      <c r="A7" s="12" t="s">
        <v>31</v>
      </c>
      <c r="B7" s="12" t="s">
        <v>183</v>
      </c>
      <c r="C7" s="13" t="s">
        <v>1457</v>
      </c>
      <c r="D7" s="13" t="s">
        <v>1458</v>
      </c>
      <c r="E7" s="13" t="s">
        <v>1410</v>
      </c>
      <c r="F7" s="13" t="s">
        <v>1459</v>
      </c>
      <c r="G7" s="13" t="s">
        <v>1444</v>
      </c>
      <c r="H7" s="12" t="s">
        <v>1401</v>
      </c>
      <c r="I7" s="13"/>
    </row>
    <row r="8" spans="1:9" ht="48" x14ac:dyDescent="0.2">
      <c r="A8" s="12" t="s">
        <v>31</v>
      </c>
      <c r="B8" s="12" t="s">
        <v>206</v>
      </c>
      <c r="C8" s="13" t="s">
        <v>1460</v>
      </c>
      <c r="D8" s="13" t="s">
        <v>1461</v>
      </c>
      <c r="E8" s="13" t="s">
        <v>1411</v>
      </c>
      <c r="F8" s="13" t="s">
        <v>1462</v>
      </c>
      <c r="G8" s="13" t="s">
        <v>1444</v>
      </c>
      <c r="H8" s="12" t="s">
        <v>1401</v>
      </c>
      <c r="I8" s="13"/>
    </row>
    <row r="9" spans="1:9" ht="48" x14ac:dyDescent="0.2">
      <c r="A9" s="12" t="s">
        <v>32</v>
      </c>
      <c r="B9" s="12" t="s">
        <v>226</v>
      </c>
      <c r="C9" s="13" t="s">
        <v>1463</v>
      </c>
      <c r="D9" s="13" t="s">
        <v>1464</v>
      </c>
      <c r="E9" s="13" t="s">
        <v>1412</v>
      </c>
      <c r="F9" s="13" t="s">
        <v>1465</v>
      </c>
      <c r="G9" s="13" t="s">
        <v>1444</v>
      </c>
      <c r="H9" s="12" t="s">
        <v>1401</v>
      </c>
      <c r="I9" s="13"/>
    </row>
    <row r="10" spans="1:9" ht="48" x14ac:dyDescent="0.2">
      <c r="A10" s="12" t="s">
        <v>32</v>
      </c>
      <c r="B10" s="12" t="s">
        <v>277</v>
      </c>
      <c r="C10" s="13" t="s">
        <v>1466</v>
      </c>
      <c r="D10" s="13" t="s">
        <v>1467</v>
      </c>
      <c r="E10" s="13" t="s">
        <v>1413</v>
      </c>
      <c r="F10" s="13" t="s">
        <v>1468</v>
      </c>
      <c r="G10" s="13" t="s">
        <v>1444</v>
      </c>
      <c r="H10" s="12" t="s">
        <v>1401</v>
      </c>
      <c r="I10" s="13"/>
    </row>
    <row r="11" spans="1:9" ht="48" x14ac:dyDescent="0.2">
      <c r="A11" s="12" t="s">
        <v>32</v>
      </c>
      <c r="B11" s="12" t="s">
        <v>437</v>
      </c>
      <c r="C11" s="13" t="s">
        <v>1469</v>
      </c>
      <c r="D11" s="13" t="s">
        <v>1470</v>
      </c>
      <c r="E11" s="13" t="s">
        <v>1414</v>
      </c>
      <c r="F11" s="13" t="s">
        <v>1471</v>
      </c>
      <c r="G11" s="13" t="s">
        <v>1472</v>
      </c>
      <c r="H11" s="12" t="s">
        <v>1401</v>
      </c>
      <c r="I11" s="13"/>
    </row>
    <row r="12" spans="1:9" ht="48" x14ac:dyDescent="0.2">
      <c r="A12" s="12" t="s">
        <v>32</v>
      </c>
      <c r="B12" s="12" t="s">
        <v>559</v>
      </c>
      <c r="C12" s="13" t="s">
        <v>1473</v>
      </c>
      <c r="D12" s="13" t="s">
        <v>1474</v>
      </c>
      <c r="E12" s="13" t="s">
        <v>1415</v>
      </c>
      <c r="F12" s="13" t="s">
        <v>1475</v>
      </c>
      <c r="G12" s="13" t="s">
        <v>1444</v>
      </c>
      <c r="H12" s="12" t="s">
        <v>1401</v>
      </c>
      <c r="I12" s="13"/>
    </row>
    <row r="13" spans="1:9" ht="48" x14ac:dyDescent="0.2">
      <c r="A13" s="12" t="s">
        <v>32</v>
      </c>
      <c r="B13" s="12" t="s">
        <v>681</v>
      </c>
      <c r="C13" s="13" t="s">
        <v>1476</v>
      </c>
      <c r="D13" s="13" t="s">
        <v>1477</v>
      </c>
      <c r="E13" s="13" t="s">
        <v>1416</v>
      </c>
      <c r="F13" s="13" t="s">
        <v>1478</v>
      </c>
      <c r="G13" s="13" t="s">
        <v>1479</v>
      </c>
      <c r="H13" s="12" t="s">
        <v>1401</v>
      </c>
      <c r="I13" s="13"/>
    </row>
    <row r="14" spans="1:9" ht="48" x14ac:dyDescent="0.2">
      <c r="A14" s="12" t="s">
        <v>32</v>
      </c>
      <c r="B14" s="12" t="s">
        <v>764</v>
      </c>
      <c r="C14" s="13" t="s">
        <v>1480</v>
      </c>
      <c r="D14" s="13" t="s">
        <v>1481</v>
      </c>
      <c r="E14" s="13" t="s">
        <v>1417</v>
      </c>
      <c r="F14" s="13" t="s">
        <v>1482</v>
      </c>
      <c r="G14" s="13" t="s">
        <v>1444</v>
      </c>
      <c r="H14" s="12" t="s">
        <v>1401</v>
      </c>
      <c r="I14" s="13"/>
    </row>
    <row r="15" spans="1:9" ht="48" x14ac:dyDescent="0.2">
      <c r="A15" s="12" t="s">
        <v>32</v>
      </c>
      <c r="B15" s="12" t="s">
        <v>838</v>
      </c>
      <c r="C15" s="13" t="s">
        <v>1483</v>
      </c>
      <c r="D15" s="13" t="s">
        <v>1484</v>
      </c>
      <c r="E15" s="13" t="s">
        <v>1418</v>
      </c>
      <c r="F15" s="13" t="s">
        <v>1485</v>
      </c>
      <c r="G15" s="13" t="s">
        <v>1486</v>
      </c>
      <c r="H15" s="12" t="s">
        <v>1401</v>
      </c>
      <c r="I15" s="13"/>
    </row>
    <row r="16" spans="1:9" ht="48" x14ac:dyDescent="0.2">
      <c r="A16" s="12" t="s">
        <v>33</v>
      </c>
      <c r="B16" s="12" t="s">
        <v>869</v>
      </c>
      <c r="C16" s="13" t="s">
        <v>1487</v>
      </c>
      <c r="D16" s="13" t="s">
        <v>1488</v>
      </c>
      <c r="E16" s="13" t="s">
        <v>1419</v>
      </c>
      <c r="F16" s="13" t="s">
        <v>1489</v>
      </c>
      <c r="G16" s="13" t="s">
        <v>1444</v>
      </c>
      <c r="H16" s="12" t="s">
        <v>1401</v>
      </c>
      <c r="I16" s="13"/>
    </row>
    <row r="17" spans="1:9" ht="48" x14ac:dyDescent="0.2">
      <c r="A17" s="12" t="s">
        <v>33</v>
      </c>
      <c r="B17" s="12" t="s">
        <v>881</v>
      </c>
      <c r="C17" s="13" t="s">
        <v>1490</v>
      </c>
      <c r="D17" s="13" t="s">
        <v>1491</v>
      </c>
      <c r="E17" s="13" t="s">
        <v>1420</v>
      </c>
      <c r="F17" s="13" t="s">
        <v>1492</v>
      </c>
      <c r="G17" s="13" t="s">
        <v>1493</v>
      </c>
      <c r="H17" s="12" t="s">
        <v>1401</v>
      </c>
      <c r="I17" s="13"/>
    </row>
    <row r="18" spans="1:9" ht="48" x14ac:dyDescent="0.2">
      <c r="A18" s="12" t="s">
        <v>33</v>
      </c>
      <c r="B18" s="12" t="s">
        <v>952</v>
      </c>
      <c r="C18" s="13" t="s">
        <v>1494</v>
      </c>
      <c r="D18" s="13" t="s">
        <v>1495</v>
      </c>
      <c r="E18" s="13" t="s">
        <v>1421</v>
      </c>
      <c r="F18" s="13" t="s">
        <v>1496</v>
      </c>
      <c r="G18" s="13" t="s">
        <v>1444</v>
      </c>
      <c r="H18" s="12" t="s">
        <v>1401</v>
      </c>
      <c r="I18" s="13"/>
    </row>
    <row r="19" spans="1:9" ht="48" x14ac:dyDescent="0.2">
      <c r="A19" s="12" t="s">
        <v>33</v>
      </c>
      <c r="B19" s="12" t="s">
        <v>1016</v>
      </c>
      <c r="C19" s="13" t="s">
        <v>1497</v>
      </c>
      <c r="D19" s="13" t="s">
        <v>1498</v>
      </c>
      <c r="E19" s="13" t="s">
        <v>1422</v>
      </c>
      <c r="F19" s="13" t="s">
        <v>1499</v>
      </c>
      <c r="G19" s="13" t="s">
        <v>1500</v>
      </c>
      <c r="H19" s="12" t="s">
        <v>1401</v>
      </c>
      <c r="I19" s="13"/>
    </row>
    <row r="20" spans="1:9" ht="48" x14ac:dyDescent="0.2">
      <c r="A20" s="12" t="s">
        <v>33</v>
      </c>
      <c r="B20" s="12" t="s">
        <v>1116</v>
      </c>
      <c r="C20" s="13" t="s">
        <v>1501</v>
      </c>
      <c r="D20" s="13" t="s">
        <v>1502</v>
      </c>
      <c r="E20" s="13" t="s">
        <v>1423</v>
      </c>
      <c r="F20" s="13" t="s">
        <v>1503</v>
      </c>
      <c r="G20" s="13" t="s">
        <v>1504</v>
      </c>
      <c r="H20" s="12" t="s">
        <v>1401</v>
      </c>
      <c r="I20" s="13"/>
    </row>
    <row r="21" spans="1:9" ht="48" x14ac:dyDescent="0.2">
      <c r="A21" s="12" t="s">
        <v>34</v>
      </c>
      <c r="B21" s="12" t="s">
        <v>1140</v>
      </c>
      <c r="C21" s="13" t="s">
        <v>1505</v>
      </c>
      <c r="D21" s="13" t="s">
        <v>1506</v>
      </c>
      <c r="E21" s="13" t="s">
        <v>1425</v>
      </c>
      <c r="F21" s="13" t="s">
        <v>1507</v>
      </c>
      <c r="G21" s="13" t="s">
        <v>1508</v>
      </c>
      <c r="H21" s="12" t="s">
        <v>1401</v>
      </c>
      <c r="I21" s="13"/>
    </row>
    <row r="22" spans="1:9" ht="48" x14ac:dyDescent="0.2">
      <c r="A22" s="12" t="s">
        <v>34</v>
      </c>
      <c r="B22" s="12" t="s">
        <v>1154</v>
      </c>
      <c r="C22" s="13" t="s">
        <v>1509</v>
      </c>
      <c r="D22" s="13" t="s">
        <v>1510</v>
      </c>
      <c r="E22" s="13" t="s">
        <v>1426</v>
      </c>
      <c r="F22" s="13" t="s">
        <v>1511</v>
      </c>
      <c r="G22" s="13" t="s">
        <v>1444</v>
      </c>
      <c r="H22" s="12" t="s">
        <v>1401</v>
      </c>
      <c r="I22" s="13"/>
    </row>
    <row r="23" spans="1:9" ht="48" x14ac:dyDescent="0.2">
      <c r="A23" s="12" t="s">
        <v>34</v>
      </c>
      <c r="B23" s="12" t="s">
        <v>1218</v>
      </c>
      <c r="C23" s="13" t="s">
        <v>1512</v>
      </c>
      <c r="D23" s="13" t="s">
        <v>1513</v>
      </c>
      <c r="E23" s="13" t="s">
        <v>1427</v>
      </c>
      <c r="F23" s="13" t="s">
        <v>1514</v>
      </c>
      <c r="G23" s="13" t="s">
        <v>1444</v>
      </c>
      <c r="H23" s="12" t="s">
        <v>1401</v>
      </c>
      <c r="I23" s="13"/>
    </row>
    <row r="24" spans="1:9" ht="48" x14ac:dyDescent="0.2">
      <c r="A24" s="12" t="s">
        <v>34</v>
      </c>
      <c r="B24" s="12" t="s">
        <v>1262</v>
      </c>
      <c r="C24" s="13" t="s">
        <v>1515</v>
      </c>
      <c r="D24" s="13" t="s">
        <v>1516</v>
      </c>
      <c r="E24" s="13" t="s">
        <v>1428</v>
      </c>
      <c r="F24" s="13" t="s">
        <v>1517</v>
      </c>
      <c r="G24" s="13" t="s">
        <v>1518</v>
      </c>
      <c r="H24" s="12" t="s">
        <v>1401</v>
      </c>
      <c r="I24" s="13"/>
    </row>
    <row r="25" spans="1:9" ht="48" x14ac:dyDescent="0.2">
      <c r="A25" s="12" t="s">
        <v>35</v>
      </c>
      <c r="B25" s="12" t="s">
        <v>1276</v>
      </c>
      <c r="C25" s="13" t="s">
        <v>1519</v>
      </c>
      <c r="D25" s="13" t="s">
        <v>1520</v>
      </c>
      <c r="E25" s="13" t="s">
        <v>1429</v>
      </c>
      <c r="F25" s="13" t="s">
        <v>1521</v>
      </c>
      <c r="G25" s="13" t="s">
        <v>1522</v>
      </c>
      <c r="H25" s="12" t="s">
        <v>1401</v>
      </c>
      <c r="I25" s="13"/>
    </row>
    <row r="26" spans="1:9" ht="48" x14ac:dyDescent="0.2">
      <c r="A26" s="12" t="s">
        <v>35</v>
      </c>
      <c r="B26" s="12" t="s">
        <v>1296</v>
      </c>
      <c r="C26" s="13" t="s">
        <v>1523</v>
      </c>
      <c r="D26" s="13" t="s">
        <v>1524</v>
      </c>
      <c r="E26" s="13" t="s">
        <v>1430</v>
      </c>
      <c r="F26" s="13" t="s">
        <v>1525</v>
      </c>
      <c r="G26" s="13" t="s">
        <v>1526</v>
      </c>
      <c r="H26" s="12" t="s">
        <v>1401</v>
      </c>
      <c r="I26" s="13"/>
    </row>
    <row r="27" spans="1:9" ht="48" x14ac:dyDescent="0.2">
      <c r="A27" s="12" t="s">
        <v>35</v>
      </c>
      <c r="B27" s="12" t="s">
        <v>1309</v>
      </c>
      <c r="C27" s="13" t="s">
        <v>1527</v>
      </c>
      <c r="D27" s="13" t="s">
        <v>1528</v>
      </c>
      <c r="E27" s="13" t="s">
        <v>1431</v>
      </c>
      <c r="F27" s="13" t="s">
        <v>1529</v>
      </c>
      <c r="G27" s="13" t="s">
        <v>1530</v>
      </c>
      <c r="H27" s="12" t="s">
        <v>1401</v>
      </c>
      <c r="I27" s="13"/>
    </row>
    <row r="28" spans="1:9" ht="48" x14ac:dyDescent="0.2">
      <c r="A28" s="12" t="s">
        <v>35</v>
      </c>
      <c r="B28" s="12" t="s">
        <v>1317</v>
      </c>
      <c r="C28" s="13" t="s">
        <v>1531</v>
      </c>
      <c r="D28" s="13" t="s">
        <v>1532</v>
      </c>
      <c r="E28" s="13" t="s">
        <v>1432</v>
      </c>
      <c r="F28" s="13" t="s">
        <v>1533</v>
      </c>
      <c r="G28" s="13" t="s">
        <v>1534</v>
      </c>
      <c r="H28" s="12" t="s">
        <v>1401</v>
      </c>
      <c r="I28" s="13"/>
    </row>
    <row r="29" spans="1:9" ht="48" x14ac:dyDescent="0.2">
      <c r="A29" s="12" t="s">
        <v>35</v>
      </c>
      <c r="B29" s="12" t="s">
        <v>1331</v>
      </c>
      <c r="C29" s="13" t="s">
        <v>1535</v>
      </c>
      <c r="D29" s="13" t="s">
        <v>1536</v>
      </c>
      <c r="E29" s="13" t="s">
        <v>1433</v>
      </c>
      <c r="F29" s="13" t="s">
        <v>1537</v>
      </c>
      <c r="G29" s="13" t="s">
        <v>1538</v>
      </c>
      <c r="H29" s="12" t="s">
        <v>1401</v>
      </c>
      <c r="I29" s="13" t="s">
        <v>1539</v>
      </c>
    </row>
    <row r="30" spans="1:9" ht="48" x14ac:dyDescent="0.2">
      <c r="A30" s="12" t="s">
        <v>35</v>
      </c>
      <c r="B30" s="12" t="s">
        <v>1344</v>
      </c>
      <c r="C30" s="13" t="s">
        <v>1540</v>
      </c>
      <c r="D30" s="13" t="s">
        <v>1541</v>
      </c>
      <c r="E30" s="13" t="s">
        <v>1434</v>
      </c>
      <c r="F30" s="13" t="s">
        <v>1542</v>
      </c>
      <c r="G30" s="13" t="s">
        <v>1543</v>
      </c>
      <c r="H30" s="12" t="s">
        <v>1401</v>
      </c>
      <c r="I30" s="13"/>
    </row>
    <row r="31" spans="1:9" ht="48" x14ac:dyDescent="0.2">
      <c r="A31" s="12" t="s">
        <v>35</v>
      </c>
      <c r="B31" s="12" t="s">
        <v>1378</v>
      </c>
      <c r="C31" s="13" t="s">
        <v>1544</v>
      </c>
      <c r="D31" s="13" t="s">
        <v>1545</v>
      </c>
      <c r="E31" s="13" t="s">
        <v>1435</v>
      </c>
      <c r="F31" s="13" t="s">
        <v>1546</v>
      </c>
      <c r="G31" s="13" t="s">
        <v>1444</v>
      </c>
      <c r="H31" s="12" t="s">
        <v>1401</v>
      </c>
      <c r="I31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8"/>
  <sheetViews>
    <sheetView showGridLines="0" topLeftCell="A44" workbookViewId="0"/>
  </sheetViews>
  <sheetFormatPr baseColWidth="10" defaultColWidth="8.83203125" defaultRowHeight="15" x14ac:dyDescent="0.2"/>
  <cols>
    <col min="1" max="1" width="21" customWidth="1"/>
    <col min="2" max="2" width="19" customWidth="1"/>
    <col min="3" max="3" width="14" customWidth="1"/>
    <col min="4" max="4" width="53" customWidth="1"/>
    <col min="5" max="7" width="55" customWidth="1"/>
  </cols>
  <sheetData>
    <row r="1" spans="1:7" ht="24" customHeight="1" x14ac:dyDescent="0.2">
      <c r="A1" s="11" t="s">
        <v>1547</v>
      </c>
      <c r="B1" s="11" t="s">
        <v>49</v>
      </c>
      <c r="C1" s="11" t="s">
        <v>1548</v>
      </c>
      <c r="D1" s="11" t="s">
        <v>1549</v>
      </c>
      <c r="E1" s="11" t="s">
        <v>1550</v>
      </c>
      <c r="F1" s="11" t="s">
        <v>1551</v>
      </c>
      <c r="G1" s="11" t="s">
        <v>1552</v>
      </c>
    </row>
    <row r="2" spans="1:7" ht="48" x14ac:dyDescent="0.2">
      <c r="A2" s="12" t="s">
        <v>1553</v>
      </c>
      <c r="B2" s="12" t="s">
        <v>64</v>
      </c>
      <c r="C2" s="12" t="s">
        <v>1554</v>
      </c>
      <c r="D2" s="13" t="s">
        <v>1555</v>
      </c>
      <c r="E2" s="13" t="s">
        <v>1556</v>
      </c>
      <c r="F2" s="13" t="s">
        <v>1557</v>
      </c>
      <c r="G2" s="13" t="s">
        <v>1443</v>
      </c>
    </row>
    <row r="3" spans="1:7" ht="48" x14ac:dyDescent="0.2">
      <c r="A3" s="12" t="s">
        <v>1558</v>
      </c>
      <c r="B3" s="12" t="s">
        <v>64</v>
      </c>
      <c r="C3" s="12" t="s">
        <v>1559</v>
      </c>
      <c r="D3" s="13" t="s">
        <v>1560</v>
      </c>
      <c r="E3" s="13" t="s">
        <v>1561</v>
      </c>
      <c r="F3" s="13" t="s">
        <v>1562</v>
      </c>
      <c r="G3" s="13" t="s">
        <v>1443</v>
      </c>
    </row>
    <row r="4" spans="1:7" ht="48" x14ac:dyDescent="0.2">
      <c r="A4" s="12" t="s">
        <v>1563</v>
      </c>
      <c r="B4" s="12" t="s">
        <v>64</v>
      </c>
      <c r="C4" s="12" t="s">
        <v>1564</v>
      </c>
      <c r="D4" s="13" t="s">
        <v>1565</v>
      </c>
      <c r="E4" s="13" t="s">
        <v>1566</v>
      </c>
      <c r="F4" s="13" t="s">
        <v>1567</v>
      </c>
      <c r="G4" s="13" t="s">
        <v>1443</v>
      </c>
    </row>
    <row r="5" spans="1:7" ht="48" x14ac:dyDescent="0.2">
      <c r="A5" s="12" t="s">
        <v>1568</v>
      </c>
      <c r="B5" s="12" t="s">
        <v>64</v>
      </c>
      <c r="C5" s="12" t="s">
        <v>1569</v>
      </c>
      <c r="D5" s="13" t="s">
        <v>1570</v>
      </c>
      <c r="E5" s="13" t="s">
        <v>1571</v>
      </c>
      <c r="F5" s="13" t="s">
        <v>1572</v>
      </c>
      <c r="G5" s="13" t="s">
        <v>1443</v>
      </c>
    </row>
    <row r="6" spans="1:7" ht="48" x14ac:dyDescent="0.2">
      <c r="A6" s="12" t="s">
        <v>1573</v>
      </c>
      <c r="B6" s="12" t="s">
        <v>64</v>
      </c>
      <c r="C6" s="12" t="s">
        <v>1574</v>
      </c>
      <c r="D6" s="13" t="s">
        <v>1575</v>
      </c>
      <c r="E6" s="13" t="s">
        <v>1576</v>
      </c>
      <c r="F6" s="13" t="s">
        <v>1577</v>
      </c>
      <c r="G6" s="13" t="s">
        <v>1443</v>
      </c>
    </row>
    <row r="7" spans="1:7" ht="48" x14ac:dyDescent="0.2">
      <c r="A7" s="12" t="s">
        <v>1578</v>
      </c>
      <c r="B7" s="12" t="s">
        <v>91</v>
      </c>
      <c r="C7" s="12" t="s">
        <v>1554</v>
      </c>
      <c r="D7" s="13" t="s">
        <v>1579</v>
      </c>
      <c r="E7" s="13" t="s">
        <v>1579</v>
      </c>
      <c r="F7" s="13"/>
      <c r="G7" s="13" t="s">
        <v>1447</v>
      </c>
    </row>
    <row r="8" spans="1:7" ht="48" x14ac:dyDescent="0.2">
      <c r="A8" s="12" t="s">
        <v>1580</v>
      </c>
      <c r="B8" s="12" t="s">
        <v>91</v>
      </c>
      <c r="C8" s="12" t="s">
        <v>1559</v>
      </c>
      <c r="D8" s="13" t="s">
        <v>1581</v>
      </c>
      <c r="E8" s="13" t="s">
        <v>1581</v>
      </c>
      <c r="F8" s="13"/>
      <c r="G8" s="13" t="s">
        <v>1447</v>
      </c>
    </row>
    <row r="9" spans="1:7" ht="48" x14ac:dyDescent="0.2">
      <c r="A9" s="12" t="s">
        <v>1582</v>
      </c>
      <c r="B9" s="12" t="s">
        <v>91</v>
      </c>
      <c r="C9" s="12" t="s">
        <v>1564</v>
      </c>
      <c r="D9" s="13" t="s">
        <v>1583</v>
      </c>
      <c r="E9" s="13" t="s">
        <v>1583</v>
      </c>
      <c r="F9" s="13"/>
      <c r="G9" s="13" t="s">
        <v>1447</v>
      </c>
    </row>
    <row r="10" spans="1:7" ht="48" x14ac:dyDescent="0.2">
      <c r="A10" s="12" t="s">
        <v>1584</v>
      </c>
      <c r="B10" s="12" t="s">
        <v>91</v>
      </c>
      <c r="C10" s="12" t="s">
        <v>1569</v>
      </c>
      <c r="D10" s="13" t="s">
        <v>1585</v>
      </c>
      <c r="E10" s="13" t="s">
        <v>1586</v>
      </c>
      <c r="F10" s="13" t="s">
        <v>1587</v>
      </c>
      <c r="G10" s="13" t="s">
        <v>1447</v>
      </c>
    </row>
    <row r="11" spans="1:7" ht="48" x14ac:dyDescent="0.2">
      <c r="A11" s="12" t="s">
        <v>1588</v>
      </c>
      <c r="B11" s="12" t="s">
        <v>206</v>
      </c>
      <c r="C11" s="12" t="s">
        <v>1589</v>
      </c>
      <c r="D11" s="13" t="s">
        <v>1590</v>
      </c>
      <c r="E11" s="13" t="s">
        <v>1590</v>
      </c>
      <c r="F11" s="13" t="s">
        <v>1591</v>
      </c>
      <c r="G11" s="13" t="s">
        <v>1462</v>
      </c>
    </row>
    <row r="12" spans="1:7" ht="48" x14ac:dyDescent="0.2">
      <c r="A12" s="12" t="s">
        <v>1588</v>
      </c>
      <c r="B12" s="12" t="s">
        <v>206</v>
      </c>
      <c r="C12" s="12" t="s">
        <v>1589</v>
      </c>
      <c r="D12" s="13" t="s">
        <v>1592</v>
      </c>
      <c r="E12" s="13" t="s">
        <v>1592</v>
      </c>
      <c r="F12" s="13" t="s">
        <v>1593</v>
      </c>
      <c r="G12" s="13" t="s">
        <v>1462</v>
      </c>
    </row>
    <row r="13" spans="1:7" ht="48" x14ac:dyDescent="0.2">
      <c r="A13" s="12" t="s">
        <v>1588</v>
      </c>
      <c r="B13" s="12" t="s">
        <v>206</v>
      </c>
      <c r="C13" s="12" t="s">
        <v>1589</v>
      </c>
      <c r="D13" s="13" t="s">
        <v>1594</v>
      </c>
      <c r="E13" s="13" t="s">
        <v>1594</v>
      </c>
      <c r="F13" s="13" t="s">
        <v>1595</v>
      </c>
      <c r="G13" s="13" t="s">
        <v>1462</v>
      </c>
    </row>
    <row r="14" spans="1:7" ht="48" x14ac:dyDescent="0.2">
      <c r="A14" s="12" t="s">
        <v>1588</v>
      </c>
      <c r="B14" s="12" t="s">
        <v>206</v>
      </c>
      <c r="C14" s="12" t="s">
        <v>1589</v>
      </c>
      <c r="D14" s="13" t="s">
        <v>1596</v>
      </c>
      <c r="E14" s="13" t="s">
        <v>1596</v>
      </c>
      <c r="F14" s="13" t="s">
        <v>1597</v>
      </c>
      <c r="G14" s="13" t="s">
        <v>1462</v>
      </c>
    </row>
    <row r="15" spans="1:7" ht="48" x14ac:dyDescent="0.2">
      <c r="A15" s="12" t="s">
        <v>1588</v>
      </c>
      <c r="B15" s="12" t="s">
        <v>206</v>
      </c>
      <c r="C15" s="12" t="s">
        <v>1589</v>
      </c>
      <c r="D15" s="13" t="s">
        <v>1598</v>
      </c>
      <c r="E15" s="13" t="s">
        <v>1598</v>
      </c>
      <c r="F15" s="13" t="s">
        <v>1599</v>
      </c>
      <c r="G15" s="13" t="s">
        <v>1462</v>
      </c>
    </row>
    <row r="16" spans="1:7" ht="48" x14ac:dyDescent="0.2">
      <c r="A16" s="12" t="s">
        <v>1588</v>
      </c>
      <c r="B16" s="12" t="s">
        <v>206</v>
      </c>
      <c r="C16" s="12" t="s">
        <v>1589</v>
      </c>
      <c r="D16" s="13" t="s">
        <v>1600</v>
      </c>
      <c r="E16" s="13" t="s">
        <v>1600</v>
      </c>
      <c r="F16" s="13" t="s">
        <v>1601</v>
      </c>
      <c r="G16" s="13" t="s">
        <v>1462</v>
      </c>
    </row>
    <row r="17" spans="1:7" ht="48" x14ac:dyDescent="0.2">
      <c r="A17" s="12" t="s">
        <v>1602</v>
      </c>
      <c r="B17" s="12" t="s">
        <v>559</v>
      </c>
      <c r="C17" s="12" t="s">
        <v>1603</v>
      </c>
      <c r="D17" s="13" t="s">
        <v>1604</v>
      </c>
      <c r="E17" s="13" t="s">
        <v>1605</v>
      </c>
      <c r="F17" s="13" t="s">
        <v>1606</v>
      </c>
      <c r="G17" s="13" t="s">
        <v>1475</v>
      </c>
    </row>
    <row r="18" spans="1:7" ht="48" x14ac:dyDescent="0.2">
      <c r="A18" s="12" t="s">
        <v>1607</v>
      </c>
      <c r="B18" s="12" t="s">
        <v>559</v>
      </c>
      <c r="C18" s="12" t="s">
        <v>1608</v>
      </c>
      <c r="D18" s="13" t="s">
        <v>1609</v>
      </c>
      <c r="E18" s="13" t="s">
        <v>1610</v>
      </c>
      <c r="F18" s="13" t="s">
        <v>1611</v>
      </c>
      <c r="G18" s="13" t="s">
        <v>1475</v>
      </c>
    </row>
    <row r="19" spans="1:7" ht="48" x14ac:dyDescent="0.2">
      <c r="A19" s="12" t="s">
        <v>1612</v>
      </c>
      <c r="B19" s="12" t="s">
        <v>559</v>
      </c>
      <c r="C19" s="12" t="s">
        <v>1613</v>
      </c>
      <c r="D19" s="13" t="s">
        <v>1614</v>
      </c>
      <c r="E19" s="13" t="s">
        <v>1615</v>
      </c>
      <c r="F19" s="13" t="s">
        <v>1616</v>
      </c>
      <c r="G19" s="13" t="s">
        <v>1475</v>
      </c>
    </row>
    <row r="20" spans="1:7" ht="48" x14ac:dyDescent="0.2">
      <c r="A20" s="12" t="s">
        <v>1617</v>
      </c>
      <c r="B20" s="12" t="s">
        <v>559</v>
      </c>
      <c r="C20" s="12" t="s">
        <v>1618</v>
      </c>
      <c r="D20" s="13" t="s">
        <v>1619</v>
      </c>
      <c r="E20" s="13" t="s">
        <v>1620</v>
      </c>
      <c r="F20" s="13" t="s">
        <v>1621</v>
      </c>
      <c r="G20" s="13" t="s">
        <v>1475</v>
      </c>
    </row>
    <row r="21" spans="1:7" ht="48" x14ac:dyDescent="0.2">
      <c r="A21" s="12" t="s">
        <v>1622</v>
      </c>
      <c r="B21" s="12" t="s">
        <v>559</v>
      </c>
      <c r="C21" s="12" t="s">
        <v>1623</v>
      </c>
      <c r="D21" s="13" t="s">
        <v>1624</v>
      </c>
      <c r="E21" s="13" t="s">
        <v>1625</v>
      </c>
      <c r="F21" s="13" t="s">
        <v>1626</v>
      </c>
      <c r="G21" s="13" t="s">
        <v>1475</v>
      </c>
    </row>
    <row r="22" spans="1:7" ht="48" x14ac:dyDescent="0.2">
      <c r="A22" s="12" t="s">
        <v>1627</v>
      </c>
      <c r="B22" s="12" t="s">
        <v>559</v>
      </c>
      <c r="C22" s="12" t="s">
        <v>1628</v>
      </c>
      <c r="D22" s="13" t="s">
        <v>1629</v>
      </c>
      <c r="E22" s="13" t="s">
        <v>1630</v>
      </c>
      <c r="F22" s="13" t="s">
        <v>1631</v>
      </c>
      <c r="G22" s="13" t="s">
        <v>1475</v>
      </c>
    </row>
    <row r="23" spans="1:7" ht="48" x14ac:dyDescent="0.2">
      <c r="A23" s="12" t="s">
        <v>1632</v>
      </c>
      <c r="B23" s="12" t="s">
        <v>559</v>
      </c>
      <c r="C23" s="12" t="s">
        <v>1633</v>
      </c>
      <c r="D23" s="13" t="s">
        <v>1634</v>
      </c>
      <c r="E23" s="13" t="s">
        <v>1635</v>
      </c>
      <c r="F23" s="13" t="s">
        <v>1636</v>
      </c>
      <c r="G23" s="13" t="s">
        <v>1475</v>
      </c>
    </row>
    <row r="24" spans="1:7" ht="48" x14ac:dyDescent="0.2">
      <c r="A24" s="12" t="s">
        <v>1637</v>
      </c>
      <c r="B24" s="12" t="s">
        <v>559</v>
      </c>
      <c r="C24" s="12" t="s">
        <v>1638</v>
      </c>
      <c r="D24" s="13" t="s">
        <v>1639</v>
      </c>
      <c r="E24" s="13" t="s">
        <v>1640</v>
      </c>
      <c r="F24" s="13" t="s">
        <v>1641</v>
      </c>
      <c r="G24" s="13" t="s">
        <v>1475</v>
      </c>
    </row>
    <row r="25" spans="1:7" ht="48" x14ac:dyDescent="0.2">
      <c r="A25" s="12" t="s">
        <v>1642</v>
      </c>
      <c r="B25" s="12" t="s">
        <v>559</v>
      </c>
      <c r="C25" s="12" t="s">
        <v>1643</v>
      </c>
      <c r="D25" s="13" t="s">
        <v>1644</v>
      </c>
      <c r="E25" s="13" t="s">
        <v>1645</v>
      </c>
      <c r="F25" s="13" t="s">
        <v>1646</v>
      </c>
      <c r="G25" s="13" t="s">
        <v>1475</v>
      </c>
    </row>
    <row r="26" spans="1:7" ht="48" x14ac:dyDescent="0.2">
      <c r="A26" s="12" t="s">
        <v>1647</v>
      </c>
      <c r="B26" s="12" t="s">
        <v>559</v>
      </c>
      <c r="C26" s="12" t="s">
        <v>1648</v>
      </c>
      <c r="D26" s="13" t="s">
        <v>1649</v>
      </c>
      <c r="E26" s="13" t="s">
        <v>1650</v>
      </c>
      <c r="F26" s="13" t="s">
        <v>1651</v>
      </c>
      <c r="G26" s="13" t="s">
        <v>1475</v>
      </c>
    </row>
    <row r="27" spans="1:7" ht="48" x14ac:dyDescent="0.2">
      <c r="A27" s="12" t="s">
        <v>1652</v>
      </c>
      <c r="B27" s="12" t="s">
        <v>559</v>
      </c>
      <c r="C27" s="12" t="s">
        <v>1653</v>
      </c>
      <c r="D27" s="13" t="s">
        <v>1654</v>
      </c>
      <c r="E27" s="13" t="s">
        <v>1655</v>
      </c>
      <c r="F27" s="13" t="s">
        <v>1656</v>
      </c>
      <c r="G27" s="13" t="s">
        <v>1475</v>
      </c>
    </row>
    <row r="28" spans="1:7" ht="48" x14ac:dyDescent="0.2">
      <c r="A28" s="12" t="s">
        <v>1657</v>
      </c>
      <c r="B28" s="12" t="s">
        <v>559</v>
      </c>
      <c r="C28" s="12" t="s">
        <v>1658</v>
      </c>
      <c r="D28" s="13" t="s">
        <v>1659</v>
      </c>
      <c r="E28" s="13" t="s">
        <v>1660</v>
      </c>
      <c r="F28" s="13" t="s">
        <v>1661</v>
      </c>
      <c r="G28" s="13" t="s">
        <v>1475</v>
      </c>
    </row>
    <row r="29" spans="1:7" ht="48" x14ac:dyDescent="0.2">
      <c r="A29" s="12" t="s">
        <v>1662</v>
      </c>
      <c r="B29" s="12" t="s">
        <v>559</v>
      </c>
      <c r="C29" s="12" t="s">
        <v>1663</v>
      </c>
      <c r="D29" s="13" t="s">
        <v>1664</v>
      </c>
      <c r="E29" s="13" t="s">
        <v>1665</v>
      </c>
      <c r="F29" s="13" t="s">
        <v>1666</v>
      </c>
      <c r="G29" s="13" t="s">
        <v>1475</v>
      </c>
    </row>
    <row r="30" spans="1:7" ht="48" x14ac:dyDescent="0.2">
      <c r="A30" s="12" t="s">
        <v>1667</v>
      </c>
      <c r="B30" s="12" t="s">
        <v>559</v>
      </c>
      <c r="C30" s="12" t="s">
        <v>1668</v>
      </c>
      <c r="D30" s="13" t="s">
        <v>1669</v>
      </c>
      <c r="E30" s="13" t="s">
        <v>1670</v>
      </c>
      <c r="F30" s="13" t="s">
        <v>1671</v>
      </c>
      <c r="G30" s="13" t="s">
        <v>1475</v>
      </c>
    </row>
    <row r="31" spans="1:7" ht="96" x14ac:dyDescent="0.2">
      <c r="A31" s="12" t="s">
        <v>1672</v>
      </c>
      <c r="B31" s="12" t="s">
        <v>559</v>
      </c>
      <c r="C31" s="12" t="s">
        <v>1673</v>
      </c>
      <c r="D31" s="13" t="s">
        <v>1674</v>
      </c>
      <c r="E31" s="13" t="s">
        <v>1675</v>
      </c>
      <c r="F31" s="13" t="s">
        <v>1676</v>
      </c>
      <c r="G31" s="13" t="s">
        <v>1475</v>
      </c>
    </row>
    <row r="32" spans="1:7" ht="48" x14ac:dyDescent="0.2">
      <c r="A32" s="12" t="s">
        <v>1677</v>
      </c>
      <c r="B32" s="12" t="s">
        <v>559</v>
      </c>
      <c r="C32" s="12" t="s">
        <v>1678</v>
      </c>
      <c r="D32" s="13" t="s">
        <v>1679</v>
      </c>
      <c r="E32" s="13" t="s">
        <v>1680</v>
      </c>
      <c r="F32" s="13" t="s">
        <v>1681</v>
      </c>
      <c r="G32" s="13" t="s">
        <v>1475</v>
      </c>
    </row>
    <row r="33" spans="1:7" ht="48" x14ac:dyDescent="0.2">
      <c r="A33" s="12" t="s">
        <v>1682</v>
      </c>
      <c r="B33" s="12" t="s">
        <v>559</v>
      </c>
      <c r="C33" s="12" t="s">
        <v>1683</v>
      </c>
      <c r="D33" s="13" t="s">
        <v>1684</v>
      </c>
      <c r="E33" s="13" t="s">
        <v>1685</v>
      </c>
      <c r="F33" s="13" t="s">
        <v>1686</v>
      </c>
      <c r="G33" s="13" t="s">
        <v>1475</v>
      </c>
    </row>
    <row r="34" spans="1:7" ht="48" x14ac:dyDescent="0.2">
      <c r="A34" s="12" t="s">
        <v>1687</v>
      </c>
      <c r="B34" s="12" t="s">
        <v>559</v>
      </c>
      <c r="C34" s="12" t="s">
        <v>1688</v>
      </c>
      <c r="D34" s="13" t="s">
        <v>1689</v>
      </c>
      <c r="E34" s="13" t="s">
        <v>1690</v>
      </c>
      <c r="F34" s="13" t="s">
        <v>1691</v>
      </c>
      <c r="G34" s="13" t="s">
        <v>1475</v>
      </c>
    </row>
    <row r="35" spans="1:7" ht="48" x14ac:dyDescent="0.2">
      <c r="A35" s="12" t="s">
        <v>1692</v>
      </c>
      <c r="B35" s="12" t="s">
        <v>559</v>
      </c>
      <c r="C35" s="12" t="s">
        <v>1693</v>
      </c>
      <c r="D35" s="13" t="s">
        <v>1694</v>
      </c>
      <c r="E35" s="13" t="s">
        <v>1695</v>
      </c>
      <c r="F35" s="13" t="s">
        <v>1696</v>
      </c>
      <c r="G35" s="13" t="s">
        <v>1475</v>
      </c>
    </row>
    <row r="36" spans="1:7" ht="48" x14ac:dyDescent="0.2">
      <c r="A36" s="12" t="s">
        <v>1697</v>
      </c>
      <c r="B36" s="12" t="s">
        <v>559</v>
      </c>
      <c r="C36" s="12" t="s">
        <v>1698</v>
      </c>
      <c r="D36" s="13" t="s">
        <v>1699</v>
      </c>
      <c r="E36" s="13" t="s">
        <v>1700</v>
      </c>
      <c r="F36" s="13" t="s">
        <v>1701</v>
      </c>
      <c r="G36" s="13" t="s">
        <v>1475</v>
      </c>
    </row>
    <row r="37" spans="1:7" ht="48" x14ac:dyDescent="0.2">
      <c r="A37" s="12" t="s">
        <v>1702</v>
      </c>
      <c r="B37" s="12" t="s">
        <v>559</v>
      </c>
      <c r="C37" s="12" t="s">
        <v>1703</v>
      </c>
      <c r="D37" s="13" t="s">
        <v>1704</v>
      </c>
      <c r="E37" s="13" t="s">
        <v>1705</v>
      </c>
      <c r="F37" s="13" t="s">
        <v>1706</v>
      </c>
      <c r="G37" s="13" t="s">
        <v>1475</v>
      </c>
    </row>
    <row r="38" spans="1:7" ht="48" x14ac:dyDescent="0.2">
      <c r="A38" s="12" t="s">
        <v>1707</v>
      </c>
      <c r="B38" s="12" t="s">
        <v>559</v>
      </c>
      <c r="C38" s="12" t="s">
        <v>1708</v>
      </c>
      <c r="D38" s="13" t="s">
        <v>1709</v>
      </c>
      <c r="E38" s="13" t="s">
        <v>1710</v>
      </c>
      <c r="F38" s="13" t="s">
        <v>1711</v>
      </c>
      <c r="G38" s="13" t="s">
        <v>1475</v>
      </c>
    </row>
    <row r="39" spans="1:7" ht="80" x14ac:dyDescent="0.2">
      <c r="A39" s="12" t="s">
        <v>1712</v>
      </c>
      <c r="B39" s="12" t="s">
        <v>559</v>
      </c>
      <c r="C39" s="12" t="s">
        <v>1713</v>
      </c>
      <c r="D39" s="13" t="s">
        <v>1714</v>
      </c>
      <c r="E39" s="13" t="s">
        <v>1715</v>
      </c>
      <c r="F39" s="13" t="s">
        <v>1716</v>
      </c>
      <c r="G39" s="13" t="s">
        <v>1475</v>
      </c>
    </row>
    <row r="40" spans="1:7" ht="48" x14ac:dyDescent="0.2">
      <c r="A40" s="12" t="s">
        <v>1717</v>
      </c>
      <c r="B40" s="12" t="s">
        <v>838</v>
      </c>
      <c r="C40" s="12" t="s">
        <v>1554</v>
      </c>
      <c r="D40" s="13" t="s">
        <v>1718</v>
      </c>
      <c r="E40" s="13" t="s">
        <v>1718</v>
      </c>
      <c r="F40" s="13"/>
      <c r="G40" s="13" t="s">
        <v>1485</v>
      </c>
    </row>
    <row r="41" spans="1:7" ht="48" x14ac:dyDescent="0.2">
      <c r="A41" s="12" t="s">
        <v>1719</v>
      </c>
      <c r="B41" s="12" t="s">
        <v>838</v>
      </c>
      <c r="C41" s="12" t="s">
        <v>1559</v>
      </c>
      <c r="D41" s="13" t="s">
        <v>1720</v>
      </c>
      <c r="E41" s="13" t="s">
        <v>1720</v>
      </c>
      <c r="F41" s="13"/>
      <c r="G41" s="13" t="s">
        <v>1485</v>
      </c>
    </row>
    <row r="42" spans="1:7" ht="48" x14ac:dyDescent="0.2">
      <c r="A42" s="12" t="s">
        <v>1721</v>
      </c>
      <c r="B42" s="12" t="s">
        <v>838</v>
      </c>
      <c r="C42" s="12" t="s">
        <v>1564</v>
      </c>
      <c r="D42" s="13" t="s">
        <v>1722</v>
      </c>
      <c r="E42" s="13" t="s">
        <v>1722</v>
      </c>
      <c r="F42" s="13"/>
      <c r="G42" s="13" t="s">
        <v>1485</v>
      </c>
    </row>
    <row r="43" spans="1:7" ht="48" x14ac:dyDescent="0.2">
      <c r="A43" s="12" t="s">
        <v>1723</v>
      </c>
      <c r="B43" s="12" t="s">
        <v>838</v>
      </c>
      <c r="C43" s="12" t="s">
        <v>1569</v>
      </c>
      <c r="D43" s="13" t="s">
        <v>1724</v>
      </c>
      <c r="E43" s="13" t="s">
        <v>1724</v>
      </c>
      <c r="F43" s="13"/>
      <c r="G43" s="13" t="s">
        <v>1485</v>
      </c>
    </row>
    <row r="44" spans="1:7" ht="48" x14ac:dyDescent="0.2">
      <c r="A44" s="12" t="s">
        <v>1725</v>
      </c>
      <c r="B44" s="12" t="s">
        <v>838</v>
      </c>
      <c r="C44" s="12" t="s">
        <v>1574</v>
      </c>
      <c r="D44" s="13" t="s">
        <v>1726</v>
      </c>
      <c r="E44" s="13" t="s">
        <v>1726</v>
      </c>
      <c r="F44" s="13"/>
      <c r="G44" s="13" t="s">
        <v>1485</v>
      </c>
    </row>
    <row r="45" spans="1:7" ht="48" x14ac:dyDescent="0.2">
      <c r="A45" s="12" t="s">
        <v>1727</v>
      </c>
      <c r="B45" s="12" t="s">
        <v>838</v>
      </c>
      <c r="C45" s="12" t="s">
        <v>1728</v>
      </c>
      <c r="D45" s="13" t="s">
        <v>1729</v>
      </c>
      <c r="E45" s="13" t="s">
        <v>1729</v>
      </c>
      <c r="F45" s="13"/>
      <c r="G45" s="13" t="s">
        <v>1485</v>
      </c>
    </row>
    <row r="46" spans="1:7" ht="48" x14ac:dyDescent="0.2">
      <c r="A46" s="12" t="s">
        <v>1730</v>
      </c>
      <c r="B46" s="12" t="s">
        <v>838</v>
      </c>
      <c r="C46" s="12" t="s">
        <v>1731</v>
      </c>
      <c r="D46" s="13" t="s">
        <v>1732</v>
      </c>
      <c r="E46" s="13" t="s">
        <v>1732</v>
      </c>
      <c r="F46" s="13"/>
      <c r="G46" s="13" t="s">
        <v>1485</v>
      </c>
    </row>
    <row r="47" spans="1:7" ht="48" x14ac:dyDescent="0.2">
      <c r="A47" s="12" t="s">
        <v>1733</v>
      </c>
      <c r="B47" s="12" t="s">
        <v>838</v>
      </c>
      <c r="C47" s="12" t="s">
        <v>1734</v>
      </c>
      <c r="D47" s="13" t="s">
        <v>1735</v>
      </c>
      <c r="E47" s="13" t="s">
        <v>1735</v>
      </c>
      <c r="F47" s="13"/>
      <c r="G47" s="13" t="s">
        <v>1485</v>
      </c>
    </row>
    <row r="48" spans="1:7" ht="48" x14ac:dyDescent="0.2">
      <c r="A48" s="12" t="s">
        <v>1736</v>
      </c>
      <c r="B48" s="12" t="s">
        <v>1154</v>
      </c>
      <c r="C48" s="12" t="s">
        <v>1603</v>
      </c>
      <c r="D48" s="13" t="s">
        <v>1737</v>
      </c>
      <c r="E48" s="13" t="s">
        <v>1737</v>
      </c>
      <c r="F48" s="13"/>
      <c r="G48" s="13" t="s">
        <v>1511</v>
      </c>
    </row>
    <row r="49" spans="1:7" ht="48" x14ac:dyDescent="0.2">
      <c r="A49" s="12" t="s">
        <v>1738</v>
      </c>
      <c r="B49" s="12" t="s">
        <v>1154</v>
      </c>
      <c r="C49" s="12" t="s">
        <v>1608</v>
      </c>
      <c r="D49" s="13" t="s">
        <v>1739</v>
      </c>
      <c r="E49" s="13" t="s">
        <v>1739</v>
      </c>
      <c r="F49" s="13"/>
      <c r="G49" s="13" t="s">
        <v>1511</v>
      </c>
    </row>
    <row r="50" spans="1:7" ht="48" x14ac:dyDescent="0.2">
      <c r="A50" s="12" t="s">
        <v>1740</v>
      </c>
      <c r="B50" s="12" t="s">
        <v>1154</v>
      </c>
      <c r="C50" s="12" t="s">
        <v>1613</v>
      </c>
      <c r="D50" s="13" t="s">
        <v>1741</v>
      </c>
      <c r="E50" s="13" t="s">
        <v>1741</v>
      </c>
      <c r="F50" s="13"/>
      <c r="G50" s="13" t="s">
        <v>1511</v>
      </c>
    </row>
    <row r="51" spans="1:7" ht="48" x14ac:dyDescent="0.2">
      <c r="A51" s="12" t="s">
        <v>1742</v>
      </c>
      <c r="B51" s="12" t="s">
        <v>1154</v>
      </c>
      <c r="C51" s="12" t="s">
        <v>1618</v>
      </c>
      <c r="D51" s="13" t="s">
        <v>1743</v>
      </c>
      <c r="E51" s="13" t="s">
        <v>1743</v>
      </c>
      <c r="F51" s="13"/>
      <c r="G51" s="13" t="s">
        <v>1511</v>
      </c>
    </row>
    <row r="52" spans="1:7" ht="48" x14ac:dyDescent="0.2">
      <c r="A52" s="12" t="s">
        <v>1744</v>
      </c>
      <c r="B52" s="12" t="s">
        <v>1154</v>
      </c>
      <c r="C52" s="12" t="s">
        <v>1623</v>
      </c>
      <c r="D52" s="13" t="s">
        <v>1745</v>
      </c>
      <c r="E52" s="13" t="s">
        <v>1745</v>
      </c>
      <c r="F52" s="13"/>
      <c r="G52" s="13" t="s">
        <v>1511</v>
      </c>
    </row>
    <row r="53" spans="1:7" ht="48" x14ac:dyDescent="0.2">
      <c r="A53" s="12" t="s">
        <v>1746</v>
      </c>
      <c r="B53" s="12" t="s">
        <v>1154</v>
      </c>
      <c r="C53" s="12" t="s">
        <v>1628</v>
      </c>
      <c r="D53" s="13" t="s">
        <v>1747</v>
      </c>
      <c r="E53" s="13" t="s">
        <v>1747</v>
      </c>
      <c r="F53" s="13"/>
      <c r="G53" s="13" t="s">
        <v>1511</v>
      </c>
    </row>
    <row r="54" spans="1:7" ht="48" x14ac:dyDescent="0.2">
      <c r="A54" s="12" t="s">
        <v>1748</v>
      </c>
      <c r="B54" s="12" t="s">
        <v>1154</v>
      </c>
      <c r="C54" s="12" t="s">
        <v>1633</v>
      </c>
      <c r="D54" s="13" t="s">
        <v>1749</v>
      </c>
      <c r="E54" s="13" t="s">
        <v>1749</v>
      </c>
      <c r="F54" s="13"/>
      <c r="G54" s="13" t="s">
        <v>1511</v>
      </c>
    </row>
    <row r="55" spans="1:7" ht="48" x14ac:dyDescent="0.2">
      <c r="A55" s="12" t="s">
        <v>1750</v>
      </c>
      <c r="B55" s="12" t="s">
        <v>1154</v>
      </c>
      <c r="C55" s="12" t="s">
        <v>1638</v>
      </c>
      <c r="D55" s="13" t="s">
        <v>1751</v>
      </c>
      <c r="E55" s="13" t="s">
        <v>1751</v>
      </c>
      <c r="F55" s="13"/>
      <c r="G55" s="13" t="s">
        <v>1511</v>
      </c>
    </row>
    <row r="56" spans="1:7" ht="48" x14ac:dyDescent="0.2">
      <c r="A56" s="12" t="s">
        <v>1752</v>
      </c>
      <c r="B56" s="12" t="s">
        <v>1154</v>
      </c>
      <c r="C56" s="12" t="s">
        <v>1643</v>
      </c>
      <c r="D56" s="13" t="s">
        <v>1753</v>
      </c>
      <c r="E56" s="13" t="s">
        <v>1753</v>
      </c>
      <c r="F56" s="13"/>
      <c r="G56" s="13" t="s">
        <v>1511</v>
      </c>
    </row>
    <row r="57" spans="1:7" ht="48" x14ac:dyDescent="0.2">
      <c r="A57" s="12" t="s">
        <v>1754</v>
      </c>
      <c r="B57" s="12" t="s">
        <v>1154</v>
      </c>
      <c r="C57" s="12" t="s">
        <v>1648</v>
      </c>
      <c r="D57" s="13" t="s">
        <v>1755</v>
      </c>
      <c r="E57" s="13" t="s">
        <v>1755</v>
      </c>
      <c r="F57" s="13"/>
      <c r="G57" s="13" t="s">
        <v>1511</v>
      </c>
    </row>
    <row r="58" spans="1:7" ht="48" x14ac:dyDescent="0.2">
      <c r="A58" s="12" t="s">
        <v>1756</v>
      </c>
      <c r="B58" s="12" t="s">
        <v>1154</v>
      </c>
      <c r="C58" s="12" t="s">
        <v>1653</v>
      </c>
      <c r="D58" s="13" t="s">
        <v>1757</v>
      </c>
      <c r="E58" s="13" t="s">
        <v>1757</v>
      </c>
      <c r="F58" s="13"/>
      <c r="G58" s="13" t="s">
        <v>1511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1"/>
  <sheetViews>
    <sheetView showGridLines="0" workbookViewId="0"/>
  </sheetViews>
  <sheetFormatPr baseColWidth="10" defaultColWidth="8.83203125" defaultRowHeight="15" x14ac:dyDescent="0.2"/>
  <cols>
    <col min="1" max="1" width="21" customWidth="1"/>
    <col min="2" max="2" width="19" customWidth="1"/>
    <col min="3" max="3" width="10" customWidth="1"/>
    <col min="4" max="8" width="55" customWidth="1"/>
    <col min="9" max="9" width="18" customWidth="1"/>
    <col min="10" max="10" width="14" customWidth="1"/>
  </cols>
  <sheetData>
    <row r="1" spans="1:10" ht="24" customHeight="1" x14ac:dyDescent="0.2">
      <c r="A1" s="11" t="s">
        <v>1758</v>
      </c>
      <c r="B1" s="11" t="s">
        <v>49</v>
      </c>
      <c r="C1" s="11" t="s">
        <v>1759</v>
      </c>
      <c r="D1" s="11" t="s">
        <v>1549</v>
      </c>
      <c r="E1" s="11" t="s">
        <v>55</v>
      </c>
      <c r="F1" s="11" t="s">
        <v>1760</v>
      </c>
      <c r="G1" s="11" t="s">
        <v>1761</v>
      </c>
      <c r="H1" s="11" t="s">
        <v>1552</v>
      </c>
      <c r="I1" s="11" t="s">
        <v>1762</v>
      </c>
      <c r="J1" s="11" t="s">
        <v>1763</v>
      </c>
    </row>
    <row r="2" spans="1:10" ht="48" x14ac:dyDescent="0.2">
      <c r="A2" s="12" t="s">
        <v>1764</v>
      </c>
      <c r="B2" s="12" t="s">
        <v>437</v>
      </c>
      <c r="C2" s="12" t="s">
        <v>1765</v>
      </c>
      <c r="D2" s="13" t="s">
        <v>1766</v>
      </c>
      <c r="E2" s="13" t="s">
        <v>1767</v>
      </c>
      <c r="F2" s="12" t="s">
        <v>26</v>
      </c>
      <c r="G2" s="13" t="s">
        <v>1768</v>
      </c>
      <c r="H2" s="13" t="s">
        <v>1472</v>
      </c>
      <c r="I2" s="12" t="s">
        <v>26</v>
      </c>
      <c r="J2" s="12" t="s">
        <v>22</v>
      </c>
    </row>
    <row r="3" spans="1:10" ht="48" x14ac:dyDescent="0.2">
      <c r="A3" s="12" t="s">
        <v>1769</v>
      </c>
      <c r="B3" s="12" t="s">
        <v>437</v>
      </c>
      <c r="C3" s="12" t="s">
        <v>1770</v>
      </c>
      <c r="D3" s="13" t="s">
        <v>1771</v>
      </c>
      <c r="E3" s="13" t="s">
        <v>1772</v>
      </c>
      <c r="F3" s="12" t="s">
        <v>22</v>
      </c>
      <c r="G3" s="13" t="s">
        <v>1773</v>
      </c>
      <c r="H3" s="13" t="s">
        <v>1472</v>
      </c>
      <c r="I3" s="12" t="s">
        <v>22</v>
      </c>
      <c r="J3" s="12" t="s">
        <v>26</v>
      </c>
    </row>
    <row r="4" spans="1:10" ht="32" x14ac:dyDescent="0.2">
      <c r="A4" s="12" t="s">
        <v>1774</v>
      </c>
      <c r="B4" s="12" t="s">
        <v>437</v>
      </c>
      <c r="C4" s="12" t="s">
        <v>1775</v>
      </c>
      <c r="D4" s="13" t="s">
        <v>1776</v>
      </c>
      <c r="E4" s="13" t="s">
        <v>1777</v>
      </c>
      <c r="F4" s="12" t="s">
        <v>26</v>
      </c>
      <c r="G4" s="13" t="s">
        <v>1778</v>
      </c>
      <c r="H4" s="13" t="s">
        <v>1472</v>
      </c>
      <c r="I4" s="12" t="s">
        <v>26</v>
      </c>
      <c r="J4" s="12" t="s">
        <v>26</v>
      </c>
    </row>
    <row r="5" spans="1:10" ht="64" x14ac:dyDescent="0.2">
      <c r="A5" s="12" t="s">
        <v>1779</v>
      </c>
      <c r="B5" s="12" t="s">
        <v>437</v>
      </c>
      <c r="C5" s="12" t="s">
        <v>1780</v>
      </c>
      <c r="D5" s="13" t="s">
        <v>1781</v>
      </c>
      <c r="E5" s="13" t="s">
        <v>1782</v>
      </c>
      <c r="F5" s="12" t="s">
        <v>27</v>
      </c>
      <c r="G5" s="13" t="s">
        <v>1783</v>
      </c>
      <c r="H5" s="13" t="s">
        <v>1472</v>
      </c>
      <c r="I5" s="12" t="s">
        <v>27</v>
      </c>
      <c r="J5" s="12" t="s">
        <v>27</v>
      </c>
    </row>
    <row r="6" spans="1:10" ht="80" x14ac:dyDescent="0.2">
      <c r="A6" s="12" t="s">
        <v>1784</v>
      </c>
      <c r="B6" s="12" t="s">
        <v>437</v>
      </c>
      <c r="C6" s="12" t="s">
        <v>1785</v>
      </c>
      <c r="D6" s="13" t="s">
        <v>1786</v>
      </c>
      <c r="E6" s="13" t="s">
        <v>1787</v>
      </c>
      <c r="F6" s="12" t="s">
        <v>27</v>
      </c>
      <c r="G6" s="13" t="s">
        <v>1788</v>
      </c>
      <c r="H6" s="13" t="s">
        <v>1472</v>
      </c>
      <c r="I6" s="12" t="s">
        <v>27</v>
      </c>
      <c r="J6" s="12" t="s">
        <v>22</v>
      </c>
    </row>
    <row r="7" spans="1:10" ht="32" x14ac:dyDescent="0.2">
      <c r="A7" s="12" t="s">
        <v>1789</v>
      </c>
      <c r="B7" s="12" t="s">
        <v>681</v>
      </c>
      <c r="C7" s="12" t="s">
        <v>1790</v>
      </c>
      <c r="D7" s="13" t="s">
        <v>1791</v>
      </c>
      <c r="E7" s="13" t="s">
        <v>26</v>
      </c>
      <c r="F7" s="12" t="s">
        <v>1792</v>
      </c>
      <c r="G7" s="13" t="s">
        <v>1793</v>
      </c>
      <c r="H7" s="13" t="s">
        <v>1479</v>
      </c>
      <c r="I7" s="12" t="s">
        <v>22</v>
      </c>
      <c r="J7" s="12" t="s">
        <v>22</v>
      </c>
    </row>
    <row r="8" spans="1:10" ht="32" x14ac:dyDescent="0.2">
      <c r="A8" s="12" t="s">
        <v>1794</v>
      </c>
      <c r="B8" s="12" t="s">
        <v>681</v>
      </c>
      <c r="C8" s="12" t="s">
        <v>1795</v>
      </c>
      <c r="D8" s="13" t="s">
        <v>1796</v>
      </c>
      <c r="E8" s="13" t="s">
        <v>26</v>
      </c>
      <c r="F8" s="12" t="s">
        <v>1797</v>
      </c>
      <c r="G8" s="13" t="s">
        <v>1798</v>
      </c>
      <c r="H8" s="13" t="s">
        <v>1479</v>
      </c>
      <c r="I8" s="12" t="s">
        <v>26</v>
      </c>
      <c r="J8" s="12" t="s">
        <v>26</v>
      </c>
    </row>
    <row r="9" spans="1:10" ht="32" x14ac:dyDescent="0.2">
      <c r="A9" s="12" t="s">
        <v>1799</v>
      </c>
      <c r="B9" s="12" t="s">
        <v>681</v>
      </c>
      <c r="C9" s="12" t="s">
        <v>1800</v>
      </c>
      <c r="D9" s="13" t="s">
        <v>1801</v>
      </c>
      <c r="E9" s="13" t="s">
        <v>27</v>
      </c>
      <c r="F9" s="12" t="s">
        <v>1802</v>
      </c>
      <c r="G9" s="13" t="s">
        <v>1803</v>
      </c>
      <c r="H9" s="13" t="s">
        <v>1479</v>
      </c>
      <c r="I9" s="12" t="s">
        <v>26</v>
      </c>
      <c r="J9" s="12" t="s">
        <v>26</v>
      </c>
    </row>
    <row r="10" spans="1:10" ht="32" x14ac:dyDescent="0.2">
      <c r="A10" s="12" t="s">
        <v>1804</v>
      </c>
      <c r="B10" s="12" t="s">
        <v>681</v>
      </c>
      <c r="C10" s="12" t="s">
        <v>1805</v>
      </c>
      <c r="D10" s="13" t="s">
        <v>1806</v>
      </c>
      <c r="E10" s="13" t="s">
        <v>27</v>
      </c>
      <c r="F10" s="12" t="s">
        <v>1807</v>
      </c>
      <c r="G10" s="13" t="s">
        <v>1808</v>
      </c>
      <c r="H10" s="13" t="s">
        <v>1479</v>
      </c>
      <c r="I10" s="12" t="s">
        <v>26</v>
      </c>
      <c r="J10" s="12" t="s">
        <v>26</v>
      </c>
    </row>
    <row r="11" spans="1:10" ht="32" x14ac:dyDescent="0.2">
      <c r="A11" s="12" t="s">
        <v>1809</v>
      </c>
      <c r="B11" s="12" t="s">
        <v>838</v>
      </c>
      <c r="C11" s="12" t="s">
        <v>1810</v>
      </c>
      <c r="D11" s="13" t="s">
        <v>1811</v>
      </c>
      <c r="E11" s="13" t="s">
        <v>1811</v>
      </c>
      <c r="F11" s="12"/>
      <c r="G11" s="13"/>
      <c r="H11" s="13" t="s">
        <v>1486</v>
      </c>
      <c r="I11" s="12" t="s">
        <v>1812</v>
      </c>
      <c r="J11" s="12" t="s">
        <v>1812</v>
      </c>
    </row>
    <row r="12" spans="1:10" ht="32" x14ac:dyDescent="0.2">
      <c r="A12" s="12" t="s">
        <v>1813</v>
      </c>
      <c r="B12" s="12" t="s">
        <v>838</v>
      </c>
      <c r="C12" s="12" t="s">
        <v>1814</v>
      </c>
      <c r="D12" s="13" t="s">
        <v>1815</v>
      </c>
      <c r="E12" s="13" t="s">
        <v>1815</v>
      </c>
      <c r="F12" s="12"/>
      <c r="G12" s="13"/>
      <c r="H12" s="13" t="s">
        <v>1486</v>
      </c>
      <c r="I12" s="12" t="s">
        <v>1812</v>
      </c>
      <c r="J12" s="12" t="s">
        <v>1812</v>
      </c>
    </row>
    <row r="13" spans="1:10" ht="32" x14ac:dyDescent="0.2">
      <c r="A13" s="12" t="s">
        <v>1816</v>
      </c>
      <c r="B13" s="12" t="s">
        <v>838</v>
      </c>
      <c r="C13" s="12" t="s">
        <v>1817</v>
      </c>
      <c r="D13" s="13" t="s">
        <v>1818</v>
      </c>
      <c r="E13" s="13" t="s">
        <v>1818</v>
      </c>
      <c r="F13" s="12"/>
      <c r="G13" s="13"/>
      <c r="H13" s="13" t="s">
        <v>1486</v>
      </c>
      <c r="I13" s="12" t="s">
        <v>1812</v>
      </c>
      <c r="J13" s="12" t="s">
        <v>1812</v>
      </c>
    </row>
    <row r="14" spans="1:10" ht="32" x14ac:dyDescent="0.2">
      <c r="A14" s="12" t="s">
        <v>1819</v>
      </c>
      <c r="B14" s="12" t="s">
        <v>838</v>
      </c>
      <c r="C14" s="12" t="s">
        <v>1820</v>
      </c>
      <c r="D14" s="13" t="s">
        <v>1821</v>
      </c>
      <c r="E14" s="13" t="s">
        <v>1821</v>
      </c>
      <c r="F14" s="12"/>
      <c r="G14" s="13"/>
      <c r="H14" s="13" t="s">
        <v>1486</v>
      </c>
      <c r="I14" s="12" t="s">
        <v>1812</v>
      </c>
      <c r="J14" s="12" t="s">
        <v>1812</v>
      </c>
    </row>
    <row r="15" spans="1:10" ht="32" x14ac:dyDescent="0.2">
      <c r="A15" s="12" t="s">
        <v>1822</v>
      </c>
      <c r="B15" s="12" t="s">
        <v>1016</v>
      </c>
      <c r="C15" s="12" t="s">
        <v>1765</v>
      </c>
      <c r="D15" s="13" t="s">
        <v>1823</v>
      </c>
      <c r="E15" s="13" t="s">
        <v>26</v>
      </c>
      <c r="F15" s="12" t="s">
        <v>22</v>
      </c>
      <c r="G15" s="13" t="s">
        <v>1824</v>
      </c>
      <c r="H15" s="13" t="s">
        <v>1500</v>
      </c>
      <c r="I15" s="12" t="s">
        <v>22</v>
      </c>
      <c r="J15" s="12" t="s">
        <v>22</v>
      </c>
    </row>
    <row r="16" spans="1:10" ht="32" x14ac:dyDescent="0.2">
      <c r="A16" s="12" t="s">
        <v>1825</v>
      </c>
      <c r="B16" s="12" t="s">
        <v>1016</v>
      </c>
      <c r="C16" s="12" t="s">
        <v>1770</v>
      </c>
      <c r="D16" s="13" t="s">
        <v>1826</v>
      </c>
      <c r="E16" s="13" t="s">
        <v>26</v>
      </c>
      <c r="F16" s="12" t="s">
        <v>26</v>
      </c>
      <c r="G16" s="13" t="s">
        <v>1827</v>
      </c>
      <c r="H16" s="13" t="s">
        <v>1500</v>
      </c>
      <c r="I16" s="12" t="s">
        <v>26</v>
      </c>
      <c r="J16" s="12" t="s">
        <v>26</v>
      </c>
    </row>
    <row r="17" spans="1:10" ht="32" x14ac:dyDescent="0.2">
      <c r="A17" s="12" t="s">
        <v>1828</v>
      </c>
      <c r="B17" s="12" t="s">
        <v>1016</v>
      </c>
      <c r="C17" s="12" t="s">
        <v>1775</v>
      </c>
      <c r="D17" s="13" t="s">
        <v>1829</v>
      </c>
      <c r="E17" s="13" t="s">
        <v>26</v>
      </c>
      <c r="F17" s="12" t="s">
        <v>27</v>
      </c>
      <c r="G17" s="13" t="s">
        <v>1830</v>
      </c>
      <c r="H17" s="13" t="s">
        <v>1500</v>
      </c>
      <c r="I17" s="12" t="s">
        <v>27</v>
      </c>
      <c r="J17" s="12" t="s">
        <v>27</v>
      </c>
    </row>
    <row r="18" spans="1:10" ht="32" x14ac:dyDescent="0.2">
      <c r="A18" s="12" t="s">
        <v>1831</v>
      </c>
      <c r="B18" s="12" t="s">
        <v>1016</v>
      </c>
      <c r="C18" s="12" t="s">
        <v>1780</v>
      </c>
      <c r="D18" s="13" t="s">
        <v>1832</v>
      </c>
      <c r="E18" s="13" t="s">
        <v>27</v>
      </c>
      <c r="F18" s="12" t="s">
        <v>27</v>
      </c>
      <c r="G18" s="13" t="s">
        <v>1833</v>
      </c>
      <c r="H18" s="13" t="s">
        <v>1500</v>
      </c>
      <c r="I18" s="12" t="s">
        <v>27</v>
      </c>
      <c r="J18" s="12" t="s">
        <v>27</v>
      </c>
    </row>
    <row r="19" spans="1:10" ht="32" x14ac:dyDescent="0.2">
      <c r="A19" s="12" t="s">
        <v>1834</v>
      </c>
      <c r="B19" s="12" t="s">
        <v>1016</v>
      </c>
      <c r="C19" s="12" t="s">
        <v>1785</v>
      </c>
      <c r="D19" s="13" t="s">
        <v>1835</v>
      </c>
      <c r="E19" s="13" t="s">
        <v>27</v>
      </c>
      <c r="F19" s="12" t="s">
        <v>27</v>
      </c>
      <c r="G19" s="13" t="s">
        <v>1836</v>
      </c>
      <c r="H19" s="13" t="s">
        <v>1500</v>
      </c>
      <c r="I19" s="12" t="s">
        <v>27</v>
      </c>
      <c r="J19" s="12" t="s">
        <v>27</v>
      </c>
    </row>
    <row r="20" spans="1:10" ht="32" x14ac:dyDescent="0.2">
      <c r="A20" s="12" t="s">
        <v>1837</v>
      </c>
      <c r="B20" s="12" t="s">
        <v>1016</v>
      </c>
      <c r="C20" s="12" t="s">
        <v>1838</v>
      </c>
      <c r="D20" s="13" t="s">
        <v>1839</v>
      </c>
      <c r="E20" s="13" t="s">
        <v>27</v>
      </c>
      <c r="F20" s="12" t="s">
        <v>22</v>
      </c>
      <c r="G20" s="13" t="s">
        <v>1840</v>
      </c>
      <c r="H20" s="13" t="s">
        <v>1500</v>
      </c>
      <c r="I20" s="12" t="s">
        <v>22</v>
      </c>
      <c r="J20" s="12" t="s">
        <v>22</v>
      </c>
    </row>
    <row r="21" spans="1:10" ht="64" x14ac:dyDescent="0.2">
      <c r="A21" s="12" t="s">
        <v>1841</v>
      </c>
      <c r="B21" s="12" t="s">
        <v>1116</v>
      </c>
      <c r="C21" s="12" t="s">
        <v>1790</v>
      </c>
      <c r="D21" s="13" t="s">
        <v>1842</v>
      </c>
      <c r="E21" s="13" t="s">
        <v>26</v>
      </c>
      <c r="F21" s="12" t="s">
        <v>1843</v>
      </c>
      <c r="G21" s="13" t="s">
        <v>1844</v>
      </c>
      <c r="H21" s="13" t="s">
        <v>1504</v>
      </c>
      <c r="I21" s="12" t="s">
        <v>26</v>
      </c>
      <c r="J21" s="12" t="s">
        <v>26</v>
      </c>
    </row>
    <row r="22" spans="1:10" ht="32" x14ac:dyDescent="0.2">
      <c r="A22" s="12" t="s">
        <v>1845</v>
      </c>
      <c r="B22" s="12" t="s">
        <v>1116</v>
      </c>
      <c r="C22" s="12" t="s">
        <v>1795</v>
      </c>
      <c r="D22" s="13" t="s">
        <v>1846</v>
      </c>
      <c r="E22" s="13" t="s">
        <v>1847</v>
      </c>
      <c r="F22" s="12" t="s">
        <v>1848</v>
      </c>
      <c r="G22" s="13" t="s">
        <v>1849</v>
      </c>
      <c r="H22" s="13" t="s">
        <v>1504</v>
      </c>
      <c r="I22" s="12" t="s">
        <v>22</v>
      </c>
      <c r="J22" s="12" t="s">
        <v>22</v>
      </c>
    </row>
    <row r="23" spans="1:10" ht="32" x14ac:dyDescent="0.2">
      <c r="A23" s="12" t="s">
        <v>1850</v>
      </c>
      <c r="B23" s="12" t="s">
        <v>1116</v>
      </c>
      <c r="C23" s="12" t="s">
        <v>1800</v>
      </c>
      <c r="D23" s="13" t="s">
        <v>1851</v>
      </c>
      <c r="E23" s="13" t="s">
        <v>27</v>
      </c>
      <c r="F23" s="12" t="s">
        <v>1852</v>
      </c>
      <c r="G23" s="13" t="s">
        <v>1853</v>
      </c>
      <c r="H23" s="13" t="s">
        <v>1504</v>
      </c>
      <c r="I23" s="12" t="s">
        <v>1847</v>
      </c>
      <c r="J23" s="12" t="s">
        <v>1847</v>
      </c>
    </row>
    <row r="24" spans="1:10" ht="48" x14ac:dyDescent="0.2">
      <c r="A24" s="12" t="s">
        <v>1854</v>
      </c>
      <c r="B24" s="12" t="s">
        <v>1116</v>
      </c>
      <c r="C24" s="12" t="s">
        <v>1805</v>
      </c>
      <c r="D24" s="13" t="s">
        <v>1855</v>
      </c>
      <c r="E24" s="13" t="s">
        <v>1847</v>
      </c>
      <c r="F24" s="12" t="s">
        <v>1856</v>
      </c>
      <c r="G24" s="13" t="s">
        <v>1857</v>
      </c>
      <c r="H24" s="13" t="s">
        <v>1504</v>
      </c>
      <c r="I24" s="12" t="s">
        <v>26</v>
      </c>
      <c r="J24" s="12" t="s">
        <v>26</v>
      </c>
    </row>
    <row r="25" spans="1:10" ht="48" x14ac:dyDescent="0.2">
      <c r="A25" s="12" t="s">
        <v>1858</v>
      </c>
      <c r="B25" s="12" t="s">
        <v>1116</v>
      </c>
      <c r="C25" s="12" t="s">
        <v>1859</v>
      </c>
      <c r="D25" s="13" t="s">
        <v>1860</v>
      </c>
      <c r="E25" s="13" t="s">
        <v>26</v>
      </c>
      <c r="F25" s="12" t="s">
        <v>1856</v>
      </c>
      <c r="G25" s="13" t="s">
        <v>1861</v>
      </c>
      <c r="H25" s="13" t="s">
        <v>1504</v>
      </c>
      <c r="I25" s="12" t="s">
        <v>26</v>
      </c>
      <c r="J25" s="12" t="s">
        <v>26</v>
      </c>
    </row>
    <row r="26" spans="1:10" ht="48" x14ac:dyDescent="0.2">
      <c r="A26" s="12" t="s">
        <v>1862</v>
      </c>
      <c r="B26" s="12" t="s">
        <v>1140</v>
      </c>
      <c r="C26" s="12" t="s">
        <v>1810</v>
      </c>
      <c r="D26" s="13" t="s">
        <v>1863</v>
      </c>
      <c r="E26" s="13" t="s">
        <v>1864</v>
      </c>
      <c r="F26" s="12" t="s">
        <v>26</v>
      </c>
      <c r="G26" s="13" t="s">
        <v>1865</v>
      </c>
      <c r="H26" s="13" t="s">
        <v>1508</v>
      </c>
      <c r="I26" s="12" t="s">
        <v>26</v>
      </c>
      <c r="J26" s="12" t="s">
        <v>26</v>
      </c>
    </row>
    <row r="27" spans="1:10" ht="48" x14ac:dyDescent="0.2">
      <c r="A27" s="12" t="s">
        <v>1866</v>
      </c>
      <c r="B27" s="12" t="s">
        <v>1140</v>
      </c>
      <c r="C27" s="12" t="s">
        <v>1814</v>
      </c>
      <c r="D27" s="13" t="s">
        <v>1867</v>
      </c>
      <c r="E27" s="13" t="s">
        <v>1868</v>
      </c>
      <c r="F27" s="12" t="s">
        <v>27</v>
      </c>
      <c r="G27" s="13" t="s">
        <v>1869</v>
      </c>
      <c r="H27" s="13" t="s">
        <v>1508</v>
      </c>
      <c r="I27" s="12" t="s">
        <v>27</v>
      </c>
      <c r="J27" s="12" t="s">
        <v>27</v>
      </c>
    </row>
    <row r="28" spans="1:10" ht="48" x14ac:dyDescent="0.2">
      <c r="A28" s="12" t="s">
        <v>1870</v>
      </c>
      <c r="B28" s="12" t="s">
        <v>1140</v>
      </c>
      <c r="C28" s="12" t="s">
        <v>1817</v>
      </c>
      <c r="D28" s="13" t="s">
        <v>1871</v>
      </c>
      <c r="E28" s="13" t="s">
        <v>1872</v>
      </c>
      <c r="F28" s="12" t="s">
        <v>27</v>
      </c>
      <c r="G28" s="13" t="s">
        <v>1873</v>
      </c>
      <c r="H28" s="13" t="s">
        <v>1508</v>
      </c>
      <c r="I28" s="12" t="s">
        <v>27</v>
      </c>
      <c r="J28" s="12" t="s">
        <v>27</v>
      </c>
    </row>
    <row r="29" spans="1:10" ht="32" x14ac:dyDescent="0.2">
      <c r="A29" s="12" t="s">
        <v>1874</v>
      </c>
      <c r="B29" s="12" t="s">
        <v>1296</v>
      </c>
      <c r="C29" s="12" t="s">
        <v>1765</v>
      </c>
      <c r="D29" s="13" t="s">
        <v>1875</v>
      </c>
      <c r="E29" s="13" t="s">
        <v>26</v>
      </c>
      <c r="F29" s="12" t="s">
        <v>1876</v>
      </c>
      <c r="G29" s="13" t="s">
        <v>1877</v>
      </c>
      <c r="H29" s="13" t="s">
        <v>1526</v>
      </c>
      <c r="I29" s="12" t="s">
        <v>22</v>
      </c>
      <c r="J29" s="12" t="s">
        <v>22</v>
      </c>
    </row>
    <row r="30" spans="1:10" ht="32" x14ac:dyDescent="0.2">
      <c r="A30" s="12" t="s">
        <v>1878</v>
      </c>
      <c r="B30" s="12" t="s">
        <v>1296</v>
      </c>
      <c r="C30" s="12" t="s">
        <v>1770</v>
      </c>
      <c r="D30" s="13" t="s">
        <v>1879</v>
      </c>
      <c r="E30" s="13" t="s">
        <v>26</v>
      </c>
      <c r="F30" s="12" t="s">
        <v>1880</v>
      </c>
      <c r="G30" s="13" t="s">
        <v>1881</v>
      </c>
      <c r="H30" s="13" t="s">
        <v>1526</v>
      </c>
      <c r="I30" s="12" t="s">
        <v>26</v>
      </c>
      <c r="J30" s="12" t="s">
        <v>26</v>
      </c>
    </row>
    <row r="31" spans="1:10" ht="32" x14ac:dyDescent="0.2">
      <c r="A31" s="12" t="s">
        <v>1882</v>
      </c>
      <c r="B31" s="12" t="s">
        <v>1296</v>
      </c>
      <c r="C31" s="12" t="s">
        <v>1775</v>
      </c>
      <c r="D31" s="13" t="s">
        <v>1883</v>
      </c>
      <c r="E31" s="13" t="s">
        <v>1847</v>
      </c>
      <c r="F31" s="12" t="s">
        <v>1884</v>
      </c>
      <c r="G31" s="13" t="s">
        <v>1885</v>
      </c>
      <c r="H31" s="13" t="s">
        <v>1526</v>
      </c>
      <c r="I31" s="12" t="s">
        <v>26</v>
      </c>
      <c r="J31" s="12" t="s">
        <v>26</v>
      </c>
    </row>
    <row r="32" spans="1:10" ht="32" x14ac:dyDescent="0.2">
      <c r="A32" s="12" t="s">
        <v>1886</v>
      </c>
      <c r="B32" s="12" t="s">
        <v>1296</v>
      </c>
      <c r="C32" s="12" t="s">
        <v>1780</v>
      </c>
      <c r="D32" s="13" t="s">
        <v>1887</v>
      </c>
      <c r="E32" s="13" t="s">
        <v>27</v>
      </c>
      <c r="F32" s="12" t="s">
        <v>1847</v>
      </c>
      <c r="G32" s="13" t="s">
        <v>1888</v>
      </c>
      <c r="H32" s="13" t="s">
        <v>1526</v>
      </c>
      <c r="I32" s="12" t="s">
        <v>1847</v>
      </c>
      <c r="J32" s="12" t="s">
        <v>1847</v>
      </c>
    </row>
    <row r="33" spans="1:10" ht="32" x14ac:dyDescent="0.2">
      <c r="A33" s="12" t="s">
        <v>1889</v>
      </c>
      <c r="B33" s="12" t="s">
        <v>1309</v>
      </c>
      <c r="C33" s="12" t="s">
        <v>1765</v>
      </c>
      <c r="D33" s="13" t="s">
        <v>1890</v>
      </c>
      <c r="E33" s="13" t="s">
        <v>26</v>
      </c>
      <c r="F33" s="12" t="s">
        <v>1891</v>
      </c>
      <c r="G33" s="13" t="s">
        <v>1892</v>
      </c>
      <c r="H33" s="13" t="s">
        <v>1530</v>
      </c>
      <c r="I33" s="12" t="s">
        <v>26</v>
      </c>
      <c r="J33" s="12" t="s">
        <v>1812</v>
      </c>
    </row>
    <row r="34" spans="1:10" ht="32" x14ac:dyDescent="0.2">
      <c r="A34" s="12" t="s">
        <v>1893</v>
      </c>
      <c r="B34" s="12" t="s">
        <v>1309</v>
      </c>
      <c r="C34" s="12" t="s">
        <v>1770</v>
      </c>
      <c r="D34" s="13" t="s">
        <v>1894</v>
      </c>
      <c r="E34" s="13" t="s">
        <v>26</v>
      </c>
      <c r="F34" s="12" t="s">
        <v>1895</v>
      </c>
      <c r="G34" s="13" t="s">
        <v>1896</v>
      </c>
      <c r="H34" s="13" t="s">
        <v>1530</v>
      </c>
      <c r="I34" s="12" t="s">
        <v>26</v>
      </c>
      <c r="J34" s="12" t="s">
        <v>1812</v>
      </c>
    </row>
    <row r="35" spans="1:10" ht="32" x14ac:dyDescent="0.2">
      <c r="A35" s="12" t="s">
        <v>1897</v>
      </c>
      <c r="B35" s="12" t="s">
        <v>1309</v>
      </c>
      <c r="C35" s="12" t="s">
        <v>1775</v>
      </c>
      <c r="D35" s="13" t="s">
        <v>1898</v>
      </c>
      <c r="E35" s="13" t="s">
        <v>27</v>
      </c>
      <c r="F35" s="12" t="s">
        <v>1899</v>
      </c>
      <c r="G35" s="13" t="s">
        <v>1900</v>
      </c>
      <c r="H35" s="13" t="s">
        <v>1530</v>
      </c>
      <c r="I35" s="12" t="s">
        <v>27</v>
      </c>
      <c r="J35" s="12" t="s">
        <v>1812</v>
      </c>
    </row>
    <row r="36" spans="1:10" ht="32" x14ac:dyDescent="0.2">
      <c r="A36" s="12" t="s">
        <v>1901</v>
      </c>
      <c r="B36" s="12" t="s">
        <v>1309</v>
      </c>
      <c r="C36" s="12" t="s">
        <v>1780</v>
      </c>
      <c r="D36" s="13" t="s">
        <v>1902</v>
      </c>
      <c r="E36" s="13" t="s">
        <v>27</v>
      </c>
      <c r="F36" s="12" t="s">
        <v>1903</v>
      </c>
      <c r="G36" s="13" t="s">
        <v>1904</v>
      </c>
      <c r="H36" s="13" t="s">
        <v>1530</v>
      </c>
      <c r="I36" s="12" t="s">
        <v>27</v>
      </c>
      <c r="J36" s="12" t="s">
        <v>1812</v>
      </c>
    </row>
    <row r="37" spans="1:10" ht="32" x14ac:dyDescent="0.2">
      <c r="A37" s="12" t="s">
        <v>1905</v>
      </c>
      <c r="B37" s="12" t="s">
        <v>1317</v>
      </c>
      <c r="C37" s="12" t="s">
        <v>1790</v>
      </c>
      <c r="D37" s="13" t="s">
        <v>1906</v>
      </c>
      <c r="E37" s="13" t="s">
        <v>26</v>
      </c>
      <c r="F37" s="12" t="s">
        <v>1907</v>
      </c>
      <c r="G37" s="13" t="s">
        <v>1908</v>
      </c>
      <c r="H37" s="13" t="s">
        <v>1534</v>
      </c>
      <c r="I37" s="12" t="s">
        <v>26</v>
      </c>
      <c r="J37" s="12" t="s">
        <v>26</v>
      </c>
    </row>
    <row r="38" spans="1:10" ht="32" x14ac:dyDescent="0.2">
      <c r="A38" s="12" t="s">
        <v>1909</v>
      </c>
      <c r="B38" s="12" t="s">
        <v>1317</v>
      </c>
      <c r="C38" s="12" t="s">
        <v>1795</v>
      </c>
      <c r="D38" s="13" t="s">
        <v>1910</v>
      </c>
      <c r="E38" s="13" t="s">
        <v>26</v>
      </c>
      <c r="F38" s="12" t="s">
        <v>1911</v>
      </c>
      <c r="G38" s="13" t="s">
        <v>1912</v>
      </c>
      <c r="H38" s="13" t="s">
        <v>1534</v>
      </c>
      <c r="I38" s="12" t="s">
        <v>26</v>
      </c>
      <c r="J38" s="12" t="s">
        <v>26</v>
      </c>
    </row>
    <row r="39" spans="1:10" ht="32" x14ac:dyDescent="0.2">
      <c r="A39" s="12" t="s">
        <v>1913</v>
      </c>
      <c r="B39" s="12" t="s">
        <v>1317</v>
      </c>
      <c r="C39" s="12" t="s">
        <v>1800</v>
      </c>
      <c r="D39" s="13" t="s">
        <v>1914</v>
      </c>
      <c r="E39" s="13" t="s">
        <v>22</v>
      </c>
      <c r="F39" s="12" t="s">
        <v>1915</v>
      </c>
      <c r="G39" s="13" t="s">
        <v>1916</v>
      </c>
      <c r="H39" s="13" t="s">
        <v>1534</v>
      </c>
      <c r="I39" s="12" t="s">
        <v>22</v>
      </c>
      <c r="J39" s="12" t="s">
        <v>22</v>
      </c>
    </row>
    <row r="40" spans="1:10" ht="32" x14ac:dyDescent="0.2">
      <c r="A40" s="12" t="s">
        <v>1917</v>
      </c>
      <c r="B40" s="12" t="s">
        <v>1317</v>
      </c>
      <c r="C40" s="12" t="s">
        <v>1805</v>
      </c>
      <c r="D40" s="13" t="s">
        <v>1918</v>
      </c>
      <c r="E40" s="13" t="s">
        <v>26</v>
      </c>
      <c r="F40" s="12" t="s">
        <v>1919</v>
      </c>
      <c r="G40" s="13" t="s">
        <v>1920</v>
      </c>
      <c r="H40" s="13" t="s">
        <v>1534</v>
      </c>
      <c r="I40" s="12" t="s">
        <v>27</v>
      </c>
      <c r="J40" s="12" t="s">
        <v>27</v>
      </c>
    </row>
    <row r="41" spans="1:10" ht="32" x14ac:dyDescent="0.2">
      <c r="A41" s="12" t="s">
        <v>1921</v>
      </c>
      <c r="B41" s="12" t="s">
        <v>1317</v>
      </c>
      <c r="C41" s="12" t="s">
        <v>1859</v>
      </c>
      <c r="D41" s="13" t="s">
        <v>1922</v>
      </c>
      <c r="E41" s="13" t="s">
        <v>27</v>
      </c>
      <c r="F41" s="12" t="s">
        <v>1923</v>
      </c>
      <c r="G41" s="13" t="s">
        <v>1924</v>
      </c>
      <c r="H41" s="13" t="s">
        <v>1534</v>
      </c>
      <c r="I41" s="12" t="s">
        <v>27</v>
      </c>
      <c r="J41" s="12" t="s">
        <v>27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3"/>
  <sheetViews>
    <sheetView showGridLines="0" topLeftCell="A3" workbookViewId="0"/>
  </sheetViews>
  <sheetFormatPr baseColWidth="10" defaultColWidth="8.83203125" defaultRowHeight="15" x14ac:dyDescent="0.2"/>
  <cols>
    <col min="1" max="1" width="120" customWidth="1"/>
  </cols>
  <sheetData>
    <row r="1" spans="1:1" ht="19" x14ac:dyDescent="0.25">
      <c r="A1" s="17" t="s">
        <v>1925</v>
      </c>
    </row>
    <row r="3" spans="1:1" ht="409.6" customHeight="1" x14ac:dyDescent="0.2">
      <c r="A3" s="13" t="s">
        <v>1926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2"/>
  <sheetViews>
    <sheetView showGridLines="0" workbookViewId="0"/>
  </sheetViews>
  <sheetFormatPr baseColWidth="10" defaultColWidth="8.83203125" defaultRowHeight="15" x14ac:dyDescent="0.2"/>
  <cols>
    <col min="1" max="4" width="18" customWidth="1"/>
  </cols>
  <sheetData>
    <row r="1" spans="1:4" x14ac:dyDescent="0.2">
      <c r="A1" s="6" t="s">
        <v>1927</v>
      </c>
      <c r="B1" s="6" t="s">
        <v>1928</v>
      </c>
      <c r="C1" s="6" t="s">
        <v>1929</v>
      </c>
      <c r="D1" s="6" t="s">
        <v>14</v>
      </c>
    </row>
    <row r="2" spans="1:4" x14ac:dyDescent="0.2">
      <c r="A2" t="s">
        <v>10</v>
      </c>
      <c r="B2" t="s">
        <v>10</v>
      </c>
      <c r="C2" t="s">
        <v>10</v>
      </c>
      <c r="D2" t="s">
        <v>10</v>
      </c>
    </row>
    <row r="3" spans="1:4" x14ac:dyDescent="0.2">
      <c r="A3" t="s">
        <v>31</v>
      </c>
      <c r="B3" t="s">
        <v>64</v>
      </c>
      <c r="C3" t="s">
        <v>16</v>
      </c>
      <c r="D3" t="s">
        <v>22</v>
      </c>
    </row>
    <row r="4" spans="1:4" x14ac:dyDescent="0.2">
      <c r="A4" t="s">
        <v>32</v>
      </c>
      <c r="B4" t="s">
        <v>91</v>
      </c>
      <c r="C4" t="s">
        <v>17</v>
      </c>
      <c r="D4" t="s">
        <v>27</v>
      </c>
    </row>
    <row r="5" spans="1:4" x14ac:dyDescent="0.2">
      <c r="A5" t="s">
        <v>33</v>
      </c>
      <c r="B5" t="s">
        <v>107</v>
      </c>
      <c r="C5" t="s">
        <v>20</v>
      </c>
      <c r="D5" t="s">
        <v>25</v>
      </c>
    </row>
    <row r="6" spans="1:4" x14ac:dyDescent="0.2">
      <c r="A6" t="s">
        <v>34</v>
      </c>
      <c r="B6" t="s">
        <v>133</v>
      </c>
      <c r="C6" t="s">
        <v>15</v>
      </c>
      <c r="D6" t="s">
        <v>26</v>
      </c>
    </row>
    <row r="7" spans="1:4" x14ac:dyDescent="0.2">
      <c r="A7" t="s">
        <v>35</v>
      </c>
      <c r="B7" t="s">
        <v>172</v>
      </c>
    </row>
    <row r="8" spans="1:4" x14ac:dyDescent="0.2">
      <c r="B8" t="s">
        <v>183</v>
      </c>
    </row>
    <row r="9" spans="1:4" x14ac:dyDescent="0.2">
      <c r="B9" t="s">
        <v>206</v>
      </c>
    </row>
    <row r="10" spans="1:4" x14ac:dyDescent="0.2">
      <c r="B10" t="s">
        <v>226</v>
      </c>
    </row>
    <row r="11" spans="1:4" x14ac:dyDescent="0.2">
      <c r="B11" t="s">
        <v>277</v>
      </c>
    </row>
    <row r="12" spans="1:4" x14ac:dyDescent="0.2">
      <c r="B12" t="s">
        <v>437</v>
      </c>
    </row>
    <row r="13" spans="1:4" x14ac:dyDescent="0.2">
      <c r="B13" t="s">
        <v>559</v>
      </c>
    </row>
    <row r="14" spans="1:4" x14ac:dyDescent="0.2">
      <c r="B14" t="s">
        <v>681</v>
      </c>
    </row>
    <row r="15" spans="1:4" x14ac:dyDescent="0.2">
      <c r="B15" t="s">
        <v>764</v>
      </c>
    </row>
    <row r="16" spans="1:4" x14ac:dyDescent="0.2">
      <c r="B16" t="s">
        <v>838</v>
      </c>
    </row>
    <row r="17" spans="2:2" x14ac:dyDescent="0.2">
      <c r="B17" t="s">
        <v>869</v>
      </c>
    </row>
    <row r="18" spans="2:2" x14ac:dyDescent="0.2">
      <c r="B18" t="s">
        <v>881</v>
      </c>
    </row>
    <row r="19" spans="2:2" x14ac:dyDescent="0.2">
      <c r="B19" t="s">
        <v>952</v>
      </c>
    </row>
    <row r="20" spans="2:2" x14ac:dyDescent="0.2">
      <c r="B20" t="s">
        <v>1016</v>
      </c>
    </row>
    <row r="21" spans="2:2" x14ac:dyDescent="0.2">
      <c r="B21" t="s">
        <v>1116</v>
      </c>
    </row>
    <row r="22" spans="2:2" x14ac:dyDescent="0.2">
      <c r="B22" t="s">
        <v>1140</v>
      </c>
    </row>
    <row r="23" spans="2:2" x14ac:dyDescent="0.2">
      <c r="B23" t="s">
        <v>1154</v>
      </c>
    </row>
    <row r="24" spans="2:2" x14ac:dyDescent="0.2">
      <c r="B24" t="s">
        <v>1218</v>
      </c>
    </row>
    <row r="25" spans="2:2" x14ac:dyDescent="0.2">
      <c r="B25" t="s">
        <v>1262</v>
      </c>
    </row>
    <row r="26" spans="2:2" x14ac:dyDescent="0.2">
      <c r="B26" t="s">
        <v>1276</v>
      </c>
    </row>
    <row r="27" spans="2:2" x14ac:dyDescent="0.2">
      <c r="B27" t="s">
        <v>1296</v>
      </c>
    </row>
    <row r="28" spans="2:2" x14ac:dyDescent="0.2">
      <c r="B28" t="s">
        <v>1309</v>
      </c>
    </row>
    <row r="29" spans="2:2" x14ac:dyDescent="0.2">
      <c r="B29" t="s">
        <v>1317</v>
      </c>
    </row>
    <row r="30" spans="2:2" x14ac:dyDescent="0.2">
      <c r="B30" t="s">
        <v>1331</v>
      </c>
    </row>
    <row r="31" spans="2:2" x14ac:dyDescent="0.2">
      <c r="B31" t="s">
        <v>1344</v>
      </c>
    </row>
    <row r="32" spans="2:2" x14ac:dyDescent="0.2">
      <c r="B32" t="s">
        <v>1378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Detail_Lines</vt:lpstr>
      <vt:lpstr>Summary_WBS</vt:lpstr>
      <vt:lpstr>Summary_CBS</vt:lpstr>
      <vt:lpstr>WBSxCBS_Matrix</vt:lpstr>
      <vt:lpstr>BOE_Index</vt:lpstr>
      <vt:lpstr>Coverage</vt:lpstr>
      <vt:lpstr>Assumptions</vt:lpstr>
      <vt:lpstr>Risks</vt:lpstr>
      <vt:lpstr>BOE_Collection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Tufts</cp:lastModifiedBy>
  <dcterms:created xsi:type="dcterms:W3CDTF">2026-02-20T03:30:31Z</dcterms:created>
  <dcterms:modified xsi:type="dcterms:W3CDTF">2026-02-20T03:30:31Z</dcterms:modified>
</cp:coreProperties>
</file>