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mmary_Packages" sheetId="3" state="visible" r:id="rId3"/>
    <sheet xmlns:r="http://schemas.openxmlformats.org/officeDocument/2006/relationships" name="Summary_CBS" sheetId="4" state="visible" r:id="rId4"/>
    <sheet xmlns:r="http://schemas.openxmlformats.org/officeDocument/2006/relationships" name="Summary_Methods" sheetId="5" state="visible" r:id="rId5"/>
    <sheet xmlns:r="http://schemas.openxmlformats.org/officeDocument/2006/relationships" name="Assumptions_Groups" sheetId="6" state="visible" r:id="rId6"/>
    <sheet xmlns:r="http://schemas.openxmlformats.org/officeDocument/2006/relationships" name="Assumptions_Items" sheetId="7" state="visible" r:id="rId7"/>
    <sheet xmlns:r="http://schemas.openxmlformats.org/officeDocument/2006/relationships" name="Risks_Groups" sheetId="8" state="visible" r:id="rId8"/>
    <sheet xmlns:r="http://schemas.openxmlformats.org/officeDocument/2006/relationships" name="Risks_Items" sheetId="9" state="visible" r:id="rId9"/>
    <sheet xmlns:r="http://schemas.openxmlformats.org/officeDocument/2006/relationships" name="Detail" sheetId="10" state="visible" r:id="rId10"/>
    <sheet xmlns:r="http://schemas.openxmlformats.org/officeDocument/2006/relationships" name="BOE_Reference" sheetId="11" state="visible" r:id="rId11"/>
    <sheet xmlns:r="http://schemas.openxmlformats.org/officeDocument/2006/relationships" name="Inputs" sheetId="12" state="visible" r:id="rId12"/>
  </sheets>
  <definedNames/>
  <calcPr calcId="124519" calcMode="auto" fullCalcOnLoad="1"/>
</workbook>
</file>

<file path=xl/styles.xml><?xml version="1.0" encoding="utf-8"?>
<styleSheet xmlns="http://schemas.openxmlformats.org/spreadsheetml/2006/main">
  <numFmts count="3">
    <numFmt numFmtId="164" formatCode="$#,##0"/>
    <numFmt numFmtId="165" formatCode="0.0%"/>
    <numFmt numFmtId="166" formatCode="$#,##0.00"/>
  </numFmts>
  <fonts count="9">
    <font>
      <name val="Calibri"/>
      <family val="2"/>
      <color theme="1"/>
      <sz val="11"/>
      <scheme val="minor"/>
    </font>
    <font>
      <b val="1"/>
      <color rgb="001F4E79"/>
      <sz val="18"/>
    </font>
    <font>
      <b val="1"/>
      <sz val="12"/>
    </font>
    <font>
      <name val="Calibri"/>
      <family val="2"/>
      <color theme="10"/>
      <sz val="12"/>
      <scheme val="minor"/>
    </font>
    <font>
      <b val="1"/>
      <color rgb="001F4E79"/>
      <sz val="16"/>
    </font>
    <font>
      <b val="1"/>
    </font>
    <font>
      <b val="1"/>
      <color rgb="00FFFFFF"/>
    </font>
    <font>
      <b val="1"/>
      <color rgb="001F4E79"/>
      <sz val="20"/>
    </font>
    <font>
      <color rgb="00404040"/>
    </font>
  </fonts>
  <fills count="5">
    <fill>
      <patternFill/>
    </fill>
    <fill>
      <patternFill patternType="gray125"/>
    </fill>
    <fill>
      <patternFill patternType="solid">
        <fgColor rgb="001F4E79"/>
      </patternFill>
    </fill>
    <fill>
      <patternFill patternType="solid">
        <fgColor rgb="00305496"/>
      </patternFill>
    </fill>
    <fill>
      <patternFill patternType="solid">
        <fgColor rgb="00D9E1F2"/>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2">
    <xf numFmtId="0" fontId="0" fillId="0" borderId="0"/>
    <xf numFmtId="0" fontId="3"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1"/>
    <xf numFmtId="0" fontId="7" fillId="0" borderId="0" pivotButton="0" quotePrefix="0" xfId="0"/>
    <xf numFmtId="0" fontId="8" fillId="0" borderId="0" pivotButton="0" quotePrefix="0" xfId="0"/>
    <xf numFmtId="0" fontId="5" fillId="0" borderId="0" pivotButton="0" quotePrefix="0" xfId="0"/>
    <xf numFmtId="0" fontId="6" fillId="3" borderId="1" applyAlignment="1" pivotButton="0" quotePrefix="0" xfId="0">
      <alignment horizontal="left" vertical="center"/>
    </xf>
    <xf numFmtId="0" fontId="0" fillId="0" borderId="1" pivotButton="0" quotePrefix="0" xfId="0"/>
    <xf numFmtId="164" fontId="4" fillId="0" borderId="1" applyAlignment="1" pivotButton="0" quotePrefix="0" xfId="0">
      <alignment horizontal="left" vertical="center"/>
    </xf>
    <xf numFmtId="1" fontId="4" fillId="0" borderId="1" applyAlignment="1" pivotButton="0" quotePrefix="0" xfId="0">
      <alignment horizontal="left" vertical="center"/>
    </xf>
    <xf numFmtId="0" fontId="4" fillId="0" borderId="1" applyAlignment="1" pivotButton="0" quotePrefix="0" xfId="0">
      <alignment horizontal="left" vertical="center"/>
    </xf>
    <xf numFmtId="0" fontId="5" fillId="4" borderId="0" pivotButton="0" quotePrefix="0" xfId="0"/>
    <xf numFmtId="164" fontId="0" fillId="0" borderId="0" pivotButton="0" quotePrefix="0" xfId="0"/>
    <xf numFmtId="0" fontId="4" fillId="0" borderId="0" pivotButton="0" quotePrefix="0" xfId="0"/>
    <xf numFmtId="0" fontId="6" fillId="2" borderId="0" applyAlignment="1" pivotButton="0" quotePrefix="0" xfId="0">
      <alignment horizontal="center" vertical="center"/>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4" fontId="5" fillId="0" borderId="0" pivotButton="0" quotePrefix="0" xfId="0"/>
    <xf numFmtId="165" fontId="5" fillId="0" borderId="0" pivotButton="0" quotePrefix="0" xfId="0"/>
    <xf numFmtId="2" fontId="0" fillId="0" borderId="0" applyAlignment="1" pivotButton="0" quotePrefix="0" xfId="0">
      <alignment vertical="top" wrapText="1"/>
    </xf>
    <xf numFmtId="166" fontId="0" fillId="0" borderId="0" applyAlignment="1" pivotButton="0" quotePrefix="0" xfId="0">
      <alignment vertical="top" wrapText="1"/>
    </xf>
    <xf numFmtId="1" fontId="0" fillId="0" borderId="0" pivotButton="0" quotePrefix="0" xfId="0"/>
    <xf numFmtId="2" fontId="0" fillId="0" borderId="0" pivotButton="0" quotePrefix="0" xfId="0"/>
    <xf numFmtId="0" fontId="0" fillId="0" borderId="9" pivotButton="0" quotePrefix="0" xfId="0"/>
    <xf numFmtId="0" fontId="0" fillId="0" borderId="10" pivotButton="0" quotePrefix="0" xfId="0"/>
    <xf numFmtId="164" fontId="4" fillId="0" borderId="1" applyAlignment="1" pivotButton="0" quotePrefix="0" xfId="0">
      <alignment horizontal="left" vertical="center"/>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164" fontId="0" fillId="0" borderId="0"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164" fontId="5" fillId="0" borderId="0" pivotButton="0" quotePrefix="0" xfId="0"/>
    <xf numFmtId="165" fontId="5" fillId="0" borderId="0" pivotButton="0" quotePrefix="0" xfId="0"/>
    <xf numFmtId="166" fontId="0" fillId="0" borderId="0" applyAlignment="1" pivotButton="0" quotePrefix="0" xfId="0">
      <alignment vertical="top" wrapText="1"/>
    </xf>
  </cellXfs>
  <cellStyles count="2">
    <cellStyle name="Normal" xfId="0" builtinId="0" hidden="0"/>
    <cellStyle name="Hyperlink" xfId="1" builtinId="8"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Top 10 packages by total (base + contingency)</a:t>
            </a:r>
          </a:p>
        </rich>
      </tx>
    </title>
    <plotArea>
      <barChart>
        <barDir val="col"/>
        <grouping val="clustered"/>
        <ser>
          <idx val="0"/>
          <order val="0"/>
          <tx>
            <strRef>
              <f>'Dashboard'!B32</f>
            </strRef>
          </tx>
          <spPr>
            <a:ln xmlns:a="http://schemas.openxmlformats.org/drawingml/2006/main">
              <a:prstDash val="solid"/>
            </a:ln>
          </spPr>
          <cat>
            <numRef>
              <f>'Dashboard'!$A$33:$A$42</f>
            </numRef>
          </cat>
          <val>
            <numRef>
              <f>'Dashboard'!$B$33:$B$42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Base cost by package category</a:t>
            </a:r>
          </a:p>
        </rich>
      </tx>
    </title>
    <plotArea>
      <pieChart>
        <varyColors val="1"/>
        <ser>
          <idx val="0"/>
          <order val="0"/>
          <tx>
            <strRef>
              <f>'Dashboard'!B45</f>
            </strRef>
          </tx>
          <spPr>
            <a:ln xmlns:a="http://schemas.openxmlformats.org/drawingml/2006/main">
              <a:prstDash val="solid"/>
            </a:ln>
          </spPr>
          <cat>
            <numRef>
              <f>'Dashboard'!$A$46:$A$51</f>
            </numRef>
          </cat>
          <val>
            <numRef>
              <f>'Dashboard'!$B$46:$B$51</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Risk groups by category</a:t>
            </a:r>
          </a:p>
        </rich>
      </tx>
    </title>
    <plotArea>
      <barChart>
        <barDir val="col"/>
        <grouping val="clustered"/>
        <ser>
          <idx val="0"/>
          <order val="0"/>
          <tx>
            <strRef>
              <f>'Dashboard'!B56</f>
            </strRef>
          </tx>
          <spPr>
            <a:ln xmlns:a="http://schemas.openxmlformats.org/drawingml/2006/main">
              <a:prstDash val="solid"/>
            </a:ln>
          </spPr>
          <cat>
            <numRef>
              <f>'Dashboard'!$A$57:$A$68</f>
            </numRef>
          </cat>
          <val>
            <numRef>
              <f>'Dashboard'!$B$57:$B$68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Assumption groups by category</a:t>
            </a:r>
          </a:p>
        </rich>
      </tx>
    </title>
    <plotArea>
      <barChart>
        <barDir val="col"/>
        <grouping val="clustered"/>
        <ser>
          <idx val="0"/>
          <order val="0"/>
          <tx>
            <strRef>
              <f>'Dashboard'!B68</f>
            </strRef>
          </tx>
          <spPr>
            <a:ln xmlns:a="http://schemas.openxmlformats.org/drawingml/2006/main">
              <a:prstDash val="solid"/>
            </a:ln>
          </spPr>
          <cat>
            <numRef>
              <f>'Dashboard'!$A$69:$A$76</f>
            </numRef>
          </cat>
          <val>
            <numRef>
              <f>'Dashboard'!$B$69:$B$76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4</col>
      <colOff>0</colOff>
      <row>31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44</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55</row>
      <rowOff>0</rowOff>
    </from>
    <ext cx="57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67</row>
      <rowOff>0</rowOff>
    </from>
    <ext cx="576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tblPkgSummary" displayName="tblPkgSummary" ref="A3:H39" headerRowCount="1">
  <autoFilter ref="A3:H39"/>
  <tableColumns count="8">
    <tableColumn id="1" name="Package"/>
    <tableColumn id="2" name="Description"/>
    <tableColumn id="3" name="PackageCategory"/>
    <tableColumn id="4" name="Confidence"/>
    <tableColumn id="5" name="Base"/>
    <tableColumn id="6" name="Contingency"/>
    <tableColumn id="7" name="Total"/>
    <tableColumn id="8" name="LineItems"/>
  </tableColumns>
  <tableStyleInfo name="TableStyleMedium9" showRowStripes="1"/>
</table>
</file>

<file path=xl/tables/table2.xml><?xml version="1.0" encoding="utf-8"?>
<table xmlns="http://schemas.openxmlformats.org/spreadsheetml/2006/main" id="2" name="tblCBSSummary" displayName="tblCBSSummary" ref="A3:F11" headerRowCount="1">
  <autoFilter ref="A3:F11"/>
  <tableColumns count="6">
    <tableColumn id="1" name="CBS"/>
    <tableColumn id="2" name="Base"/>
    <tableColumn id="3" name="Rate"/>
    <tableColumn id="4" name="Contingency"/>
    <tableColumn id="5" name="Total"/>
    <tableColumn id="6" name="Share_of_Total"/>
  </tableColumns>
  <tableStyleInfo name="TableStyleMedium9" showRowStripes="1"/>
</table>
</file>

<file path=xl/tables/table3.xml><?xml version="1.0" encoding="utf-8"?>
<table xmlns="http://schemas.openxmlformats.org/spreadsheetml/2006/main" id="3" name="tblMethodSummary" displayName="tblMethodSummary" ref="A3:D7" headerRowCount="1">
  <autoFilter ref="A3:D7"/>
  <tableColumns count="4">
    <tableColumn id="1" name="Method"/>
    <tableColumn id="2" name="LineItems"/>
    <tableColumn id="3" name="Base"/>
    <tableColumn id="4" name="Share_of_Base"/>
  </tableColumns>
  <tableStyleInfo name="TableStyleMedium9" showRowStripes="1"/>
</table>
</file>

<file path=xl/tables/table4.xml><?xml version="1.0" encoding="utf-8"?>
<table xmlns="http://schemas.openxmlformats.org/spreadsheetml/2006/main" id="4" name="tblAssumpGroups" displayName="tblAssumpGroups" ref="A3:H314" headerRowCount="1">
  <autoFilter ref="A3:H314"/>
  <tableColumns count="8">
    <tableColumn id="1" name="CategoryCode"/>
    <tableColumn id="2" name="Category"/>
    <tableColumn id="3" name="GroupID"/>
    <tableColumn id="4" name="GroupTitle"/>
    <tableColumn id="5" name="Theme"/>
    <tableColumn id="6" name="PackagesCount"/>
    <tableColumn id="7" name="Packages"/>
    <tableColumn id="8" name="ItemsCount"/>
  </tableColumns>
  <tableStyleInfo name="TableStyleMedium9" showRowStripes="1"/>
</table>
</file>

<file path=xl/tables/table5.xml><?xml version="1.0" encoding="utf-8"?>
<table xmlns="http://schemas.openxmlformats.org/spreadsheetml/2006/main" id="5" name="tblAssumpItems" displayName="tblAssumpItems" ref="A3:G591" headerRowCount="1">
  <autoFilter ref="A3:G591"/>
  <tableColumns count="7">
    <tableColumn id="1" name="CategoryCode"/>
    <tableColumn id="2" name="Category"/>
    <tableColumn id="3" name="GroupID"/>
    <tableColumn id="4" name="GroupTitle"/>
    <tableColumn id="5" name="Package"/>
    <tableColumn id="6" name="AssumptionID"/>
    <tableColumn id="7" name="Description"/>
  </tableColumns>
  <tableStyleInfo name="TableStyleMedium9" showRowStripes="1"/>
</table>
</file>

<file path=xl/tables/table6.xml><?xml version="1.0" encoding="utf-8"?>
<table xmlns="http://schemas.openxmlformats.org/spreadsheetml/2006/main" id="6" name="tblRiskGroups" displayName="tblRiskGroups" ref="A3:H123" headerRowCount="1">
  <autoFilter ref="A3:H123"/>
  <tableColumns count="8">
    <tableColumn id="1" name="CategoryCode"/>
    <tableColumn id="2" name="Category"/>
    <tableColumn id="3" name="GroupID"/>
    <tableColumn id="4" name="GroupTitle"/>
    <tableColumn id="5" name="Theme"/>
    <tableColumn id="6" name="PackagesCount"/>
    <tableColumn id="7" name="Packages"/>
    <tableColumn id="8" name="ItemsCount"/>
  </tableColumns>
  <tableStyleInfo name="TableStyleMedium9" showRowStripes="1"/>
</table>
</file>

<file path=xl/tables/table7.xml><?xml version="1.0" encoding="utf-8"?>
<table xmlns="http://schemas.openxmlformats.org/spreadsheetml/2006/main" id="7" name="tblRiskItems" displayName="tblRiskItems" ref="A3:H300" headerRowCount="1">
  <autoFilter ref="A3:H300"/>
  <tableColumns count="8">
    <tableColumn id="1" name="CategoryCode"/>
    <tableColumn id="2" name="Category"/>
    <tableColumn id="3" name="GroupID"/>
    <tableColumn id="4" name="GroupTitle"/>
    <tableColumn id="5" name="Package"/>
    <tableColumn id="6" name="RiskID"/>
    <tableColumn id="7" name="RiskTitle"/>
    <tableColumn id="8" name="Severity"/>
  </tableColumns>
  <tableStyleInfo name="TableStyleMedium9" showRowStripes="1"/>
</table>
</file>

<file path=xl/tables/table8.xml><?xml version="1.0" encoding="utf-8"?>
<table xmlns="http://schemas.openxmlformats.org/spreadsheetml/2006/main" id="8" name="tblDetail" displayName="tblDetail" ref="A1:U868" headerRowCount="1">
  <autoFilter ref="A1:U868"/>
  <tableColumns count="21">
    <tableColumn id="1" name="LineUID"/>
    <tableColumn id="2" name="FromPackageID"/>
    <tableColumn id="3" name="FromDeliverableID"/>
    <tableColumn id="4" name="LineID"/>
    <tableColumn id="5" name="CBS"/>
    <tableColumn id="6" name="WBS_PackageID"/>
    <tableColumn id="7" name="WBS_DeliverableID"/>
    <tableColumn id="8" name="Description"/>
    <tableColumn id="9" name="Qty"/>
    <tableColumn id="10" name="Unit"/>
    <tableColumn id="11" name="UnitRate"/>
    <tableColumn id="12" name="Amount"/>
    <tableColumn id="13" name="Currency"/>
    <tableColumn id="14" name="Method"/>
    <tableColumn id="15" name="SourceRef"/>
    <tableColumn id="16" name="Confidence"/>
    <tableColumn id="17" name="Notes"/>
    <tableColumn id="18" name="Category"/>
    <tableColumn id="19" name="ContingencyRate"/>
    <tableColumn id="20" name="ContingencyAmount"/>
    <tableColumn id="21" name="TotalWithContingency"/>
  </tableColumns>
  <tableStyleInfo name="TableStyleMedium2" showRowStripes="1"/>
</table>
</file>

<file path=xl/tables/table9.xml><?xml version="1.0" encoding="utf-8"?>
<table xmlns="http://schemas.openxmlformats.org/spreadsheetml/2006/main" id="9" name="tblBOEExec" displayName="tblBOEExec" ref="A4:B12" headerRowCount="1">
  <autoFilter ref="A4:B12"/>
  <tableColumns count="2">
    <tableColumn id="1" name="Metric"/>
    <tableColumn id="2" name="Value"/>
  </tableColumns>
  <tableStyleInfo name="TableStyleMedium2" showRowStripes="1"/>
</table>
</file>

<file path=xl/tables/table10.xml><?xml version="1.0" encoding="utf-8"?>
<table xmlns="http://schemas.openxmlformats.org/spreadsheetml/2006/main" id="10" name="tblBOEPkgCov" displayName="tblBOEPkgCov" ref="A15:D22" headerRowCount="1">
  <autoFilter ref="A15:D22"/>
  <tableColumns count="4">
    <tableColumn id="1" name="Category"/>
    <tableColumn id="2" name="Packages"/>
    <tableColumn id="3" name="Base Cost"/>
    <tableColumn id="4" name="% of Total"/>
  </tableColumns>
  <tableStyleInfo name="TableStyleMedium2" showRowStripes="1"/>
</table>
</file>

<file path=xl/tables/table11.xml><?xml version="1.0" encoding="utf-8"?>
<table xmlns="http://schemas.openxmlformats.org/spreadsheetml/2006/main" id="11" name="tblBOECBS" displayName="tblBOECBS" ref="A26:D35" headerRowCount="1">
  <autoFilter ref="A26:D35"/>
  <tableColumns count="4">
    <tableColumn id="1" name="CBS"/>
    <tableColumn id="2" name="Description"/>
    <tableColumn id="3" name="Amount (CAD)"/>
    <tableColumn id="4" name="% of Total"/>
  </tableColumns>
  <tableStyleInfo name="TableStyleMedium2" showRowStripes="1"/>
</table>
</file>

<file path=xl/tables/table12.xml><?xml version="1.0" encoding="utf-8"?>
<table xmlns="http://schemas.openxmlformats.org/spreadsheetml/2006/main" id="12" name="tblBOEMethods" displayName="tblBOEMethods" ref="A38:D43" headerRowCount="1">
  <autoFilter ref="A38:D43"/>
  <tableColumns count="4">
    <tableColumn id="1" name="Method"/>
    <tableColumn id="2" name="Line Items"/>
    <tableColumn id="3" name="% of Items"/>
    <tableColumn id="4" name="Remarks"/>
  </tableColumns>
  <tableStyleInfo name="TableStyleMedium2" showRowStripes="1"/>
</table>
</file>

<file path=xl/tables/table13.xml><?xml version="1.0" encoding="utf-8"?>
<table xmlns="http://schemas.openxmlformats.org/spreadsheetml/2006/main" id="13" name="tblBOECont" displayName="tblBOECont" ref="A47:D56" headerRowCount="1">
  <autoFilter ref="A47:D56"/>
  <tableColumns count="4">
    <tableColumn id="1" name="CBS"/>
    <tableColumn id="2" name="Base (CAD)"/>
    <tableColumn id="3" name="Contingency Rate"/>
    <tableColumn id="4" name="Contingency (CAD)"/>
  </tableColumns>
  <tableStyleInfo name="TableStyleMedium2" showRowStripes="1"/>
</table>
</file>

<file path=xl/tables/table14.xml><?xml version="1.0" encoding="utf-8"?>
<table xmlns="http://schemas.openxmlformats.org/spreadsheetml/2006/main" id="14" name="tblContRates" displayName="tblContRates" ref="A5:B13" headerRowCount="1">
  <autoFilter ref="A5:B13"/>
  <tableColumns count="2">
    <tableColumn id="1" name="CBS"/>
    <tableColumn id="2" name="Rate"/>
  </tableColumns>
  <tableStyleInfo name="TableStyleMedium2" showRowStripes="1"/>
</table>
</file>

<file path=xl/tables/table15.xml><?xml version="1.0" encoding="utf-8"?>
<table xmlns="http://schemas.openxmlformats.org/spreadsheetml/2006/main" id="15" name="tblPkgCat" displayName="tblPkgCat" ref="D5:E41" headerRowCount="1">
  <autoFilter ref="D5:E41"/>
  <tableColumns count="2">
    <tableColumn id="4" name="Package"/>
    <tableColumn id="5" name="PackageCategory"/>
  </tableColumns>
  <tableStyleInfo name="TableStyleMedium2" showRowStripes="1"/>
</table>
</file>

<file path=xl/tables/table16.xml><?xml version="1.0" encoding="utf-8"?>
<table xmlns="http://schemas.openxmlformats.org/spreadsheetml/2006/main" id="16" name="tblPkgDesc" displayName="tblPkgDesc" ref="G5:I41" headerRowCount="1">
  <autoFilter ref="G5:I41"/>
  <tableColumns count="3">
    <tableColumn id="7" name="Package"/>
    <tableColumn id="8" name="Description"/>
    <tableColumn id="9" name="Confid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Relationships>
</file>

<file path=xl/worksheets/_rels/sheet2.xml.rels><Relationships xmlns="http://schemas.openxmlformats.org/package/2006/relationships"><Relationship Type="http://schemas.openxmlformats.org/officeDocument/2006/relationships/hyperlink" Target="#Summary_Packages!A1" TargetMode="External" Id="rId1"/><Relationship Type="http://schemas.openxmlformats.org/officeDocument/2006/relationships/hyperlink" Target="#Summary_CBS!A1" TargetMode="External" Id="rId2"/><Relationship Type="http://schemas.openxmlformats.org/officeDocument/2006/relationships/hyperlink" Target="#Summary_Methods!A1" TargetMode="External" Id="rId3"/><Relationship Type="http://schemas.openxmlformats.org/officeDocument/2006/relationships/hyperlink" Target="#Detail!A1" TargetMode="External" Id="rId4"/><Relationship Type="http://schemas.openxmlformats.org/officeDocument/2006/relationships/hyperlink" Target="#Assumptions_Groups!A1" TargetMode="External" Id="rId5"/><Relationship Type="http://schemas.openxmlformats.org/officeDocument/2006/relationships/hyperlink" Target="#Assumptions_Items!A1" TargetMode="External" Id="rId6"/><Relationship Type="http://schemas.openxmlformats.org/officeDocument/2006/relationships/hyperlink" Target="#Risks_Groups!A1" TargetMode="External" Id="rId7"/><Relationship Type="http://schemas.openxmlformats.org/officeDocument/2006/relationships/hyperlink" Target="#Risks_Items!A1" TargetMode="External" Id="rId8"/><Relationship Type="http://schemas.openxmlformats.org/officeDocument/2006/relationships/hyperlink" Target="#BOE_Reference!A1" TargetMode="External" Id="rId9"/><Relationship Type="http://schemas.openxmlformats.org/officeDocument/2006/relationships/hyperlink" Target="#Inputs!A1" TargetMode="External" Id="rId10"/><Relationship Type="http://schemas.openxmlformats.org/officeDocument/2006/relationships/hyperlink" Target="#README!A1" TargetMode="External" Id="rId11"/><Relationship Type="http://schemas.openxmlformats.org/officeDocument/2006/relationships/drawing" Target="/xl/drawings/drawing1.xml" Id="rId12"/></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3.xml" Id="rId2"/></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5.xml" Id="rId2"/></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6.xml" Id="rId2"/></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7.xml" Id="rId2"/></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8.xml" Id="rId2"/></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9.xml" Id="rId2"/><Relationship Type="http://schemas.openxmlformats.org/officeDocument/2006/relationships/table" Target="/xl/tables/table10.xml" Id="rId3"/><Relationship Type="http://schemas.openxmlformats.org/officeDocument/2006/relationships/table" Target="/xl/tables/table11.xml" Id="rId4"/><Relationship Type="http://schemas.openxmlformats.org/officeDocument/2006/relationships/table" Target="/xl/tables/table12.xml" Id="rId5"/><Relationship Type="http://schemas.openxmlformats.org/officeDocument/2006/relationships/table" Target="/xl/tables/table13.xml" Id="rId6"/></Relationships>
</file>

<file path=xl/worksheets/_rels/sheet1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20" customWidth="1" min="1" max="1"/>
  </cols>
  <sheetData>
    <row r="1">
      <c r="A1" s="1" t="inlineStr">
        <is>
          <t>Workbook guide</t>
        </is>
      </c>
    </row>
    <row r="3">
      <c r="A3" s="2" t="inlineStr">
        <is>
          <t>How to use</t>
        </is>
      </c>
    </row>
    <row r="4">
      <c r="A4" s="3" t="inlineStr">
        <is>
          <t>• Start on the Dashboard tab for high-level KPIs and charts.</t>
        </is>
      </c>
    </row>
    <row r="5">
      <c r="A5" s="3" t="inlineStr">
        <is>
          <t>• Use the navigation links on the Dashboard (and the 'Home' link on each sheet) to jump around.</t>
        </is>
      </c>
    </row>
    <row r="6">
      <c r="A6" s="3" t="inlineStr">
        <is>
          <t>• The Detail tab contains all 867 line items from Project_Detail.csv (filterable).</t>
        </is>
      </c>
    </row>
    <row r="7">
      <c r="A7" s="3" t="inlineStr">
        <is>
          <t>• Summary tabs (Packages/CBS/Methods) roll up Detail using Excel formulas (SUMIFS/COUNTIFS).</t>
        </is>
      </c>
    </row>
    <row r="8">
      <c r="A8" s="3" t="inlineStr">
        <is>
          <t>• Assumptions and Risks tabs contain the consolidated registers from the markdown files.</t>
        </is>
      </c>
    </row>
    <row r="9">
      <c r="A9" s="3" t="inlineStr">
        <is>
          <t>• Inputs tab contains mappings (Package → Category) and contingency rates by CBS bucket.</t>
        </is>
      </c>
    </row>
    <row r="12">
      <c r="A12" s="2" t="inlineStr">
        <is>
          <t>Notes</t>
        </is>
      </c>
    </row>
    <row r="13">
      <c r="A13" s="3" t="inlineStr">
        <is>
          <t>Contingency in BOE has minor internal inconsistencies (Executive Summary vs bucket table). This workbook uses the BOE §7.2 bucket rates for calculations and shows the delta vs the BOE stated total.</t>
        </is>
      </c>
    </row>
    <row r="15">
      <c r="A15" s="2" t="inlineStr">
        <is>
          <t>Data sources (local files)</t>
        </is>
      </c>
    </row>
    <row r="16">
      <c r="A16" t="inlineStr">
        <is>
          <t>• Project_Detail.csv</t>
        </is>
      </c>
    </row>
    <row r="17">
      <c r="A17" t="inlineStr">
        <is>
          <t>• Project_BOE.md</t>
        </is>
      </c>
    </row>
    <row r="18">
      <c r="A18" t="inlineStr">
        <is>
          <t>• Consolidated_Assumptions.md</t>
        </is>
      </c>
    </row>
    <row r="19">
      <c r="A19" t="inlineStr">
        <is>
          <t>• Consolidated_Risks.md</t>
        </is>
      </c>
    </row>
    <row r="21">
      <c r="A21" s="4" t="inlineStr">
        <is>
          <t>Go to Dashboard</t>
        </is>
      </c>
    </row>
  </sheetData>
  <hyperlinks>
    <hyperlink xmlns:r="http://schemas.openxmlformats.org/officeDocument/2006/relationships" ref="A21"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
  <sheetViews>
    <sheetView showGridLines="0" workbookViewId="0">
      <selection activeCell="A1" sqref="A1"/>
    </sheetView>
  </sheetViews>
  <sheetFormatPr baseColWidth="8" defaultRowHeight="15"/>
  <cols>
    <col width="42" customWidth="1" min="1" max="1"/>
    <col width="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5" t="inlineStr">
        <is>
          <t>Canola Oil Transload Facility — Estimate Dashboard</t>
        </is>
      </c>
    </row>
    <row r="2">
      <c r="A2" s="6" t="inlineStr">
        <is>
          <t>Data snapshot: 2026-01-29 (from source files)</t>
        </is>
      </c>
    </row>
    <row r="4">
      <c r="A4" s="7" t="inlineStr">
        <is>
          <t>Navigate:</t>
        </is>
      </c>
      <c r="C4" s="8" t="inlineStr">
        <is>
          <t>Base estimate (calc.)</t>
        </is>
      </c>
      <c r="D4" s="26" t="n"/>
      <c r="E4" s="27" t="n"/>
      <c r="F4" s="8" t="inlineStr">
        <is>
          <t>Contingency (calc.)</t>
        </is>
      </c>
      <c r="G4" s="26" t="n"/>
      <c r="H4" s="27" t="n"/>
      <c r="I4" s="8" t="inlineStr">
        <is>
          <t>Total estimate (calc.)</t>
        </is>
      </c>
      <c r="J4" s="26" t="n"/>
      <c r="K4" s="27" t="n"/>
    </row>
    <row r="5">
      <c r="A5" s="4" t="inlineStr">
        <is>
          <t>Package roll-up</t>
        </is>
      </c>
      <c r="C5" s="28">
        <f>Summary_CBS!B12</f>
        <v/>
      </c>
      <c r="D5" s="29" t="n"/>
      <c r="E5" s="30" t="n"/>
      <c r="F5" s="28">
        <f>Summary_CBS!D12</f>
        <v/>
      </c>
      <c r="G5" s="29" t="n"/>
      <c r="H5" s="30" t="n"/>
      <c r="I5" s="28">
        <f>Summary_CBS!E12</f>
        <v/>
      </c>
      <c r="J5" s="29" t="n"/>
      <c r="K5" s="30" t="n"/>
    </row>
    <row r="6">
      <c r="A6" s="4" t="inlineStr">
        <is>
          <t>CBS roll-up</t>
        </is>
      </c>
      <c r="C6" s="31" t="n"/>
      <c r="D6" s="32" t="n"/>
      <c r="E6" s="33" t="n"/>
      <c r="F6" s="31" t="n"/>
      <c r="G6" s="32" t="n"/>
      <c r="H6" s="33" t="n"/>
      <c r="I6" s="31" t="n"/>
      <c r="J6" s="32" t="n"/>
      <c r="K6" s="33" t="n"/>
    </row>
    <row r="7">
      <c r="A7" s="4" t="inlineStr">
        <is>
          <t>Pricing methods</t>
        </is>
      </c>
    </row>
    <row r="8">
      <c r="A8" s="4" t="inlineStr">
        <is>
          <t>All line items (867)</t>
        </is>
      </c>
    </row>
    <row r="9">
      <c r="A9" s="4" t="inlineStr">
        <is>
          <t>Assumptions (groups)</t>
        </is>
      </c>
      <c r="C9" s="8" t="inlineStr">
        <is>
          <t>BOE stated total</t>
        </is>
      </c>
      <c r="D9" s="26" t="n"/>
      <c r="E9" s="27" t="n"/>
      <c r="F9" s="8" t="inlineStr">
        <is>
          <t>BOE stated contingency</t>
        </is>
      </c>
      <c r="G9" s="26" t="n"/>
      <c r="H9" s="27" t="n"/>
      <c r="I9" s="8" t="inlineStr">
        <is>
          <t>Delta (calc - BOE)</t>
        </is>
      </c>
      <c r="J9" s="26" t="n"/>
      <c r="K9" s="27" t="n"/>
    </row>
    <row r="10">
      <c r="A10" s="4" t="inlineStr">
        <is>
          <t>Assumptions (items)</t>
        </is>
      </c>
      <c r="C10" s="28" t="n">
        <v>117100000</v>
      </c>
      <c r="D10" s="29" t="n"/>
      <c r="E10" s="30" t="n"/>
      <c r="F10" s="28" t="n">
        <v>24700000</v>
      </c>
      <c r="G10" s="29" t="n"/>
      <c r="H10" s="30" t="n"/>
      <c r="I10" s="28">
        <f>I5-C10</f>
        <v/>
      </c>
      <c r="J10" s="29" t="n"/>
      <c r="K10" s="30" t="n"/>
    </row>
    <row r="11">
      <c r="A11" s="4" t="inlineStr">
        <is>
          <t>Risks (groups)</t>
        </is>
      </c>
      <c r="C11" s="31" t="n"/>
      <c r="D11" s="32" t="n"/>
      <c r="E11" s="33" t="n"/>
      <c r="F11" s="31" t="n"/>
      <c r="G11" s="32" t="n"/>
      <c r="H11" s="33" t="n"/>
      <c r="I11" s="31" t="n"/>
      <c r="J11" s="32" t="n"/>
      <c r="K11" s="33" t="n"/>
    </row>
    <row r="12">
      <c r="A12" s="4" t="inlineStr">
        <is>
          <t>Risks (items)</t>
        </is>
      </c>
    </row>
    <row r="13">
      <c r="A13" s="4" t="inlineStr">
        <is>
          <t>BOE reference</t>
        </is>
      </c>
    </row>
    <row r="14">
      <c r="A14" s="4" t="inlineStr">
        <is>
          <t>Inputs / lookups</t>
        </is>
      </c>
      <c r="C14" s="8" t="inlineStr">
        <is>
          <t># Packages</t>
        </is>
      </c>
      <c r="D14" s="26" t="n"/>
      <c r="E14" s="27" t="n"/>
      <c r="F14" s="8" t="inlineStr">
        <is>
          <t># Deliverables</t>
        </is>
      </c>
      <c r="G14" s="26" t="n"/>
      <c r="H14" s="27" t="n"/>
      <c r="I14" s="8" t="inlineStr">
        <is>
          <t># Line items</t>
        </is>
      </c>
      <c r="J14" s="26" t="n"/>
      <c r="K14" s="27" t="n"/>
    </row>
    <row r="15">
      <c r="A15" s="4" t="inlineStr">
        <is>
          <t>Read me</t>
        </is>
      </c>
      <c r="C15" s="11" t="n">
        <v>36</v>
      </c>
      <c r="D15" s="29" t="n"/>
      <c r="E15" s="30" t="n"/>
      <c r="F15" s="11" t="n">
        <v>202</v>
      </c>
      <c r="G15" s="29" t="n"/>
      <c r="H15" s="30" t="n"/>
      <c r="I15" s="11" t="n">
        <v>867</v>
      </c>
      <c r="J15" s="29" t="n"/>
      <c r="K15" s="30" t="n"/>
    </row>
    <row r="16">
      <c r="C16" s="31" t="n"/>
      <c r="D16" s="32" t="n"/>
      <c r="E16" s="33" t="n"/>
      <c r="F16" s="31" t="n"/>
      <c r="G16" s="32" t="n"/>
      <c r="H16" s="33" t="n"/>
      <c r="I16" s="31" t="n"/>
      <c r="J16" s="32" t="n"/>
      <c r="K16" s="33" t="n"/>
    </row>
    <row r="19">
      <c r="C19" s="8" t="inlineStr">
        <is>
          <t>Assumptions (groups)</t>
        </is>
      </c>
      <c r="D19" s="26" t="n"/>
      <c r="E19" s="27" t="n"/>
      <c r="F19" s="8" t="inlineStr">
        <is>
          <t>Assumptions (raw)</t>
        </is>
      </c>
      <c r="G19" s="26" t="n"/>
      <c r="H19" s="27" t="n"/>
      <c r="I19" s="8" t="inlineStr">
        <is>
          <t>Risks (groups)</t>
        </is>
      </c>
      <c r="J19" s="26" t="n"/>
      <c r="K19" s="27" t="n"/>
    </row>
    <row r="20">
      <c r="C20" s="11" t="n">
        <v>311</v>
      </c>
      <c r="D20" s="29" t="n"/>
      <c r="E20" s="30" t="n"/>
      <c r="F20" s="11" t="n">
        <v>588</v>
      </c>
      <c r="G20" s="29" t="n"/>
      <c r="H20" s="30" t="n"/>
      <c r="I20" s="11" t="n">
        <v>120</v>
      </c>
      <c r="J20" s="29" t="n"/>
      <c r="K20" s="30" t="n"/>
    </row>
    <row r="21">
      <c r="C21" s="31" t="n"/>
      <c r="D21" s="32" t="n"/>
      <c r="E21" s="33" t="n"/>
      <c r="F21" s="31" t="n"/>
      <c r="G21" s="32" t="n"/>
      <c r="H21" s="33" t="n"/>
      <c r="I21" s="31" t="n"/>
      <c r="J21" s="32" t="n"/>
      <c r="K21" s="33" t="n"/>
    </row>
    <row r="24">
      <c r="C24" s="8" t="inlineStr">
        <is>
          <t>Risks (raw)</t>
        </is>
      </c>
      <c r="D24" s="26" t="n"/>
      <c r="E24" s="27" t="n"/>
      <c r="F24" s="8" t="inlineStr">
        <is>
          <t>Pricing date</t>
        </is>
      </c>
      <c r="G24" s="26" t="n"/>
      <c r="H24" s="27" t="n"/>
      <c r="I24" s="8" t="inlineStr">
        <is>
          <t>Estimate class</t>
        </is>
      </c>
      <c r="J24" s="26" t="n"/>
      <c r="K24" s="27" t="n"/>
    </row>
    <row r="25">
      <c r="C25" s="11" t="n">
        <v>297</v>
      </c>
      <c r="D25" s="29" t="n"/>
      <c r="E25" s="30" t="n"/>
      <c r="F25" s="12" t="inlineStr">
        <is>
          <t>January 2026</t>
        </is>
      </c>
      <c r="G25" s="29" t="n"/>
      <c r="H25" s="30" t="n"/>
      <c r="I25" s="12" t="inlineStr">
        <is>
          <t>Class 5 (Order of Magnitude)</t>
        </is>
      </c>
      <c r="J25" s="29" t="n"/>
      <c r="K25" s="30" t="n"/>
    </row>
    <row r="26">
      <c r="C26" s="31" t="n"/>
      <c r="D26" s="32" t="n"/>
      <c r="E26" s="33" t="n"/>
      <c r="F26" s="31" t="n"/>
      <c r="G26" s="32" t="n"/>
      <c r="H26" s="33" t="n"/>
      <c r="I26" s="31" t="n"/>
      <c r="J26" s="32" t="n"/>
      <c r="K26" s="33" t="n"/>
    </row>
    <row r="30">
      <c r="A30" s="2" t="inlineStr">
        <is>
          <t>Charts</t>
        </is>
      </c>
    </row>
    <row r="32">
      <c r="A32" s="13" t="inlineStr">
        <is>
          <t>Package</t>
        </is>
      </c>
      <c r="B32" s="13" t="inlineStr">
        <is>
          <t>Total</t>
        </is>
      </c>
      <c r="C32" s="13" t="inlineStr">
        <is>
          <t>Category</t>
        </is>
      </c>
    </row>
    <row r="33">
      <c r="A33" t="inlineStr">
        <is>
          <t>PKG-13</t>
        </is>
      </c>
      <c r="B33" s="34">
        <f>SUMIFS(Detail!$U$2:$U$868,Detail!$F$2:$F$868,$A33)</f>
        <v/>
      </c>
      <c r="C33">
        <f>VLOOKUP($A33,Inputs!$D$6:$E$41,2,FALSE)</f>
        <v/>
      </c>
    </row>
    <row r="34">
      <c r="A34" t="inlineStr">
        <is>
          <t>PKG-08</t>
        </is>
      </c>
      <c r="B34" s="34">
        <f>SUMIFS(Detail!$U$2:$U$868,Detail!$F$2:$F$868,$A34)</f>
        <v/>
      </c>
      <c r="C34">
        <f>VLOOKUP($A34,Inputs!$D$6:$E$41,2,FALSE)</f>
        <v/>
      </c>
    </row>
    <row r="35">
      <c r="A35" t="inlineStr">
        <is>
          <t>PKG-14</t>
        </is>
      </c>
      <c r="B35" s="34">
        <f>SUMIFS(Detail!$U$2:$U$868,Detail!$F$2:$F$868,$A35)</f>
        <v/>
      </c>
      <c r="C35">
        <f>VLOOKUP($A35,Inputs!$D$6:$E$41,2,FALSE)</f>
        <v/>
      </c>
    </row>
    <row r="36">
      <c r="A36" t="inlineStr">
        <is>
          <t>PKG-30</t>
        </is>
      </c>
      <c r="B36" s="34">
        <f>SUMIFS(Detail!$U$2:$U$868,Detail!$F$2:$F$868,$A36)</f>
        <v/>
      </c>
      <c r="C36">
        <f>VLOOKUP($A36,Inputs!$D$6:$E$41,2,FALSE)</f>
        <v/>
      </c>
    </row>
    <row r="37">
      <c r="A37" t="inlineStr">
        <is>
          <t>PKG-04</t>
        </is>
      </c>
      <c r="B37" s="34">
        <f>SUMIFS(Detail!$U$2:$U$868,Detail!$F$2:$F$868,$A37)</f>
        <v/>
      </c>
      <c r="C37">
        <f>VLOOKUP($A37,Inputs!$D$6:$E$41,2,FALSE)</f>
        <v/>
      </c>
    </row>
    <row r="38">
      <c r="A38" t="inlineStr">
        <is>
          <t>PKG-10</t>
        </is>
      </c>
      <c r="B38" s="34">
        <f>SUMIFS(Detail!$U$2:$U$868,Detail!$F$2:$F$868,$A38)</f>
        <v/>
      </c>
      <c r="C38">
        <f>VLOOKUP($A38,Inputs!$D$6:$E$41,2,FALSE)</f>
        <v/>
      </c>
    </row>
    <row r="39">
      <c r="A39" t="inlineStr">
        <is>
          <t>PKG-17</t>
        </is>
      </c>
      <c r="B39" s="34">
        <f>SUMIFS(Detail!$U$2:$U$868,Detail!$F$2:$F$868,$A39)</f>
        <v/>
      </c>
      <c r="C39">
        <f>VLOOKUP($A39,Inputs!$D$6:$E$41,2,FALSE)</f>
        <v/>
      </c>
    </row>
    <row r="40">
      <c r="A40" t="inlineStr">
        <is>
          <t>PKG-02</t>
        </is>
      </c>
      <c r="B40" s="34">
        <f>SUMIFS(Detail!$U$2:$U$868,Detail!$F$2:$F$868,$A40)</f>
        <v/>
      </c>
      <c r="C40">
        <f>VLOOKUP($A40,Inputs!$D$6:$E$41,2,FALSE)</f>
        <v/>
      </c>
    </row>
    <row r="41">
      <c r="A41" t="inlineStr">
        <is>
          <t>PKG-16</t>
        </is>
      </c>
      <c r="B41" s="34">
        <f>SUMIFS(Detail!$U$2:$U$868,Detail!$F$2:$F$868,$A41)</f>
        <v/>
      </c>
      <c r="C41">
        <f>VLOOKUP($A41,Inputs!$D$6:$E$41,2,FALSE)</f>
        <v/>
      </c>
    </row>
    <row r="42">
      <c r="A42" t="inlineStr">
        <is>
          <t>PKG-26</t>
        </is>
      </c>
      <c r="B42" s="34">
        <f>SUMIFS(Detail!$U$2:$U$868,Detail!$F$2:$F$868,$A42)</f>
        <v/>
      </c>
      <c r="C42">
        <f>VLOOKUP($A42,Inputs!$D$6:$E$41,2,FALSE)</f>
        <v/>
      </c>
    </row>
    <row r="45">
      <c r="A45" s="13" t="inlineStr">
        <is>
          <t>Category</t>
        </is>
      </c>
      <c r="B45" s="13" t="inlineStr">
        <is>
          <t>Base</t>
        </is>
      </c>
    </row>
    <row r="46">
      <c r="A46" t="inlineStr">
        <is>
          <t>Site &amp; Civil</t>
        </is>
      </c>
      <c r="B46" s="34">
        <f>SUMIFS(Detail!$L$2:$L$868,Detail!$R$2:$R$868,$A46)</f>
        <v/>
      </c>
    </row>
    <row r="47">
      <c r="A47" t="inlineStr">
        <is>
          <t>Structural</t>
        </is>
      </c>
      <c r="B47" s="34">
        <f>SUMIFS(Detail!$L$2:$L$868,Detail!$R$2:$R$868,$A47)</f>
        <v/>
      </c>
    </row>
    <row r="48">
      <c r="A48" t="inlineStr">
        <is>
          <t>Mechanical</t>
        </is>
      </c>
      <c r="B48" s="34">
        <f>SUMIFS(Detail!$L$2:$L$868,Detail!$R$2:$R$868,$A48)</f>
        <v/>
      </c>
    </row>
    <row r="49">
      <c r="A49" t="inlineStr">
        <is>
          <t>Electrical &amp; I&amp;C</t>
        </is>
      </c>
      <c r="B49" s="34">
        <f>SUMIFS(Detail!$L$2:$L$868,Detail!$R$2:$R$868,$A49)</f>
        <v/>
      </c>
    </row>
    <row r="50">
      <c r="A50" t="inlineStr">
        <is>
          <t>Buildings &amp; Protection</t>
        </is>
      </c>
      <c r="B50" s="34">
        <f>SUMIFS(Detail!$L$2:$L$868,Detail!$R$2:$R$868,$A50)</f>
        <v/>
      </c>
    </row>
    <row r="51">
      <c r="A51" t="inlineStr">
        <is>
          <t>Project Execution</t>
        </is>
      </c>
      <c r="B51" s="34">
        <f>SUMIFS(Detail!$L$2:$L$868,Detail!$R$2:$R$868,$A51)</f>
        <v/>
      </c>
    </row>
    <row r="56">
      <c r="A56" s="13" t="inlineStr">
        <is>
          <t>Risk category</t>
        </is>
      </c>
      <c r="B56" s="13" t="inlineStr">
        <is>
          <t>Groups</t>
        </is>
      </c>
    </row>
    <row r="57">
      <c r="A57" t="inlineStr">
        <is>
          <t>UNCATEGORIZED</t>
        </is>
      </c>
      <c r="B57" t="n">
        <v>46</v>
      </c>
    </row>
    <row r="58">
      <c r="A58" t="inlineStr">
        <is>
          <t>RSK-SCOPE</t>
        </is>
      </c>
      <c r="B58" t="n">
        <v>27</v>
      </c>
    </row>
    <row r="59">
      <c r="A59" t="inlineStr">
        <is>
          <t>RSK-INTF</t>
        </is>
      </c>
      <c r="B59" t="n">
        <v>15</v>
      </c>
    </row>
    <row r="60">
      <c r="A60" t="inlineStr">
        <is>
          <t>RSK-TECH</t>
        </is>
      </c>
      <c r="B60" t="n">
        <v>8</v>
      </c>
    </row>
    <row r="61">
      <c r="A61" t="inlineStr">
        <is>
          <t>RSK-PRICE</t>
        </is>
      </c>
      <c r="B61" t="n">
        <v>7</v>
      </c>
    </row>
    <row r="62">
      <c r="A62" t="inlineStr">
        <is>
          <t>RSK-QUAL</t>
        </is>
      </c>
      <c r="B62" t="n">
        <v>4</v>
      </c>
    </row>
    <row r="63">
      <c r="A63" t="inlineStr">
        <is>
          <t>RSK-SCHED</t>
        </is>
      </c>
      <c r="B63" t="n">
        <v>4</v>
      </c>
    </row>
    <row r="64">
      <c r="A64" t="inlineStr">
        <is>
          <t>RSK-QTY</t>
        </is>
      </c>
      <c r="B64" t="n">
        <v>3</v>
      </c>
    </row>
    <row r="65">
      <c r="A65" t="inlineStr">
        <is>
          <t>RSK-ENV</t>
        </is>
      </c>
      <c r="B65" t="n">
        <v>2</v>
      </c>
    </row>
    <row r="66">
      <c r="A66" t="inlineStr">
        <is>
          <t>RSK-PROD</t>
        </is>
      </c>
      <c r="B66" t="n">
        <v>2</v>
      </c>
    </row>
    <row r="67">
      <c r="A67" t="inlineStr">
        <is>
          <t>RSK-ESC</t>
        </is>
      </c>
      <c r="B67" t="n">
        <v>1</v>
      </c>
    </row>
    <row r="68">
      <c r="A68" s="13" t="inlineStr">
        <is>
          <t>Assumption category</t>
        </is>
      </c>
      <c r="B68" s="13" t="inlineStr">
        <is>
          <t>Groups</t>
        </is>
      </c>
    </row>
    <row r="69">
      <c r="A69" t="inlineStr">
        <is>
          <t>ASM-PRICE</t>
        </is>
      </c>
      <c r="B69" t="n">
        <v>123</v>
      </c>
    </row>
    <row r="70">
      <c r="A70" t="inlineStr">
        <is>
          <t>UNCATEGORIZED</t>
        </is>
      </c>
      <c r="B70" t="n">
        <v>96</v>
      </c>
    </row>
    <row r="71">
      <c r="A71" t="inlineStr">
        <is>
          <t>ASM-LABOR</t>
        </is>
      </c>
      <c r="B71" t="n">
        <v>28</v>
      </c>
    </row>
    <row r="72">
      <c r="A72" t="inlineStr">
        <is>
          <t>ASM-QTY</t>
        </is>
      </c>
      <c r="B72" t="n">
        <v>17</v>
      </c>
    </row>
    <row r="73">
      <c r="A73" t="inlineStr">
        <is>
          <t>ASM-INTF</t>
        </is>
      </c>
      <c r="B73" t="n">
        <v>13</v>
      </c>
    </row>
    <row r="74">
      <c r="A74" t="inlineStr">
        <is>
          <t>ASM-ENG</t>
        </is>
      </c>
      <c r="B74" t="n">
        <v>12</v>
      </c>
    </row>
    <row r="75">
      <c r="A75" t="inlineStr">
        <is>
          <t>ASM-TECH</t>
        </is>
      </c>
      <c r="B75" t="n">
        <v>12</v>
      </c>
    </row>
    <row r="76">
      <c r="A76" t="inlineStr">
        <is>
          <t>ASM-SCOPE</t>
        </is>
      </c>
      <c r="B76" t="n">
        <v>10</v>
      </c>
    </row>
  </sheetData>
  <mergeCells count="30">
    <mergeCell ref="I10:K11"/>
    <mergeCell ref="C9:E9"/>
    <mergeCell ref="C15:E16"/>
    <mergeCell ref="I15:K16"/>
    <mergeCell ref="I24:K24"/>
    <mergeCell ref="F10:H11"/>
    <mergeCell ref="I14:K14"/>
    <mergeCell ref="C5:E6"/>
    <mergeCell ref="F15:H16"/>
    <mergeCell ref="I4:K4"/>
    <mergeCell ref="F9:H9"/>
    <mergeCell ref="F25:H26"/>
    <mergeCell ref="C20:E21"/>
    <mergeCell ref="I19:K19"/>
    <mergeCell ref="C10:E11"/>
    <mergeCell ref="F20:H21"/>
    <mergeCell ref="F14:H14"/>
    <mergeCell ref="C19:E19"/>
    <mergeCell ref="F5:H6"/>
    <mergeCell ref="I9:K9"/>
    <mergeCell ref="I25:K26"/>
    <mergeCell ref="F4:H4"/>
    <mergeCell ref="C25:E26"/>
    <mergeCell ref="C24:E24"/>
    <mergeCell ref="C14:E14"/>
    <mergeCell ref="F19:H19"/>
    <mergeCell ref="I5:K6"/>
    <mergeCell ref="C4:E4"/>
    <mergeCell ref="I20:K21"/>
    <mergeCell ref="F24:H24"/>
  </mergeCells>
  <conditionalFormatting sqref="I10">
    <cfRule type="expression" priority="1" dxfId="0">
      <formula>ABS(I10)&gt;100000</formula>
    </cfRule>
  </conditionalFormatting>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s>
  <pageMargins left="0.75" right="0.75" top="1" bottom="1" header="0.5" footer="0.5"/>
  <drawing xmlns:r="http://schemas.openxmlformats.org/officeDocument/2006/relationships" r:id="rId12"/>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0" customWidth="1" min="1" max="1"/>
    <col width="38" customWidth="1" min="2" max="2"/>
    <col width="22" customWidth="1" min="3" max="3"/>
    <col width="12" customWidth="1" min="4" max="4"/>
    <col width="16" customWidth="1" min="5" max="5"/>
    <col width="16" customWidth="1" min="6" max="6"/>
    <col width="16" customWidth="1" min="7" max="7"/>
    <col width="10" customWidth="1" min="8" max="8"/>
  </cols>
  <sheetData>
    <row r="1">
      <c r="A1" s="15" t="inlineStr">
        <is>
          <t>Package summary (computed from Detail)</t>
        </is>
      </c>
      <c r="J1" s="4" t="inlineStr">
        <is>
          <t>Home</t>
        </is>
      </c>
    </row>
    <row r="3">
      <c r="A3" s="16" t="inlineStr">
        <is>
          <t>Package</t>
        </is>
      </c>
      <c r="B3" s="16" t="inlineStr">
        <is>
          <t>Description</t>
        </is>
      </c>
      <c r="C3" s="16" t="inlineStr">
        <is>
          <t>PackageCategory</t>
        </is>
      </c>
      <c r="D3" s="16" t="inlineStr">
        <is>
          <t>Confidence</t>
        </is>
      </c>
      <c r="E3" s="16" t="inlineStr">
        <is>
          <t>Base</t>
        </is>
      </c>
      <c r="F3" s="16" t="inlineStr">
        <is>
          <t>Contingency</t>
        </is>
      </c>
      <c r="G3" s="16" t="inlineStr">
        <is>
          <t>Total</t>
        </is>
      </c>
      <c r="H3" s="16" t="inlineStr">
        <is>
          <t>LineItems</t>
        </is>
      </c>
    </row>
    <row r="4">
      <c r="A4" s="3" t="inlineStr">
        <is>
          <t>PKG-00</t>
        </is>
      </c>
      <c r="B4" s="3" t="inlineStr">
        <is>
          <t>Site Establishment</t>
        </is>
      </c>
      <c r="C4" s="3" t="inlineStr">
        <is>
          <t>Site &amp; Civil</t>
        </is>
      </c>
      <c r="D4" s="3" t="inlineStr">
        <is>
          <t>LOW</t>
        </is>
      </c>
      <c r="E4" s="35">
        <f>SUMIFS(Detail!$L$2:$L$868,Detail!$F$2:$F$868,$A4)</f>
        <v/>
      </c>
      <c r="F4" s="35">
        <f>SUMIFS(Detail!$T$2:$T$868,Detail!$F$2:$F$868,$A4)</f>
        <v/>
      </c>
      <c r="G4" s="35">
        <f>$E4+$F4</f>
        <v/>
      </c>
      <c r="H4" s="18">
        <f>COUNTIF(Detail!$F$2:$F$868,$A4)</f>
        <v/>
      </c>
    </row>
    <row r="5">
      <c r="A5" s="3" t="inlineStr">
        <is>
          <t>PKG-01</t>
        </is>
      </c>
      <c r="B5" s="3" t="inlineStr">
        <is>
          <t>Demolition &amp; Removals</t>
        </is>
      </c>
      <c r="C5" s="3" t="inlineStr">
        <is>
          <t>Site &amp; Civil</t>
        </is>
      </c>
      <c r="D5" s="3" t="inlineStr">
        <is>
          <t>LOW</t>
        </is>
      </c>
      <c r="E5" s="35">
        <f>SUMIFS(Detail!$L$2:$L$868,Detail!$F$2:$F$868,$A5)</f>
        <v/>
      </c>
      <c r="F5" s="35">
        <f>SUMIFS(Detail!$T$2:$T$868,Detail!$F$2:$F$868,$A5)</f>
        <v/>
      </c>
      <c r="G5" s="35">
        <f>$E5+$F5</f>
        <v/>
      </c>
      <c r="H5" s="18">
        <f>COUNTIF(Detail!$F$2:$F$868,$A5)</f>
        <v/>
      </c>
    </row>
    <row r="6">
      <c r="A6" s="3" t="inlineStr">
        <is>
          <t>PKG-02</t>
        </is>
      </c>
      <c r="B6" s="3" t="inlineStr">
        <is>
          <t>Earthworks &amp; Ground Improvement</t>
        </is>
      </c>
      <c r="C6" s="3" t="inlineStr">
        <is>
          <t>Site &amp; Civil</t>
        </is>
      </c>
      <c r="D6" s="3" t="inlineStr">
        <is>
          <t>LOW</t>
        </is>
      </c>
      <c r="E6" s="35">
        <f>SUMIFS(Detail!$L$2:$L$868,Detail!$F$2:$F$868,$A6)</f>
        <v/>
      </c>
      <c r="F6" s="35">
        <f>SUMIFS(Detail!$T$2:$T$868,Detail!$F$2:$F$868,$A6)</f>
        <v/>
      </c>
      <c r="G6" s="35">
        <f>$E6+$F6</f>
        <v/>
      </c>
      <c r="H6" s="18">
        <f>COUNTIF(Detail!$F$2:$F$868,$A6)</f>
        <v/>
      </c>
    </row>
    <row r="7">
      <c r="A7" s="3" t="inlineStr">
        <is>
          <t>PKG-03</t>
        </is>
      </c>
      <c r="B7" s="3" t="inlineStr">
        <is>
          <t>Underground Utilities &amp; Drainage</t>
        </is>
      </c>
      <c r="C7" s="3" t="inlineStr">
        <is>
          <t>Site &amp; Civil</t>
        </is>
      </c>
      <c r="D7" s="3" t="inlineStr">
        <is>
          <t>LOW</t>
        </is>
      </c>
      <c r="E7" s="35">
        <f>SUMIFS(Detail!$L$2:$L$868,Detail!$F$2:$F$868,$A7)</f>
        <v/>
      </c>
      <c r="F7" s="35">
        <f>SUMIFS(Detail!$T$2:$T$868,Detail!$F$2:$F$868,$A7)</f>
        <v/>
      </c>
      <c r="G7" s="35">
        <f>$E7+$F7</f>
        <v/>
      </c>
      <c r="H7" s="18">
        <f>COUNTIF(Detail!$F$2:$F$868,$A7)</f>
        <v/>
      </c>
    </row>
    <row r="8">
      <c r="A8" s="3" t="inlineStr">
        <is>
          <t>PKG-04</t>
        </is>
      </c>
      <c r="B8" s="3" t="inlineStr">
        <is>
          <t>Pavement &amp; Surfacing</t>
        </is>
      </c>
      <c r="C8" s="3" t="inlineStr">
        <is>
          <t>Site &amp; Civil</t>
        </is>
      </c>
      <c r="D8" s="3" t="inlineStr">
        <is>
          <t>LOW</t>
        </is>
      </c>
      <c r="E8" s="35">
        <f>SUMIFS(Detail!$L$2:$L$868,Detail!$F$2:$F$868,$A8)</f>
        <v/>
      </c>
      <c r="F8" s="35">
        <f>SUMIFS(Detail!$T$2:$T$868,Detail!$F$2:$F$868,$A8)</f>
        <v/>
      </c>
      <c r="G8" s="35">
        <f>$E8+$F8</f>
        <v/>
      </c>
      <c r="H8" s="18">
        <f>COUNTIF(Detail!$F$2:$F$868,$A8)</f>
        <v/>
      </c>
    </row>
    <row r="9">
      <c r="A9" s="3" t="inlineStr">
        <is>
          <t>PKG-05</t>
        </is>
      </c>
      <c r="B9" s="3" t="inlineStr">
        <is>
          <t>Concrete Structures</t>
        </is>
      </c>
      <c r="C9" s="3" t="inlineStr">
        <is>
          <t>Structural</t>
        </is>
      </c>
      <c r="D9" s="3" t="inlineStr">
        <is>
          <t>LOW</t>
        </is>
      </c>
      <c r="E9" s="35">
        <f>SUMIFS(Detail!$L$2:$L$868,Detail!$F$2:$F$868,$A9)</f>
        <v/>
      </c>
      <c r="F9" s="35">
        <f>SUMIFS(Detail!$T$2:$T$868,Detail!$F$2:$F$868,$A9)</f>
        <v/>
      </c>
      <c r="G9" s="35">
        <f>$E9+$F9</f>
        <v/>
      </c>
      <c r="H9" s="18">
        <f>COUNTIF(Detail!$F$2:$F$868,$A9)</f>
        <v/>
      </c>
    </row>
    <row r="10">
      <c r="A10" s="3" t="inlineStr">
        <is>
          <t>PKG-06</t>
        </is>
      </c>
      <c r="B10" s="3" t="inlineStr">
        <is>
          <t>Structural Steelwork</t>
        </is>
      </c>
      <c r="C10" s="3" t="inlineStr">
        <is>
          <t>Structural</t>
        </is>
      </c>
      <c r="D10" s="3" t="inlineStr">
        <is>
          <t>LOW</t>
        </is>
      </c>
      <c r="E10" s="35">
        <f>SUMIFS(Detail!$L$2:$L$868,Detail!$F$2:$F$868,$A10)</f>
        <v/>
      </c>
      <c r="F10" s="35">
        <f>SUMIFS(Detail!$T$2:$T$868,Detail!$F$2:$F$868,$A10)</f>
        <v/>
      </c>
      <c r="G10" s="35">
        <f>$E10+$F10</f>
        <v/>
      </c>
      <c r="H10" s="18">
        <f>COUNTIF(Detail!$F$2:$F$868,$A10)</f>
        <v/>
      </c>
    </row>
    <row r="11">
      <c r="A11" s="3" t="inlineStr">
        <is>
          <t>PKG-07</t>
        </is>
      </c>
      <c r="B11" s="3" t="inlineStr">
        <is>
          <t>Rail Works</t>
        </is>
      </c>
      <c r="C11" s="3" t="inlineStr">
        <is>
          <t>Structural</t>
        </is>
      </c>
      <c r="D11" s="3" t="inlineStr">
        <is>
          <t>LOW</t>
        </is>
      </c>
      <c r="E11" s="35">
        <f>SUMIFS(Detail!$L$2:$L$868,Detail!$F$2:$F$868,$A11)</f>
        <v/>
      </c>
      <c r="F11" s="35">
        <f>SUMIFS(Detail!$T$2:$T$868,Detail!$F$2:$F$868,$A11)</f>
        <v/>
      </c>
      <c r="G11" s="35">
        <f>$E11+$F11</f>
        <v/>
      </c>
      <c r="H11" s="18">
        <f>COUNTIF(Detail!$F$2:$F$868,$A11)</f>
        <v/>
      </c>
    </row>
    <row r="12">
      <c r="A12" s="3" t="inlineStr">
        <is>
          <t>PKG-08</t>
        </is>
      </c>
      <c r="B12" s="3" t="inlineStr">
        <is>
          <t>Marine Structures</t>
        </is>
      </c>
      <c r="C12" s="3" t="inlineStr">
        <is>
          <t>Structural</t>
        </is>
      </c>
      <c r="D12" s="3" t="inlineStr">
        <is>
          <t>LOW</t>
        </is>
      </c>
      <c r="E12" s="35">
        <f>SUMIFS(Detail!$L$2:$L$868,Detail!$F$2:$F$868,$A12)</f>
        <v/>
      </c>
      <c r="F12" s="35">
        <f>SUMIFS(Detail!$T$2:$T$868,Detail!$F$2:$F$868,$A12)</f>
        <v/>
      </c>
      <c r="G12" s="35">
        <f>$E12+$F12</f>
        <v/>
      </c>
      <c r="H12" s="18">
        <f>COUNTIF(Detail!$F$2:$F$868,$A12)</f>
        <v/>
      </c>
    </row>
    <row r="13">
      <c r="A13" s="3" t="inlineStr">
        <is>
          <t>PKG-09</t>
        </is>
      </c>
      <c r="B13" s="3" t="inlineStr">
        <is>
          <t>Marine Outfitting</t>
        </is>
      </c>
      <c r="C13" s="3" t="inlineStr">
        <is>
          <t>Structural</t>
        </is>
      </c>
      <c r="D13" s="3" t="inlineStr">
        <is>
          <t>LOW</t>
        </is>
      </c>
      <c r="E13" s="35">
        <f>SUMIFS(Detail!$L$2:$L$868,Detail!$F$2:$F$868,$A13)</f>
        <v/>
      </c>
      <c r="F13" s="35">
        <f>SUMIFS(Detail!$T$2:$T$868,Detail!$F$2:$F$868,$A13)</f>
        <v/>
      </c>
      <c r="G13" s="35">
        <f>$E13+$F13</f>
        <v/>
      </c>
      <c r="H13" s="18">
        <f>COUNTIF(Detail!$F$2:$F$868,$A13)</f>
        <v/>
      </c>
    </row>
    <row r="14">
      <c r="A14" s="3" t="inlineStr">
        <is>
          <t>PKG-10</t>
        </is>
      </c>
      <c r="B14" s="3" t="inlineStr">
        <is>
          <t>Railcar Unloading System</t>
        </is>
      </c>
      <c r="C14" s="3" t="inlineStr">
        <is>
          <t>Mechanical</t>
        </is>
      </c>
      <c r="D14" s="3" t="inlineStr">
        <is>
          <t>LOW</t>
        </is>
      </c>
      <c r="E14" s="35">
        <f>SUMIFS(Detail!$L$2:$L$868,Detail!$F$2:$F$868,$A14)</f>
        <v/>
      </c>
      <c r="F14" s="35">
        <f>SUMIFS(Detail!$T$2:$T$868,Detail!$F$2:$F$868,$A14)</f>
        <v/>
      </c>
      <c r="G14" s="35">
        <f>$E14+$F14</f>
        <v/>
      </c>
      <c r="H14" s="18">
        <f>COUNTIF(Detail!$F$2:$F$868,$A14)</f>
        <v/>
      </c>
    </row>
    <row r="15">
      <c r="A15" s="3" t="inlineStr">
        <is>
          <t>PKG-11</t>
        </is>
      </c>
      <c r="B15" s="3" t="inlineStr">
        <is>
          <t>Marine Loading System</t>
        </is>
      </c>
      <c r="C15" s="3" t="inlineStr">
        <is>
          <t>Mechanical</t>
        </is>
      </c>
      <c r="D15" s="3" t="inlineStr">
        <is>
          <t>LOW</t>
        </is>
      </c>
      <c r="E15" s="35">
        <f>SUMIFS(Detail!$L$2:$L$868,Detail!$F$2:$F$868,$A15)</f>
        <v/>
      </c>
      <c r="F15" s="35">
        <f>SUMIFS(Detail!$T$2:$T$868,Detail!$F$2:$F$868,$A15)</f>
        <v/>
      </c>
      <c r="G15" s="35">
        <f>$E15+$F15</f>
        <v/>
      </c>
      <c r="H15" s="18">
        <f>COUNTIF(Detail!$F$2:$F$868,$A15)</f>
        <v/>
      </c>
    </row>
    <row r="16">
      <c r="A16" s="3" t="inlineStr">
        <is>
          <t>PKG-12</t>
        </is>
      </c>
      <c r="B16" s="3" t="inlineStr">
        <is>
          <t>Product Transfer &amp; Metering</t>
        </is>
      </c>
      <c r="C16" s="3" t="inlineStr">
        <is>
          <t>Mechanical</t>
        </is>
      </c>
      <c r="D16" s="3" t="inlineStr">
        <is>
          <t>LOW</t>
        </is>
      </c>
      <c r="E16" s="35">
        <f>SUMIFS(Detail!$L$2:$L$868,Detail!$F$2:$F$868,$A16)</f>
        <v/>
      </c>
      <c r="F16" s="35">
        <f>SUMIFS(Detail!$T$2:$T$868,Detail!$F$2:$F$868,$A16)</f>
        <v/>
      </c>
      <c r="G16" s="35">
        <f>$E16+$F16</f>
        <v/>
      </c>
      <c r="H16" s="18">
        <f>COUNTIF(Detail!$F$2:$F$868,$A16)</f>
        <v/>
      </c>
    </row>
    <row r="17">
      <c r="A17" s="3" t="inlineStr">
        <is>
          <t>PKG-13</t>
        </is>
      </c>
      <c r="B17" s="3" t="inlineStr">
        <is>
          <t>Storage Tanks</t>
        </is>
      </c>
      <c r="C17" s="3" t="inlineStr">
        <is>
          <t>Mechanical</t>
        </is>
      </c>
      <c r="D17" s="3" t="inlineStr">
        <is>
          <t>LOW</t>
        </is>
      </c>
      <c r="E17" s="35">
        <f>SUMIFS(Detail!$L$2:$L$868,Detail!$F$2:$F$868,$A17)</f>
        <v/>
      </c>
      <c r="F17" s="35">
        <f>SUMIFS(Detail!$T$2:$T$868,Detail!$F$2:$F$868,$A17)</f>
        <v/>
      </c>
      <c r="G17" s="35">
        <f>$E17+$F17</f>
        <v/>
      </c>
      <c r="H17" s="18">
        <f>COUNTIF(Detail!$F$2:$F$868,$A17)</f>
        <v/>
      </c>
    </row>
    <row r="18">
      <c r="A18" s="3" t="inlineStr">
        <is>
          <t>PKG-14</t>
        </is>
      </c>
      <c r="B18" s="3" t="inlineStr">
        <is>
          <t>Process Piping</t>
        </is>
      </c>
      <c r="C18" s="3" t="inlineStr">
        <is>
          <t>Mechanical</t>
        </is>
      </c>
      <c r="D18" s="3" t="inlineStr">
        <is>
          <t>LOW</t>
        </is>
      </c>
      <c r="E18" s="35">
        <f>SUMIFS(Detail!$L$2:$L$868,Detail!$F$2:$F$868,$A18)</f>
        <v/>
      </c>
      <c r="F18" s="35">
        <f>SUMIFS(Detail!$T$2:$T$868,Detail!$F$2:$F$868,$A18)</f>
        <v/>
      </c>
      <c r="G18" s="35">
        <f>$E18+$F18</f>
        <v/>
      </c>
      <c r="H18" s="18">
        <f>COUNTIF(Detail!$F$2:$F$868,$A18)</f>
        <v/>
      </c>
    </row>
    <row r="19">
      <c r="A19" s="3" t="inlineStr">
        <is>
          <t>PKG-15</t>
        </is>
      </c>
      <c r="B19" s="3" t="inlineStr">
        <is>
          <t>Pumps &amp; Rotating Equipment</t>
        </is>
      </c>
      <c r="C19" s="3" t="inlineStr">
        <is>
          <t>Mechanical</t>
        </is>
      </c>
      <c r="D19" s="3" t="inlineStr">
        <is>
          <t>LOW-MED</t>
        </is>
      </c>
      <c r="E19" s="35">
        <f>SUMIFS(Detail!$L$2:$L$868,Detail!$F$2:$F$868,$A19)</f>
        <v/>
      </c>
      <c r="F19" s="35">
        <f>SUMIFS(Detail!$T$2:$T$868,Detail!$F$2:$F$868,$A19)</f>
        <v/>
      </c>
      <c r="G19" s="35">
        <f>$E19+$F19</f>
        <v/>
      </c>
      <c r="H19" s="18">
        <f>COUNTIF(Detail!$F$2:$F$868,$A19)</f>
        <v/>
      </c>
    </row>
    <row r="20">
      <c r="A20" s="3" t="inlineStr">
        <is>
          <t>PKG-16</t>
        </is>
      </c>
      <c r="B20" s="3" t="inlineStr">
        <is>
          <t>Valves &amp; Specialty Equipment</t>
        </is>
      </c>
      <c r="C20" s="3" t="inlineStr">
        <is>
          <t>Mechanical</t>
        </is>
      </c>
      <c r="D20" s="3" t="inlineStr">
        <is>
          <t>LOW</t>
        </is>
      </c>
      <c r="E20" s="35">
        <f>SUMIFS(Detail!$L$2:$L$868,Detail!$F$2:$F$868,$A20)</f>
        <v/>
      </c>
      <c r="F20" s="35">
        <f>SUMIFS(Detail!$T$2:$T$868,Detail!$F$2:$F$868,$A20)</f>
        <v/>
      </c>
      <c r="G20" s="35">
        <f>$E20+$F20</f>
        <v/>
      </c>
      <c r="H20" s="18">
        <f>COUNTIF(Detail!$F$2:$F$868,$A20)</f>
        <v/>
      </c>
    </row>
    <row r="21">
      <c r="A21" s="3" t="inlineStr">
        <is>
          <t>PKG-17</t>
        </is>
      </c>
      <c r="B21" s="3" t="inlineStr">
        <is>
          <t>Electrical Power Distribution</t>
        </is>
      </c>
      <c r="C21" s="3" t="inlineStr">
        <is>
          <t>Electrical &amp; I&amp;C</t>
        </is>
      </c>
      <c r="D21" s="3" t="inlineStr">
        <is>
          <t>LOW</t>
        </is>
      </c>
      <c r="E21" s="35">
        <f>SUMIFS(Detail!$L$2:$L$868,Detail!$F$2:$F$868,$A21)</f>
        <v/>
      </c>
      <c r="F21" s="35">
        <f>SUMIFS(Detail!$T$2:$T$868,Detail!$F$2:$F$868,$A21)</f>
        <v/>
      </c>
      <c r="G21" s="35">
        <f>$E21+$F21</f>
        <v/>
      </c>
      <c r="H21" s="18">
        <f>COUNTIF(Detail!$F$2:$F$868,$A21)</f>
        <v/>
      </c>
    </row>
    <row r="22">
      <c r="A22" s="3" t="inlineStr">
        <is>
          <t>PKG-18</t>
        </is>
      </c>
      <c r="B22" s="3" t="inlineStr">
        <is>
          <t>Lighting</t>
        </is>
      </c>
      <c r="C22" s="3" t="inlineStr">
        <is>
          <t>Electrical &amp; I&amp;C</t>
        </is>
      </c>
      <c r="D22" s="3" t="inlineStr">
        <is>
          <t>LOW</t>
        </is>
      </c>
      <c r="E22" s="35">
        <f>SUMIFS(Detail!$L$2:$L$868,Detail!$F$2:$F$868,$A22)</f>
        <v/>
      </c>
      <c r="F22" s="35">
        <f>SUMIFS(Detail!$T$2:$T$868,Detail!$F$2:$F$868,$A22)</f>
        <v/>
      </c>
      <c r="G22" s="35">
        <f>$E22+$F22</f>
        <v/>
      </c>
      <c r="H22" s="18">
        <f>COUNTIF(Detail!$F$2:$F$868,$A22)</f>
        <v/>
      </c>
    </row>
    <row r="23">
      <c r="A23" s="3" t="inlineStr">
        <is>
          <t>PKG-19</t>
        </is>
      </c>
      <c r="B23" s="3" t="inlineStr">
        <is>
          <t>Control Systems</t>
        </is>
      </c>
      <c r="C23" s="3" t="inlineStr">
        <is>
          <t>Electrical &amp; I&amp;C</t>
        </is>
      </c>
      <c r="D23" s="3" t="inlineStr">
        <is>
          <t>LOW</t>
        </is>
      </c>
      <c r="E23" s="35">
        <f>SUMIFS(Detail!$L$2:$L$868,Detail!$F$2:$F$868,$A23)</f>
        <v/>
      </c>
      <c r="F23" s="35">
        <f>SUMIFS(Detail!$T$2:$T$868,Detail!$F$2:$F$868,$A23)</f>
        <v/>
      </c>
      <c r="G23" s="35">
        <f>$E23+$F23</f>
        <v/>
      </c>
      <c r="H23" s="18">
        <f>COUNTIF(Detail!$F$2:$F$868,$A23)</f>
        <v/>
      </c>
    </row>
    <row r="24">
      <c r="A24" s="3" t="inlineStr">
        <is>
          <t>PKG-20</t>
        </is>
      </c>
      <c r="B24" s="3" t="inlineStr">
        <is>
          <t>Field Instrumentation</t>
        </is>
      </c>
      <c r="C24" s="3" t="inlineStr">
        <is>
          <t>Electrical &amp; I&amp;C</t>
        </is>
      </c>
      <c r="D24" s="3" t="inlineStr">
        <is>
          <t>LOW</t>
        </is>
      </c>
      <c r="E24" s="35">
        <f>SUMIFS(Detail!$L$2:$L$868,Detail!$F$2:$F$868,$A24)</f>
        <v/>
      </c>
      <c r="F24" s="35">
        <f>SUMIFS(Detail!$T$2:$T$868,Detail!$F$2:$F$868,$A24)</f>
        <v/>
      </c>
      <c r="G24" s="35">
        <f>$E24+$F24</f>
        <v/>
      </c>
      <c r="H24" s="18">
        <f>COUNTIF(Detail!$F$2:$F$868,$A24)</f>
        <v/>
      </c>
    </row>
    <row r="25">
      <c r="A25" s="3" t="inlineStr">
        <is>
          <t>PKG-21</t>
        </is>
      </c>
      <c r="B25" s="3" t="inlineStr">
        <is>
          <t>Buildings (MCC/Shelters)</t>
        </is>
      </c>
      <c r="C25" s="3" t="inlineStr">
        <is>
          <t>Buildings &amp; Protection</t>
        </is>
      </c>
      <c r="D25" s="3" t="inlineStr">
        <is>
          <t>LOW</t>
        </is>
      </c>
      <c r="E25" s="35">
        <f>SUMIFS(Detail!$L$2:$L$868,Detail!$F$2:$F$868,$A25)</f>
        <v/>
      </c>
      <c r="F25" s="35">
        <f>SUMIFS(Detail!$T$2:$T$868,Detail!$F$2:$F$868,$A25)</f>
        <v/>
      </c>
      <c r="G25" s="35">
        <f>$E25+$F25</f>
        <v/>
      </c>
      <c r="H25" s="18">
        <f>COUNTIF(Detail!$F$2:$F$868,$A25)</f>
        <v/>
      </c>
    </row>
    <row r="26">
      <c r="A26" s="3" t="inlineStr">
        <is>
          <t>PKG-22</t>
        </is>
      </c>
      <c r="B26" s="3" t="inlineStr">
        <is>
          <t>Building Interior &amp; MEP</t>
        </is>
      </c>
      <c r="C26" s="3" t="inlineStr">
        <is>
          <t>Buildings &amp; Protection</t>
        </is>
      </c>
      <c r="D26" s="3" t="inlineStr">
        <is>
          <t>LOW</t>
        </is>
      </c>
      <c r="E26" s="35">
        <f>SUMIFS(Detail!$L$2:$L$868,Detail!$F$2:$F$868,$A26)</f>
        <v/>
      </c>
      <c r="F26" s="35">
        <f>SUMIFS(Detail!$T$2:$T$868,Detail!$F$2:$F$868,$A26)</f>
        <v/>
      </c>
      <c r="G26" s="35">
        <f>$E26+$F26</f>
        <v/>
      </c>
      <c r="H26" s="18">
        <f>COUNTIF(Detail!$F$2:$F$868,$A26)</f>
        <v/>
      </c>
    </row>
    <row r="27">
      <c r="A27" s="3" t="inlineStr">
        <is>
          <t>PKG-23</t>
        </is>
      </c>
      <c r="B27" s="3" t="inlineStr">
        <is>
          <t>Fire Protection</t>
        </is>
      </c>
      <c r="C27" s="3" t="inlineStr">
        <is>
          <t>Buildings &amp; Protection</t>
        </is>
      </c>
      <c r="D27" s="3" t="inlineStr">
        <is>
          <t>LOW</t>
        </is>
      </c>
      <c r="E27" s="35">
        <f>SUMIFS(Detail!$L$2:$L$868,Detail!$F$2:$F$868,$A27)</f>
        <v/>
      </c>
      <c r="F27" s="35">
        <f>SUMIFS(Detail!$T$2:$T$868,Detail!$F$2:$F$868,$A27)</f>
        <v/>
      </c>
      <c r="G27" s="35">
        <f>$E27+$F27</f>
        <v/>
      </c>
      <c r="H27" s="18">
        <f>COUNTIF(Detail!$F$2:$F$868,$A27)</f>
        <v/>
      </c>
    </row>
    <row r="28">
      <c r="A28" s="3" t="inlineStr">
        <is>
          <t>PKG-24</t>
        </is>
      </c>
      <c r="B28" s="3" t="inlineStr">
        <is>
          <t>Security Systems</t>
        </is>
      </c>
      <c r="C28" s="3" t="inlineStr">
        <is>
          <t>Buildings &amp; Protection</t>
        </is>
      </c>
      <c r="D28" s="3" t="inlineStr">
        <is>
          <t>LOW</t>
        </is>
      </c>
      <c r="E28" s="35">
        <f>SUMIFS(Detail!$L$2:$L$868,Detail!$F$2:$F$868,$A28)</f>
        <v/>
      </c>
      <c r="F28" s="35">
        <f>SUMIFS(Detail!$T$2:$T$868,Detail!$F$2:$F$868,$A28)</f>
        <v/>
      </c>
      <c r="G28" s="35">
        <f>$E28+$F28</f>
        <v/>
      </c>
      <c r="H28" s="18">
        <f>COUNTIF(Detail!$F$2:$F$868,$A28)</f>
        <v/>
      </c>
    </row>
    <row r="29">
      <c r="A29" s="3" t="inlineStr">
        <is>
          <t>PKG-25</t>
        </is>
      </c>
      <c r="B29" s="3" t="inlineStr">
        <is>
          <t>Communications &amp; IT</t>
        </is>
      </c>
      <c r="C29" s="3" t="inlineStr">
        <is>
          <t>Buildings &amp; Protection</t>
        </is>
      </c>
      <c r="D29" s="3" t="inlineStr">
        <is>
          <t>LOW</t>
        </is>
      </c>
      <c r="E29" s="35">
        <f>SUMIFS(Detail!$L$2:$L$868,Detail!$F$2:$F$868,$A29)</f>
        <v/>
      </c>
      <c r="F29" s="35">
        <f>SUMIFS(Detail!$T$2:$T$868,Detail!$F$2:$F$868,$A29)</f>
        <v/>
      </c>
      <c r="G29" s="35">
        <f>$E29+$F29</f>
        <v/>
      </c>
      <c r="H29" s="18">
        <f>COUNTIF(Detail!$F$2:$F$868,$A29)</f>
        <v/>
      </c>
    </row>
    <row r="30">
      <c r="A30" s="3" t="inlineStr">
        <is>
          <t>PKG-26</t>
        </is>
      </c>
      <c r="B30" s="3" t="inlineStr">
        <is>
          <t>Protective Coatings &amp; Painting</t>
        </is>
      </c>
      <c r="C30" s="3" t="inlineStr">
        <is>
          <t>Buildings &amp; Protection</t>
        </is>
      </c>
      <c r="D30" s="3" t="inlineStr">
        <is>
          <t>LOW-MED</t>
        </is>
      </c>
      <c r="E30" s="35">
        <f>SUMIFS(Detail!$L$2:$L$868,Detail!$F$2:$F$868,$A30)</f>
        <v/>
      </c>
      <c r="F30" s="35">
        <f>SUMIFS(Detail!$T$2:$T$868,Detail!$F$2:$F$868,$A30)</f>
        <v/>
      </c>
      <c r="G30" s="35">
        <f>$E30+$F30</f>
        <v/>
      </c>
      <c r="H30" s="18">
        <f>COUNTIF(Detail!$F$2:$F$868,$A30)</f>
        <v/>
      </c>
    </row>
    <row r="31">
      <c r="A31" s="3" t="inlineStr">
        <is>
          <t>PKG-27</t>
        </is>
      </c>
      <c r="B31" s="3" t="inlineStr">
        <is>
          <t>Insulation</t>
        </is>
      </c>
      <c r="C31" s="3" t="inlineStr">
        <is>
          <t>Project Execution</t>
        </is>
      </c>
      <c r="D31" s="3" t="inlineStr">
        <is>
          <t>LOW</t>
        </is>
      </c>
      <c r="E31" s="35">
        <f>SUMIFS(Detail!$L$2:$L$868,Detail!$F$2:$F$868,$A31)</f>
        <v/>
      </c>
      <c r="F31" s="35">
        <f>SUMIFS(Detail!$T$2:$T$868,Detail!$F$2:$F$868,$A31)</f>
        <v/>
      </c>
      <c r="G31" s="35">
        <f>$E31+$F31</f>
        <v/>
      </c>
      <c r="H31" s="18">
        <f>COUNTIF(Detail!$F$2:$F$868,$A31)</f>
        <v/>
      </c>
    </row>
    <row r="32">
      <c r="A32" s="3" t="inlineStr">
        <is>
          <t>PKG-28</t>
        </is>
      </c>
      <c r="B32" s="3" t="inlineStr">
        <is>
          <t>Design Verification</t>
        </is>
      </c>
      <c r="C32" s="3" t="inlineStr">
        <is>
          <t>Project Execution</t>
        </is>
      </c>
      <c r="D32" s="3" t="inlineStr">
        <is>
          <t>LOW</t>
        </is>
      </c>
      <c r="E32" s="35">
        <f>SUMIFS(Detail!$L$2:$L$868,Detail!$F$2:$F$868,$A32)</f>
        <v/>
      </c>
      <c r="F32" s="35">
        <f>SUMIFS(Detail!$T$2:$T$868,Detail!$F$2:$F$868,$A32)</f>
        <v/>
      </c>
      <c r="G32" s="35">
        <f>$E32+$F32</f>
        <v/>
      </c>
      <c r="H32" s="18">
        <f>COUNTIF(Detail!$F$2:$F$868,$A32)</f>
        <v/>
      </c>
    </row>
    <row r="33">
      <c r="A33" s="3" t="inlineStr">
        <is>
          <t>PKG-29</t>
        </is>
      </c>
      <c r="B33" s="3" t="inlineStr">
        <is>
          <t>Testing</t>
        </is>
      </c>
      <c r="C33" s="3" t="inlineStr">
        <is>
          <t>Project Execution</t>
        </is>
      </c>
      <c r="D33" s="3" t="inlineStr">
        <is>
          <t>LOW</t>
        </is>
      </c>
      <c r="E33" s="35">
        <f>SUMIFS(Detail!$L$2:$L$868,Detail!$F$2:$F$868,$A33)</f>
        <v/>
      </c>
      <c r="F33" s="35">
        <f>SUMIFS(Detail!$T$2:$T$868,Detail!$F$2:$F$868,$A33)</f>
        <v/>
      </c>
      <c r="G33" s="35">
        <f>$E33+$F33</f>
        <v/>
      </c>
      <c r="H33" s="18">
        <f>COUNTIF(Detail!$F$2:$F$868,$A33)</f>
        <v/>
      </c>
    </row>
    <row r="34">
      <c r="A34" s="3" t="inlineStr">
        <is>
          <t>PKG-30</t>
        </is>
      </c>
      <c r="B34" s="3" t="inlineStr">
        <is>
          <t>Commissioning</t>
        </is>
      </c>
      <c r="C34" s="3" t="inlineStr">
        <is>
          <t>Project Execution</t>
        </is>
      </c>
      <c r="D34" s="3" t="inlineStr">
        <is>
          <t>LOW-MED</t>
        </is>
      </c>
      <c r="E34" s="35">
        <f>SUMIFS(Detail!$L$2:$L$868,Detail!$F$2:$F$868,$A34)</f>
        <v/>
      </c>
      <c r="F34" s="35">
        <f>SUMIFS(Detail!$T$2:$T$868,Detail!$F$2:$F$868,$A34)</f>
        <v/>
      </c>
      <c r="G34" s="35">
        <f>$E34+$F34</f>
        <v/>
      </c>
      <c r="H34" s="18">
        <f>COUNTIF(Detail!$F$2:$F$868,$A34)</f>
        <v/>
      </c>
    </row>
    <row r="35">
      <c r="A35" s="3" t="inlineStr">
        <is>
          <t>PKG-31</t>
        </is>
      </c>
      <c r="B35" s="3" t="inlineStr">
        <is>
          <t>Documentation</t>
        </is>
      </c>
      <c r="C35" s="3" t="inlineStr">
        <is>
          <t>Project Execution</t>
        </is>
      </c>
      <c r="D35" s="3" t="inlineStr">
        <is>
          <t>LOW</t>
        </is>
      </c>
      <c r="E35" s="35">
        <f>SUMIFS(Detail!$L$2:$L$868,Detail!$F$2:$F$868,$A35)</f>
        <v/>
      </c>
      <c r="F35" s="35">
        <f>SUMIFS(Detail!$T$2:$T$868,Detail!$F$2:$F$868,$A35)</f>
        <v/>
      </c>
      <c r="G35" s="35">
        <f>$E35+$F35</f>
        <v/>
      </c>
      <c r="H35" s="18">
        <f>COUNTIF(Detail!$F$2:$F$868,$A35)</f>
        <v/>
      </c>
    </row>
    <row r="36">
      <c r="A36" s="3" t="inlineStr">
        <is>
          <t>PKG-32</t>
        </is>
      </c>
      <c r="B36" s="3" t="inlineStr">
        <is>
          <t>Regulatory &amp; Permits</t>
        </is>
      </c>
      <c r="C36" s="3" t="inlineStr">
        <is>
          <t>Project Execution</t>
        </is>
      </c>
      <c r="D36" s="3" t="inlineStr">
        <is>
          <t>LOW</t>
        </is>
      </c>
      <c r="E36" s="35">
        <f>SUMIFS(Detail!$L$2:$L$868,Detail!$F$2:$F$868,$A36)</f>
        <v/>
      </c>
      <c r="F36" s="35">
        <f>SUMIFS(Detail!$T$2:$T$868,Detail!$F$2:$F$868,$A36)</f>
        <v/>
      </c>
      <c r="G36" s="35">
        <f>$E36+$F36</f>
        <v/>
      </c>
      <c r="H36" s="18">
        <f>COUNTIF(Detail!$F$2:$F$868,$A36)</f>
        <v/>
      </c>
    </row>
    <row r="37">
      <c r="A37" s="3" t="inlineStr">
        <is>
          <t>PKG-33</t>
        </is>
      </c>
      <c r="B37" s="3" t="inlineStr">
        <is>
          <t>HSE Management</t>
        </is>
      </c>
      <c r="C37" s="3" t="inlineStr">
        <is>
          <t>Project Execution</t>
        </is>
      </c>
      <c r="D37" s="3" t="inlineStr">
        <is>
          <t>LOW</t>
        </is>
      </c>
      <c r="E37" s="35">
        <f>SUMIFS(Detail!$L$2:$L$868,Detail!$F$2:$F$868,$A37)</f>
        <v/>
      </c>
      <c r="F37" s="35">
        <f>SUMIFS(Detail!$T$2:$T$868,Detail!$F$2:$F$868,$A37)</f>
        <v/>
      </c>
      <c r="G37" s="35">
        <f>$E37+$F37</f>
        <v/>
      </c>
      <c r="H37" s="18">
        <f>COUNTIF(Detail!$F$2:$F$868,$A37)</f>
        <v/>
      </c>
    </row>
    <row r="38">
      <c r="A38" s="3" t="inlineStr">
        <is>
          <t>PKG-34</t>
        </is>
      </c>
      <c r="B38" s="3" t="inlineStr">
        <is>
          <t>Coordination &amp; Interfaces</t>
        </is>
      </c>
      <c r="C38" s="3" t="inlineStr">
        <is>
          <t>Project Execution</t>
        </is>
      </c>
      <c r="D38" s="3" t="inlineStr">
        <is>
          <t>LOW</t>
        </is>
      </c>
      <c r="E38" s="35">
        <f>SUMIFS(Detail!$L$2:$L$868,Detail!$F$2:$F$868,$A38)</f>
        <v/>
      </c>
      <c r="F38" s="35">
        <f>SUMIFS(Detail!$T$2:$T$868,Detail!$F$2:$F$868,$A38)</f>
        <v/>
      </c>
      <c r="G38" s="35">
        <f>$E38+$F38</f>
        <v/>
      </c>
      <c r="H38" s="18">
        <f>COUNTIF(Detail!$F$2:$F$868,$A38)</f>
        <v/>
      </c>
    </row>
    <row r="39">
      <c r="A39" s="3" t="inlineStr">
        <is>
          <t>PKG-35</t>
        </is>
      </c>
      <c r="B39" s="3" t="inlineStr">
        <is>
          <t>Training &amp; Handover</t>
        </is>
      </c>
      <c r="C39" s="3" t="inlineStr">
        <is>
          <t>Project Execution</t>
        </is>
      </c>
      <c r="D39" s="3" t="inlineStr">
        <is>
          <t>LOW</t>
        </is>
      </c>
      <c r="E39" s="35">
        <f>SUMIFS(Detail!$L$2:$L$868,Detail!$F$2:$F$868,$A39)</f>
        <v/>
      </c>
      <c r="F39" s="35">
        <f>SUMIFS(Detail!$T$2:$T$868,Detail!$F$2:$F$868,$A39)</f>
        <v/>
      </c>
      <c r="G39" s="35">
        <f>$E39+$F39</f>
        <v/>
      </c>
      <c r="H39" s="18">
        <f>COUNTIF(Detail!$F$2:$F$868,$A39)</f>
        <v/>
      </c>
    </row>
  </sheetData>
  <hyperlinks>
    <hyperlink xmlns:r="http://schemas.openxmlformats.org/officeDocument/2006/relationships" ref="J1" r:id="rId1"/>
  </hyperlinks>
  <pageMargins left="0.75" right="0.75" top="1" bottom="1" header="0.5" footer="0.5"/>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12" customWidth="1" min="3" max="3"/>
    <col width="16" customWidth="1" min="4" max="4"/>
    <col width="16" customWidth="1" min="5" max="5"/>
    <col width="14" customWidth="1" min="6" max="6"/>
  </cols>
  <sheetData>
    <row r="1">
      <c r="A1" s="15" t="inlineStr">
        <is>
          <t>CBS summary (computed from Detail)</t>
        </is>
      </c>
      <c r="H1" s="4" t="inlineStr">
        <is>
          <t>Home</t>
        </is>
      </c>
    </row>
    <row r="3">
      <c r="A3" s="16" t="inlineStr">
        <is>
          <t>CBS</t>
        </is>
      </c>
      <c r="B3" s="16" t="inlineStr">
        <is>
          <t>Base</t>
        </is>
      </c>
      <c r="C3" s="16" t="inlineStr">
        <is>
          <t>Rate</t>
        </is>
      </c>
      <c r="D3" s="16" t="inlineStr">
        <is>
          <t>Contingency</t>
        </is>
      </c>
      <c r="E3" s="16" t="inlineStr">
        <is>
          <t>Total</t>
        </is>
      </c>
      <c r="F3" s="16" t="inlineStr">
        <is>
          <t>Share_of_Total</t>
        </is>
      </c>
    </row>
    <row r="4">
      <c r="A4" s="3" t="inlineStr">
        <is>
          <t>MAT</t>
        </is>
      </c>
      <c r="B4" s="35">
        <f>SUMIFS(Detail!$L$2:$L$868,Detail!$E$2:$E$868,$A4)</f>
        <v/>
      </c>
      <c r="C4" s="36">
        <f>VLOOKUP($A4,Inputs!$A$6:$B$13,2,FALSE)*Inputs!$B$2</f>
        <v/>
      </c>
      <c r="D4" s="35">
        <f>$B4*$C4</f>
        <v/>
      </c>
      <c r="E4" s="35">
        <f>$B4+$D4</f>
        <v/>
      </c>
      <c r="F4" s="36">
        <f>$E4/SUM($E$4:$E$11)</f>
        <v/>
      </c>
    </row>
    <row r="5">
      <c r="A5" s="3" t="inlineStr">
        <is>
          <t>CD</t>
        </is>
      </c>
      <c r="B5" s="35">
        <f>SUMIFS(Detail!$L$2:$L$868,Detail!$E$2:$E$868,$A5)</f>
        <v/>
      </c>
      <c r="C5" s="36">
        <f>VLOOKUP($A5,Inputs!$A$6:$B$13,2,FALSE)*Inputs!$B$2</f>
        <v/>
      </c>
      <c r="D5" s="35">
        <f>$B5*$C5</f>
        <v/>
      </c>
      <c r="E5" s="35">
        <f>$B5+$D5</f>
        <v/>
      </c>
      <c r="F5" s="36">
        <f>$E5/SUM($E$4:$E$11)</f>
        <v/>
      </c>
    </row>
    <row r="6">
      <c r="A6" s="3" t="inlineStr">
        <is>
          <t>E</t>
        </is>
      </c>
      <c r="B6" s="35">
        <f>SUMIFS(Detail!$L$2:$L$868,Detail!$E$2:$E$868,$A6)</f>
        <v/>
      </c>
      <c r="C6" s="36">
        <f>VLOOKUP($A6,Inputs!$A$6:$B$13,2,FALSE)*Inputs!$B$2</f>
        <v/>
      </c>
      <c r="D6" s="35">
        <f>$B6*$C6</f>
        <v/>
      </c>
      <c r="E6" s="35">
        <f>$B6+$D6</f>
        <v/>
      </c>
      <c r="F6" s="36">
        <f>$E6/SUM($E$4:$E$11)</f>
        <v/>
      </c>
    </row>
    <row r="7">
      <c r="A7" s="3" t="inlineStr">
        <is>
          <t>PM</t>
        </is>
      </c>
      <c r="B7" s="35">
        <f>SUMIFS(Detail!$L$2:$L$868,Detail!$E$2:$E$868,$A7)</f>
        <v/>
      </c>
      <c r="C7" s="36">
        <f>VLOOKUP($A7,Inputs!$A$6:$B$13,2,FALSE)*Inputs!$B$2</f>
        <v/>
      </c>
      <c r="D7" s="35">
        <f>$B7*$C7</f>
        <v/>
      </c>
      <c r="E7" s="35">
        <f>$B7+$D7</f>
        <v/>
      </c>
      <c r="F7" s="36">
        <f>$E7/SUM($E$4:$E$11)</f>
        <v/>
      </c>
    </row>
    <row r="8">
      <c r="A8" s="3" t="inlineStr">
        <is>
          <t>CI</t>
        </is>
      </c>
      <c r="B8" s="35">
        <f>SUMIFS(Detail!$L$2:$L$868,Detail!$E$2:$E$868,$A8)</f>
        <v/>
      </c>
      <c r="C8" s="36">
        <f>VLOOKUP($A8,Inputs!$A$6:$B$13,2,FALSE)*Inputs!$B$2</f>
        <v/>
      </c>
      <c r="D8" s="35">
        <f>$B8*$C8</f>
        <v/>
      </c>
      <c r="E8" s="35">
        <f>$B8+$D8</f>
        <v/>
      </c>
      <c r="F8" s="36">
        <f>$E8/SUM($E$4:$E$11)</f>
        <v/>
      </c>
    </row>
    <row r="9">
      <c r="A9" s="3" t="inlineStr">
        <is>
          <t>COM</t>
        </is>
      </c>
      <c r="B9" s="35">
        <f>SUMIFS(Detail!$L$2:$L$868,Detail!$E$2:$E$868,$A9)</f>
        <v/>
      </c>
      <c r="C9" s="36">
        <f>VLOOKUP($A9,Inputs!$A$6:$B$13,2,FALSE)*Inputs!$B$2</f>
        <v/>
      </c>
      <c r="D9" s="35">
        <f>$B9*$C9</f>
        <v/>
      </c>
      <c r="E9" s="35">
        <f>$B9+$D9</f>
        <v/>
      </c>
      <c r="F9" s="36">
        <f>$E9/SUM($E$4:$E$11)</f>
        <v/>
      </c>
    </row>
    <row r="10">
      <c r="A10" s="3" t="inlineStr">
        <is>
          <t>P</t>
        </is>
      </c>
      <c r="B10" s="35">
        <f>SUMIFS(Detail!$L$2:$L$868,Detail!$E$2:$E$868,$A10)</f>
        <v/>
      </c>
      <c r="C10" s="36">
        <f>VLOOKUP($A10,Inputs!$A$6:$B$13,2,FALSE)*Inputs!$B$2</f>
        <v/>
      </c>
      <c r="D10" s="35">
        <f>$B10*$C10</f>
        <v/>
      </c>
      <c r="E10" s="35">
        <f>$B10+$D10</f>
        <v/>
      </c>
      <c r="F10" s="36">
        <f>$E10/SUM($E$4:$E$11)</f>
        <v/>
      </c>
    </row>
    <row r="11">
      <c r="A11" s="3" t="inlineStr">
        <is>
          <t>FRT</t>
        </is>
      </c>
      <c r="B11" s="35">
        <f>SUMIFS(Detail!$L$2:$L$868,Detail!$E$2:$E$868,$A11)</f>
        <v/>
      </c>
      <c r="C11" s="36">
        <f>VLOOKUP($A11,Inputs!$A$6:$B$13,2,FALSE)*Inputs!$B$2</f>
        <v/>
      </c>
      <c r="D11" s="35">
        <f>$B11*$C11</f>
        <v/>
      </c>
      <c r="E11" s="35">
        <f>$B11+$D11</f>
        <v/>
      </c>
      <c r="F11" s="36">
        <f>$E11/SUM($E$4:$E$11)</f>
        <v/>
      </c>
    </row>
    <row r="12">
      <c r="A12" s="7" t="inlineStr">
        <is>
          <t>TOTAL</t>
        </is>
      </c>
      <c r="B12" s="37">
        <f>SUM(B4:B11)</f>
        <v/>
      </c>
      <c r="D12" s="37">
        <f>SUM(D4:D11)</f>
        <v/>
      </c>
      <c r="E12" s="37">
        <f>SUM(E4:E11)</f>
        <v/>
      </c>
      <c r="F12" s="38" t="n">
        <v>1</v>
      </c>
    </row>
  </sheetData>
  <hyperlinks>
    <hyperlink xmlns:r="http://schemas.openxmlformats.org/officeDocument/2006/relationships" ref="H1" r:id="rId1"/>
  </hyperlinks>
  <pageMargins left="0.75" right="0.75" top="1" bottom="1" header="0.5" footer="0.5"/>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A1" sqref="A1"/>
    </sheetView>
  </sheetViews>
  <sheetFormatPr baseColWidth="8" defaultRowHeight="15"/>
  <cols>
    <col width="14" customWidth="1" min="1" max="1"/>
    <col width="10" customWidth="1" min="2" max="2"/>
    <col width="16" customWidth="1" min="3" max="3"/>
    <col width="14" customWidth="1" min="4" max="4"/>
  </cols>
  <sheetData>
    <row r="1">
      <c r="A1" s="15" t="inlineStr">
        <is>
          <t>Pricing method summary (computed from Detail)</t>
        </is>
      </c>
      <c r="G1" s="4" t="inlineStr">
        <is>
          <t>Home</t>
        </is>
      </c>
    </row>
    <row r="3">
      <c r="A3" s="16" t="inlineStr">
        <is>
          <t>Method</t>
        </is>
      </c>
      <c r="B3" s="16" t="inlineStr">
        <is>
          <t>LineItems</t>
        </is>
      </c>
      <c r="C3" s="16" t="inlineStr">
        <is>
          <t>Base</t>
        </is>
      </c>
      <c r="D3" s="16" t="inlineStr">
        <is>
          <t>Share_of_Base</t>
        </is>
      </c>
    </row>
    <row r="4">
      <c r="A4" s="3" t="inlineStr">
        <is>
          <t>ALLOWANCE</t>
        </is>
      </c>
      <c r="B4" s="18">
        <f>COUNTIF(Detail!$N$2:$N$868,$A4)</f>
        <v/>
      </c>
      <c r="C4" s="35">
        <f>SUMIFS(Detail!$L$2:$L$868,Detail!$N$2:$N$868,$A4)</f>
        <v/>
      </c>
      <c r="D4" s="36">
        <f>$C4/SUM($C$4:$C$7)</f>
        <v/>
      </c>
    </row>
    <row r="5">
      <c r="A5" s="3" t="inlineStr">
        <is>
          <t>CAD</t>
        </is>
      </c>
      <c r="B5" s="18">
        <f>COUNTIF(Detail!$N$2:$N$868,$A5)</f>
        <v/>
      </c>
      <c r="C5" s="35">
        <f>SUMIFS(Detail!$L$2:$L$868,Detail!$N$2:$N$868,$A5)</f>
        <v/>
      </c>
      <c r="D5" s="36">
        <f>$C5/SUM($C$4:$C$7)</f>
        <v/>
      </c>
    </row>
    <row r="6">
      <c r="A6" s="3" t="inlineStr">
        <is>
          <t>PARAMETRIC</t>
        </is>
      </c>
      <c r="B6" s="18">
        <f>COUNTIF(Detail!$N$2:$N$868,$A6)</f>
        <v/>
      </c>
      <c r="C6" s="35">
        <f>SUMIFS(Detail!$L$2:$L$868,Detail!$N$2:$N$868,$A6)</f>
        <v/>
      </c>
      <c r="D6" s="36">
        <f>$C6/SUM($C$4:$C$7)</f>
        <v/>
      </c>
    </row>
    <row r="7">
      <c r="A7" s="3" t="inlineStr">
        <is>
          <t>RATE_TABLE</t>
        </is>
      </c>
      <c r="B7" s="18">
        <f>COUNTIF(Detail!$N$2:$N$868,$A7)</f>
        <v/>
      </c>
      <c r="C7" s="35">
        <f>SUMIFS(Detail!$L$2:$L$868,Detail!$N$2:$N$868,$A7)</f>
        <v/>
      </c>
      <c r="D7" s="36">
        <f>$C7/SUM($C$4:$C$7)</f>
        <v/>
      </c>
    </row>
  </sheetData>
  <hyperlinks>
    <hyperlink xmlns:r="http://schemas.openxmlformats.org/officeDocument/2006/relationships" ref="G1" r:id="rId1"/>
  </hyperlinks>
  <pageMargins left="0.75" right="0.75" top="1" bottom="1" header="0.5" footer="0.5"/>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I314"/>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16" customWidth="1" min="3" max="3"/>
    <col width="40" customWidth="1" min="4" max="4"/>
    <col width="32" customWidth="1" min="5" max="5"/>
    <col width="14" customWidth="1" min="6" max="6"/>
    <col width="44" customWidth="1" min="7" max="7"/>
    <col width="10" customWidth="1" min="8" max="8"/>
  </cols>
  <sheetData>
    <row r="1">
      <c r="A1" s="15" t="inlineStr">
        <is>
          <t>Assumptions — consolidated groups</t>
        </is>
      </c>
      <c r="I1" s="4" t="inlineStr">
        <is>
          <t>Home</t>
        </is>
      </c>
    </row>
    <row r="3">
      <c r="A3" s="16" t="inlineStr">
        <is>
          <t>CategoryCode</t>
        </is>
      </c>
      <c r="B3" s="16" t="inlineStr">
        <is>
          <t>Category</t>
        </is>
      </c>
      <c r="C3" s="16" t="inlineStr">
        <is>
          <t>GroupID</t>
        </is>
      </c>
      <c r="D3" s="16" t="inlineStr">
        <is>
          <t>GroupTitle</t>
        </is>
      </c>
      <c r="E3" s="16" t="inlineStr">
        <is>
          <t>Theme</t>
        </is>
      </c>
      <c r="F3" s="16" t="inlineStr">
        <is>
          <t>PackagesCount</t>
        </is>
      </c>
      <c r="G3" s="16" t="inlineStr">
        <is>
          <t>Packages</t>
        </is>
      </c>
      <c r="H3" s="16" t="inlineStr">
        <is>
          <t>ItemsCount</t>
        </is>
      </c>
    </row>
    <row r="4">
      <c r="A4" s="3" t="inlineStr">
        <is>
          <t>ASM-ENG</t>
        </is>
      </c>
      <c r="B4" s="3" t="inlineStr">
        <is>
          <t>Engineering Effort</t>
        </is>
      </c>
      <c r="C4" s="3" t="inlineStr">
        <is>
          <t>ASM-ENG-001</t>
        </is>
      </c>
      <c r="D4" s="3" t="inlineStr">
        <is>
          <t>Design Calculations Effort</t>
        </is>
      </c>
      <c r="E4" s="3" t="inlineStr">
        <is>
          <t>Design Calculations Effort</t>
        </is>
      </c>
      <c r="F4" s="3" t="n">
        <v>8</v>
      </c>
      <c r="G4" s="3" t="inlineStr">
        <is>
          <t>PKG-05, PKG-06, PKG-08, PKG-10, PKG-11, PKG-17, PKG-20, PKG-21</t>
        </is>
      </c>
      <c r="H4" s="3" t="n">
        <v>8</v>
      </c>
    </row>
    <row r="5">
      <c r="A5" s="3" t="inlineStr">
        <is>
          <t>ASM-ENG</t>
        </is>
      </c>
      <c r="B5" s="3" t="inlineStr">
        <is>
          <t>Engineering Effort</t>
        </is>
      </c>
      <c r="C5" s="3" t="inlineStr">
        <is>
          <t>ASM-ENG-002</t>
        </is>
      </c>
      <c r="D5" s="3" t="inlineStr">
        <is>
          <t>Calculations</t>
        </is>
      </c>
      <c r="E5" s="3" t="inlineStr"/>
      <c r="F5" s="3" t="n">
        <v>1</v>
      </c>
      <c r="G5" s="3" t="inlineStr">
        <is>
          <t>PKG-13</t>
        </is>
      </c>
      <c r="H5" s="3" t="n">
        <v>1</v>
      </c>
    </row>
    <row r="6">
      <c r="A6" s="3" t="inlineStr">
        <is>
          <t>ASM-ENG</t>
        </is>
      </c>
      <c r="B6" s="3" t="inlineStr">
        <is>
          <t>Engineering Effort</t>
        </is>
      </c>
      <c r="C6" s="3" t="inlineStr">
        <is>
          <t>ASM-ENG-003</t>
        </is>
      </c>
      <c r="D6" s="3" t="inlineStr">
        <is>
          <t>Design Codes and Standards</t>
        </is>
      </c>
      <c r="E6" s="3" t="inlineStr"/>
      <c r="F6" s="3" t="n">
        <v>1</v>
      </c>
      <c r="G6" s="3" t="inlineStr">
        <is>
          <t>PKG-23</t>
        </is>
      </c>
      <c r="H6" s="3" t="n">
        <v>1</v>
      </c>
    </row>
    <row r="7">
      <c r="A7" s="3" t="inlineStr">
        <is>
          <t>ASM-ENG</t>
        </is>
      </c>
      <c r="B7" s="3" t="inlineStr">
        <is>
          <t>Engineering Effort</t>
        </is>
      </c>
      <c r="C7" s="3" t="inlineStr">
        <is>
          <t>ASM-ENG-004</t>
        </is>
      </c>
      <c r="D7" s="3" t="inlineStr">
        <is>
          <t>Drawings</t>
        </is>
      </c>
      <c r="E7" s="3" t="inlineStr"/>
      <c r="F7" s="3" t="n">
        <v>1</v>
      </c>
      <c r="G7" s="3" t="inlineStr">
        <is>
          <t>PKG-13</t>
        </is>
      </c>
      <c r="H7" s="3" t="n">
        <v>1</v>
      </c>
    </row>
    <row r="8">
      <c r="A8" s="3" t="inlineStr">
        <is>
          <t>ASM-ENG</t>
        </is>
      </c>
      <c r="B8" s="3" t="inlineStr">
        <is>
          <t>Engineering Effort</t>
        </is>
      </c>
      <c r="C8" s="3" t="inlineStr">
        <is>
          <t>ASM-ENG-005</t>
        </is>
      </c>
      <c r="D8" s="3" t="inlineStr">
        <is>
          <t>Engineering Design Effort (6 Deliverables)</t>
        </is>
      </c>
      <c r="E8" s="3" t="inlineStr"/>
      <c r="F8" s="3" t="n">
        <v>1</v>
      </c>
      <c r="G8" s="3" t="inlineStr">
        <is>
          <t>PKG-22</t>
        </is>
      </c>
      <c r="H8" s="3" t="n">
        <v>1</v>
      </c>
    </row>
    <row r="9">
      <c r="A9" s="3" t="inlineStr">
        <is>
          <t>ASM-ENG</t>
        </is>
      </c>
      <c r="B9" s="3" t="inlineStr">
        <is>
          <t>Engineering Effort</t>
        </is>
      </c>
      <c r="C9" s="3" t="inlineStr">
        <is>
          <t>ASM-ENG-006</t>
        </is>
      </c>
      <c r="D9" s="3" t="inlineStr">
        <is>
          <t>Engineering Drawing Effort</t>
        </is>
      </c>
      <c r="E9" s="3" t="inlineStr"/>
      <c r="F9" s="3" t="n">
        <v>1</v>
      </c>
      <c r="G9" s="3" t="inlineStr">
        <is>
          <t>PKG-20</t>
        </is>
      </c>
      <c r="H9" s="3" t="n">
        <v>1</v>
      </c>
    </row>
    <row r="10">
      <c r="A10" s="3" t="inlineStr">
        <is>
          <t>ASM-ENG</t>
        </is>
      </c>
      <c r="B10" s="3" t="inlineStr">
        <is>
          <t>Engineering Effort</t>
        </is>
      </c>
      <c r="C10" s="3" t="inlineStr">
        <is>
          <t>ASM-ENG-007</t>
        </is>
      </c>
      <c r="D10" s="3" t="inlineStr">
        <is>
          <t>Engineering design at approximately 11% of construction value</t>
        </is>
      </c>
      <c r="E10" s="3" t="inlineStr"/>
      <c r="F10" s="3" t="n">
        <v>1</v>
      </c>
      <c r="G10" s="3" t="inlineStr">
        <is>
          <t>PKG-21</t>
        </is>
      </c>
      <c r="H10" s="3" t="n">
        <v>1</v>
      </c>
    </row>
    <row r="11">
      <c r="A11" s="3" t="inlineStr">
        <is>
          <t>ASM-ENG</t>
        </is>
      </c>
      <c r="B11" s="3" t="inlineStr">
        <is>
          <t>Engineering Effort</t>
        </is>
      </c>
      <c r="C11" s="3" t="inlineStr">
        <is>
          <t>ASM-ENG-008</t>
        </is>
      </c>
      <c r="D11" s="3" t="inlineStr">
        <is>
          <t>Engineering effort estimated at **3,400 hours** across 5 deliverables</t>
        </is>
      </c>
      <c r="E11" s="3" t="inlineStr"/>
      <c r="F11" s="3" t="n">
        <v>1</v>
      </c>
      <c r="G11" s="3" t="inlineStr">
        <is>
          <t>PKG-16</t>
        </is>
      </c>
      <c r="H11" s="3" t="n">
        <v>1</v>
      </c>
    </row>
    <row r="12">
      <c r="A12" s="3" t="inlineStr">
        <is>
          <t>ASM-ENG</t>
        </is>
      </c>
      <c r="B12" s="3" t="inlineStr">
        <is>
          <t>Engineering Effort</t>
        </is>
      </c>
      <c r="C12" s="3" t="inlineStr">
        <is>
          <t>ASM-ENG-009</t>
        </is>
      </c>
      <c r="D12" s="3" t="inlineStr">
        <is>
          <t>Lighting poles designed for NBCC 2020 seismic and wind loads for Surrey, BC loca...</t>
        </is>
      </c>
      <c r="E12" s="3" t="inlineStr"/>
      <c r="F12" s="3" t="n">
        <v>1</v>
      </c>
      <c r="G12" s="3" t="inlineStr">
        <is>
          <t>PKG-18</t>
        </is>
      </c>
      <c r="H12" s="3" t="n">
        <v>1</v>
      </c>
    </row>
    <row r="13">
      <c r="A13" s="3" t="inlineStr">
        <is>
          <t>ASM-ENG</t>
        </is>
      </c>
      <c r="B13" s="3" t="inlineStr">
        <is>
          <t>Engineering Effort</t>
        </is>
      </c>
      <c r="C13" s="3" t="inlineStr">
        <is>
          <t>ASM-ENG-010</t>
        </is>
      </c>
      <c r="D13" s="3" t="inlineStr">
        <is>
          <t>Shop Drawings and Submittals</t>
        </is>
      </c>
      <c r="E13" s="3" t="inlineStr"/>
      <c r="F13" s="3" t="n">
        <v>1</v>
      </c>
      <c r="G13" s="3" t="inlineStr">
        <is>
          <t>PKG-22</t>
        </is>
      </c>
      <c r="H13" s="3" t="n">
        <v>1</v>
      </c>
    </row>
    <row r="14">
      <c r="A14" s="3" t="inlineStr">
        <is>
          <t>ASM-ENG</t>
        </is>
      </c>
      <c r="B14" s="3" t="inlineStr">
        <is>
          <t>Engineering Effort</t>
        </is>
      </c>
      <c r="C14" s="3" t="inlineStr">
        <is>
          <t>ASM-ENG-011</t>
        </is>
      </c>
      <c r="D14" s="3" t="inlineStr">
        <is>
          <t>Specifications</t>
        </is>
      </c>
      <c r="E14" s="3" t="inlineStr"/>
      <c r="F14" s="3" t="n">
        <v>1</v>
      </c>
      <c r="G14" s="3" t="inlineStr">
        <is>
          <t>PKG-13</t>
        </is>
      </c>
      <c r="H14" s="3" t="n">
        <v>1</v>
      </c>
    </row>
    <row r="15">
      <c r="A15" s="3" t="inlineStr">
        <is>
          <t>ASM-ENG</t>
        </is>
      </c>
      <c r="B15" s="3" t="inlineStr">
        <is>
          <t>Engineering Effort</t>
        </is>
      </c>
      <c r="C15" s="3" t="inlineStr">
        <is>
          <t>ASM-ENG-012</t>
        </is>
      </c>
      <c r="D15" s="3" t="inlineStr">
        <is>
          <t>Three HMI workstations: 2 operator stations + 1 engineering station</t>
        </is>
      </c>
      <c r="E15" s="3" t="inlineStr"/>
      <c r="F15" s="3" t="n">
        <v>1</v>
      </c>
      <c r="G15" s="3" t="inlineStr">
        <is>
          <t>PKG-19</t>
        </is>
      </c>
      <c r="H15" s="3" t="n">
        <v>1</v>
      </c>
    </row>
    <row r="16">
      <c r="A16" s="3" t="inlineStr">
        <is>
          <t>ASM-INTF</t>
        </is>
      </c>
      <c r="B16" s="3" t="inlineStr">
        <is>
          <t>Interface &amp; Coordination</t>
        </is>
      </c>
      <c r="C16" s="3" t="inlineStr">
        <is>
          <t>ASM-INTF-013</t>
        </is>
      </c>
      <c r="D16" s="3" t="inlineStr">
        <is>
          <t>Interface Dependencies</t>
        </is>
      </c>
      <c r="E16" s="3" t="inlineStr">
        <is>
          <t>Interface Dependencies</t>
        </is>
      </c>
      <c r="F16" s="3" t="n">
        <v>1</v>
      </c>
      <c r="G16" s="3" t="inlineStr">
        <is>
          <t>PKG-22</t>
        </is>
      </c>
      <c r="H16" s="3" t="n">
        <v>4</v>
      </c>
    </row>
    <row r="17">
      <c r="A17" s="3" t="inlineStr">
        <is>
          <t>ASM-INTF</t>
        </is>
      </c>
      <c r="B17" s="3" t="inlineStr">
        <is>
          <t>Interface &amp; Coordination</t>
        </is>
      </c>
      <c r="C17" s="3" t="inlineStr">
        <is>
          <t>ASM-INTF-014</t>
        </is>
      </c>
      <c r="D17" s="3" t="inlineStr">
        <is>
          <t>PKG-27 A-2701</t>
        </is>
      </c>
      <c r="E17" s="3" t="inlineStr"/>
      <c r="F17" s="3" t="n">
        <v>4</v>
      </c>
      <c r="G17" s="3" t="inlineStr">
        <is>
          <t>PKG-27, PKG-28, PKG-29, PKG-30</t>
        </is>
      </c>
      <c r="H17" s="3" t="n">
        <v>73</v>
      </c>
    </row>
    <row r="18">
      <c r="A18" s="3" t="inlineStr">
        <is>
          <t>ASM-INTF</t>
        </is>
      </c>
      <c r="B18" s="3" t="inlineStr">
        <is>
          <t>Interface &amp; Coordination</t>
        </is>
      </c>
      <c r="C18" s="3" t="inlineStr">
        <is>
          <t>ASM-INTF-015</t>
        </is>
      </c>
      <c r="D18" s="3" t="inlineStr">
        <is>
          <t>PKG-24 assumption A-001 - see source</t>
        </is>
      </c>
      <c r="E18" s="3" t="inlineStr"/>
      <c r="F18" s="3" t="n">
        <v>2</v>
      </c>
      <c r="G18" s="3" t="inlineStr">
        <is>
          <t>PKG-24, PKG-25</t>
        </is>
      </c>
      <c r="H18" s="3" t="n">
        <v>41</v>
      </c>
    </row>
    <row r="19">
      <c r="A19" s="3" t="inlineStr">
        <is>
          <t>ASM-INTF</t>
        </is>
      </c>
      <c r="B19" s="3" t="inlineStr">
        <is>
          <t>Interface &amp; Coordination</t>
        </is>
      </c>
      <c r="C19" s="3" t="inlineStr">
        <is>
          <t>ASM-INTF-016</t>
        </is>
      </c>
      <c r="D19" s="3" t="inlineStr">
        <is>
          <t>PKG-26 assumption A-2601</t>
        </is>
      </c>
      <c r="E19" s="3" t="inlineStr"/>
      <c r="F19" s="3" t="n">
        <v>1</v>
      </c>
      <c r="G19" s="3" t="inlineStr">
        <is>
          <t>PKG-26</t>
        </is>
      </c>
      <c r="H19" s="3" t="n">
        <v>25</v>
      </c>
    </row>
    <row r="20">
      <c r="A20" s="3" t="inlineStr">
        <is>
          <t>ASM-INTF</t>
        </is>
      </c>
      <c r="B20" s="3" t="inlineStr">
        <is>
          <t>Interface &amp; Coordination</t>
        </is>
      </c>
      <c r="C20" s="3" t="inlineStr">
        <is>
          <t>ASM-INTF-017</t>
        </is>
      </c>
      <c r="D20" s="3" t="inlineStr">
        <is>
          <t>40-60 HMI graphics screens for operator interface</t>
        </is>
      </c>
      <c r="E20" s="3" t="inlineStr"/>
      <c r="F20" s="3" t="n">
        <v>1</v>
      </c>
      <c r="G20" s="3" t="inlineStr">
        <is>
          <t>PKG-19</t>
        </is>
      </c>
      <c r="H20" s="3" t="n">
        <v>1</v>
      </c>
    </row>
    <row r="21">
      <c r="A21" s="3" t="inlineStr">
        <is>
          <t>ASM-INTF</t>
        </is>
      </c>
      <c r="B21" s="3" t="inlineStr">
        <is>
          <t>Interface &amp; Coordination</t>
        </is>
      </c>
      <c r="C21" s="3" t="inlineStr">
        <is>
          <t>ASM-INTF-018</t>
        </is>
      </c>
      <c r="D21" s="3" t="inlineStr">
        <is>
          <t>Control system equipment installed in MCC building per PKG-21/22</t>
        </is>
      </c>
      <c r="E21" s="3" t="inlineStr"/>
      <c r="F21" s="3" t="n">
        <v>1</v>
      </c>
      <c r="G21" s="3" t="inlineStr">
        <is>
          <t>PKG-19</t>
        </is>
      </c>
      <c r="H21" s="3" t="n">
        <v>1</v>
      </c>
    </row>
    <row r="22">
      <c r="A22" s="3" t="inlineStr">
        <is>
          <t>ASM-INTF</t>
        </is>
      </c>
      <c r="B22" s="3" t="inlineStr">
        <is>
          <t>Interface &amp; Coordination</t>
        </is>
      </c>
      <c r="C22" s="3" t="inlineStr">
        <is>
          <t>ASM-INTF-019</t>
        </is>
      </c>
      <c r="D22" s="3" t="inlineStr">
        <is>
          <t>Coordination Meeting Records — DEL-34.01</t>
        </is>
      </c>
      <c r="E22" s="3" t="inlineStr"/>
      <c r="F22" s="3" t="n">
        <v>1</v>
      </c>
      <c r="G22" s="3" t="inlineStr">
        <is>
          <t>PKG-34</t>
        </is>
      </c>
      <c r="H22" s="3" t="n">
        <v>1</v>
      </c>
    </row>
    <row r="23">
      <c r="A23" s="3" t="inlineStr">
        <is>
          <t>ASM-INTF</t>
        </is>
      </c>
      <c r="B23" s="3" t="inlineStr">
        <is>
          <t>Interface &amp; Coordination</t>
        </is>
      </c>
      <c r="C23" s="3" t="inlineStr">
        <is>
          <t>ASM-INTF-020</t>
        </is>
      </c>
      <c r="D23" s="3" t="inlineStr">
        <is>
          <t>Interface Agreements — DEL-34.02</t>
        </is>
      </c>
      <c r="E23" s="3" t="inlineStr"/>
      <c r="F23" s="3" t="n">
        <v>1</v>
      </c>
      <c r="G23" s="3" t="inlineStr">
        <is>
          <t>PKG-34</t>
        </is>
      </c>
      <c r="H23" s="3" t="n">
        <v>1</v>
      </c>
    </row>
    <row r="24">
      <c r="A24" s="3" t="inlineStr">
        <is>
          <t>ASM-INTF</t>
        </is>
      </c>
      <c r="B24" s="3" t="inlineStr">
        <is>
          <t>Interface &amp; Coordination</t>
        </is>
      </c>
      <c r="C24" s="3" t="inlineStr">
        <is>
          <t>ASM-INTF-021</t>
        </is>
      </c>
      <c r="D24" s="3" t="inlineStr">
        <is>
          <t>Marine Coordination Records — DEL-34.03</t>
        </is>
      </c>
      <c r="E24" s="3" t="inlineStr"/>
      <c r="F24" s="3" t="n">
        <v>1</v>
      </c>
      <c r="G24" s="3" t="inlineStr">
        <is>
          <t>PKG-34</t>
        </is>
      </c>
      <c r="H24" s="3" t="n">
        <v>1</v>
      </c>
    </row>
    <row r="25">
      <c r="A25" s="3" t="inlineStr">
        <is>
          <t>ASM-INTF</t>
        </is>
      </c>
      <c r="B25" s="3" t="inlineStr">
        <is>
          <t>Interface &amp; Coordination</t>
        </is>
      </c>
      <c r="C25" s="3" t="inlineStr">
        <is>
          <t>ASM-INTF-022</t>
        </is>
      </c>
      <c r="D25" s="3" t="inlineStr">
        <is>
          <t>Marine loading system (PKG-11) requires **~25 valves** (loading arm isolation, f...</t>
        </is>
      </c>
      <c r="E25" s="3" t="inlineStr"/>
      <c r="F25" s="3" t="n">
        <v>1</v>
      </c>
      <c r="G25" s="3" t="inlineStr">
        <is>
          <t>PKG-16</t>
        </is>
      </c>
      <c r="H25" s="3" t="n">
        <v>1</v>
      </c>
    </row>
    <row r="26">
      <c r="A26" s="3" t="inlineStr">
        <is>
          <t>ASM-INTF</t>
        </is>
      </c>
      <c r="B26" s="3" t="inlineStr">
        <is>
          <t>Interface &amp; Coordination</t>
        </is>
      </c>
      <c r="C26" s="3" t="inlineStr">
        <is>
          <t>ASM-INTF-023</t>
        </is>
      </c>
      <c r="D26" s="3" t="inlineStr">
        <is>
          <t>Product transfer and metering (PKG-12) requires **~30 valves**</t>
        </is>
      </c>
      <c r="E26" s="3" t="inlineStr"/>
      <c r="F26" s="3" t="n">
        <v>1</v>
      </c>
      <c r="G26" s="3" t="inlineStr">
        <is>
          <t>PKG-16</t>
        </is>
      </c>
      <c r="H26" s="3" t="n">
        <v>1</v>
      </c>
    </row>
    <row r="27">
      <c r="A27" s="3" t="inlineStr">
        <is>
          <t>ASM-INTF</t>
        </is>
      </c>
      <c r="B27" s="3" t="inlineStr">
        <is>
          <t>Interface &amp; Coordination</t>
        </is>
      </c>
      <c r="C27" s="3" t="inlineStr">
        <is>
          <t>ASM-INTF-024</t>
        </is>
      </c>
      <c r="D27" s="3" t="inlineStr">
        <is>
          <t>Site Access and Temporary Works (PKG-06 Allocation)</t>
        </is>
      </c>
      <c r="E27" s="3" t="inlineStr"/>
      <c r="F27" s="3" t="n">
        <v>1</v>
      </c>
      <c r="G27" s="3" t="inlineStr">
        <is>
          <t>PKG-06</t>
        </is>
      </c>
      <c r="H27" s="3" t="n">
        <v>1</v>
      </c>
    </row>
    <row r="28">
      <c r="A28" s="3" t="inlineStr">
        <is>
          <t>ASM-INTF</t>
        </is>
      </c>
      <c r="B28" s="3" t="inlineStr">
        <is>
          <t>Interface &amp; Coordination</t>
        </is>
      </c>
      <c r="C28" s="3" t="inlineStr">
        <is>
          <t>ASM-INTF-025</t>
        </is>
      </c>
      <c r="D28" s="3" t="inlineStr">
        <is>
          <t>Terminal Operations Coordination</t>
        </is>
      </c>
      <c r="E28" s="3" t="inlineStr"/>
      <c r="F28" s="3" t="n">
        <v>1</v>
      </c>
      <c r="G28" s="3" t="inlineStr">
        <is>
          <t>PKG-23</t>
        </is>
      </c>
      <c r="H28" s="3" t="n">
        <v>1</v>
      </c>
    </row>
    <row r="29">
      <c r="A29" s="3" t="inlineStr">
        <is>
          <t>ASM-LABOR</t>
        </is>
      </c>
      <c r="B29" s="3" t="inlineStr">
        <is>
          <t>Labor &amp; Installation</t>
        </is>
      </c>
      <c r="C29" s="3" t="inlineStr">
        <is>
          <t>ASM-LABOR-026</t>
        </is>
      </c>
      <c r="D29" s="3" t="inlineStr">
        <is>
          <t>Installation Labor Rates</t>
        </is>
      </c>
      <c r="E29" s="3" t="inlineStr">
        <is>
          <t>Installation Labor Rates</t>
        </is>
      </c>
      <c r="F29" s="3" t="n">
        <v>5</v>
      </c>
      <c r="G29" s="3" t="inlineStr">
        <is>
          <t>PKG-11, PKG-14, PKG-15, PKG-16, PKG-21</t>
        </is>
      </c>
      <c r="H29" s="3" t="n">
        <v>11</v>
      </c>
    </row>
    <row r="30">
      <c r="A30" s="3" t="inlineStr">
        <is>
          <t>ASM-LABOR</t>
        </is>
      </c>
      <c r="B30" s="3" t="inlineStr">
        <is>
          <t>Labor &amp; Installation</t>
        </is>
      </c>
      <c r="C30" s="3" t="inlineStr">
        <is>
          <t>ASM-LABOR-027</t>
        </is>
      </c>
      <c r="D30" s="3" t="inlineStr">
        <is>
          <t>Actuator hookup (pneumatic/electrical) adds **2-4 hours per actuated valve**</t>
        </is>
      </c>
      <c r="E30" s="3" t="inlineStr"/>
      <c r="F30" s="3" t="n">
        <v>1</v>
      </c>
      <c r="G30" s="3" t="inlineStr">
        <is>
          <t>PKG-16</t>
        </is>
      </c>
      <c r="H30" s="3" t="n">
        <v>1</v>
      </c>
    </row>
    <row r="31">
      <c r="A31" s="3" t="inlineStr">
        <is>
          <t>ASM-LABOR</t>
        </is>
      </c>
      <c r="B31" s="3" t="inlineStr">
        <is>
          <t>Labor &amp; Installation</t>
        </is>
      </c>
      <c r="C31" s="3" t="inlineStr">
        <is>
          <t>ASM-LABOR-028</t>
        </is>
      </c>
      <c r="D31" s="3" t="inlineStr">
        <is>
          <t>Cable Tray and Conduit Installation Scope</t>
        </is>
      </c>
      <c r="E31" s="3" t="inlineStr"/>
      <c r="F31" s="3" t="n">
        <v>1</v>
      </c>
      <c r="G31" s="3" t="inlineStr">
        <is>
          <t>PKG-17</t>
        </is>
      </c>
      <c r="H31" s="3" t="n">
        <v>1</v>
      </c>
    </row>
    <row r="32">
      <c r="A32" s="3" t="inlineStr">
        <is>
          <t>ASM-LABOR</t>
        </is>
      </c>
      <c r="B32" s="3" t="inlineStr">
        <is>
          <t>Labor &amp; Installation</t>
        </is>
      </c>
      <c r="C32" s="3" t="inlineStr">
        <is>
          <t>ASM-LABOR-029</t>
        </is>
      </c>
      <c r="D32" s="3" t="inlineStr">
        <is>
          <t>Construction Labor Productivity</t>
        </is>
      </c>
      <c r="E32" s="3" t="inlineStr"/>
      <c r="F32" s="3" t="n">
        <v>1</v>
      </c>
      <c r="G32" s="3" t="inlineStr">
        <is>
          <t>PKG-23</t>
        </is>
      </c>
      <c r="H32" s="3" t="n">
        <v>1</v>
      </c>
    </row>
    <row r="33">
      <c r="A33" s="3" t="inlineStr">
        <is>
          <t>ASM-LABOR</t>
        </is>
      </c>
      <c r="B33" s="3" t="inlineStr">
        <is>
          <t>Labor &amp; Installation</t>
        </is>
      </c>
      <c r="C33" s="3" t="inlineStr">
        <is>
          <t>ASM-LABOR-030</t>
        </is>
      </c>
      <c r="D33" s="3" t="inlineStr">
        <is>
          <t>Construction Labor Rates (BC Lower Mainland)</t>
        </is>
      </c>
      <c r="E33" s="3" t="inlineStr"/>
      <c r="F33" s="3" t="n">
        <v>1</v>
      </c>
      <c r="G33" s="3" t="inlineStr">
        <is>
          <t>PKG-22</t>
        </is>
      </c>
      <c r="H33" s="3" t="n">
        <v>1</v>
      </c>
    </row>
    <row r="34">
      <c r="A34" s="3" t="inlineStr">
        <is>
          <t>ASM-LABOR</t>
        </is>
      </c>
      <c r="B34" s="3" t="inlineStr">
        <is>
          <t>Labor &amp; Installation</t>
        </is>
      </c>
      <c r="C34" s="3" t="inlineStr">
        <is>
          <t>ASM-LABOR-031</t>
        </is>
      </c>
      <c r="D34" s="3" t="inlineStr">
        <is>
          <t>Control valve calibration and loop check (30 valves) estimated at **4 hours per ...</t>
        </is>
      </c>
      <c r="E34" s="3" t="inlineStr"/>
      <c r="F34" s="3" t="n">
        <v>1</v>
      </c>
      <c r="G34" s="3" t="inlineStr">
        <is>
          <t>PKG-16</t>
        </is>
      </c>
      <c r="H34" s="3" t="n">
        <v>1</v>
      </c>
    </row>
    <row r="35">
      <c r="A35" s="3" t="inlineStr">
        <is>
          <t>ASM-LABOR</t>
        </is>
      </c>
      <c r="B35" s="3" t="inlineStr">
        <is>
          <t>Labor &amp; Installation</t>
        </is>
      </c>
      <c r="C35" s="3" t="inlineStr">
        <is>
          <t>ASM-LABOR-032</t>
        </is>
      </c>
      <c r="D35" s="3" t="inlineStr">
        <is>
          <t>Crane and Equipment for Steel Erection</t>
        </is>
      </c>
      <c r="E35" s="3" t="inlineStr"/>
      <c r="F35" s="3" t="n">
        <v>1</v>
      </c>
      <c r="G35" s="3" t="inlineStr">
        <is>
          <t>PKG-06</t>
        </is>
      </c>
      <c r="H35" s="3" t="n">
        <v>1</v>
      </c>
    </row>
    <row r="36">
      <c r="A36" s="3" t="inlineStr">
        <is>
          <t>ASM-LABOR</t>
        </is>
      </c>
      <c r="B36" s="3" t="inlineStr">
        <is>
          <t>Labor &amp; Installation</t>
        </is>
      </c>
      <c r="C36" s="3" t="inlineStr">
        <is>
          <t>ASM-LABOR-033</t>
        </is>
      </c>
      <c r="D36" s="3" t="inlineStr">
        <is>
          <t>Distribution Panel Installation Scope</t>
        </is>
      </c>
      <c r="E36" s="3" t="inlineStr"/>
      <c r="F36" s="3" t="n">
        <v>1</v>
      </c>
      <c r="G36" s="3" t="inlineStr">
        <is>
          <t>PKG-17</t>
        </is>
      </c>
      <c r="H36" s="3" t="n">
        <v>1</v>
      </c>
    </row>
    <row r="37">
      <c r="A37" s="3" t="inlineStr">
        <is>
          <t>ASM-LABOR</t>
        </is>
      </c>
      <c r="B37" s="3" t="inlineStr">
        <is>
          <t>Labor &amp; Installation</t>
        </is>
      </c>
      <c r="C37" s="3" t="inlineStr">
        <is>
          <t>ASM-LABOR-034</t>
        </is>
      </c>
      <c r="D37" s="3" t="inlineStr">
        <is>
          <t>Engineering Labor Hours</t>
        </is>
      </c>
      <c r="E37" s="3" t="inlineStr"/>
      <c r="F37" s="3" t="n">
        <v>1</v>
      </c>
      <c r="G37" s="3" t="inlineStr">
        <is>
          <t>PKG-23</t>
        </is>
      </c>
      <c r="H37" s="3" t="n">
        <v>1</v>
      </c>
    </row>
    <row r="38">
      <c r="A38" s="3" t="inlineStr">
        <is>
          <t>ASM-LABOR</t>
        </is>
      </c>
      <c r="B38" s="3" t="inlineStr">
        <is>
          <t>Labor &amp; Installation</t>
        </is>
      </c>
      <c r="C38" s="3" t="inlineStr">
        <is>
          <t>ASM-LABOR-035</t>
        </is>
      </c>
      <c r="D38" s="3" t="inlineStr">
        <is>
          <t>Fire Water Loop Installation Productivity</t>
        </is>
      </c>
      <c r="E38" s="3" t="inlineStr"/>
      <c r="F38" s="3" t="n">
        <v>1</v>
      </c>
      <c r="G38" s="3" t="inlineStr">
        <is>
          <t>PKG-23</t>
        </is>
      </c>
      <c r="H38" s="3" t="n">
        <v>1</v>
      </c>
    </row>
    <row r="39">
      <c r="A39" s="3" t="inlineStr">
        <is>
          <t>ASM-LABOR</t>
        </is>
      </c>
      <c r="B39" s="3" t="inlineStr">
        <is>
          <t>Labor &amp; Installation</t>
        </is>
      </c>
      <c r="C39" s="3" t="inlineStr">
        <is>
          <t>ASM-LABOR-036</t>
        </is>
      </c>
      <c r="D39" s="3" t="inlineStr">
        <is>
          <t>Grating Supply and Installation</t>
        </is>
      </c>
      <c r="E39" s="3" t="inlineStr"/>
      <c r="F39" s="3" t="n">
        <v>1</v>
      </c>
      <c r="G39" s="3" t="inlineStr">
        <is>
          <t>PKG-06</t>
        </is>
      </c>
      <c r="H39" s="3" t="n">
        <v>1</v>
      </c>
    </row>
    <row r="40">
      <c r="A40" s="3" t="inlineStr">
        <is>
          <t>ASM-LABOR</t>
        </is>
      </c>
      <c r="B40" s="3" t="inlineStr">
        <is>
          <t>Labor &amp; Installation</t>
        </is>
      </c>
      <c r="C40" s="3" t="inlineStr">
        <is>
          <t>ASM-LABOR-037</t>
        </is>
      </c>
      <c r="D40" s="3" t="inlineStr">
        <is>
          <t>Grounding System Installation Scope</t>
        </is>
      </c>
      <c r="E40" s="3" t="inlineStr"/>
      <c r="F40" s="3" t="n">
        <v>1</v>
      </c>
      <c r="G40" s="3" t="inlineStr">
        <is>
          <t>PKG-17</t>
        </is>
      </c>
      <c r="H40" s="3" t="n">
        <v>1</v>
      </c>
    </row>
    <row r="41">
      <c r="A41" s="3" t="inlineStr">
        <is>
          <t>ASM-LABOR</t>
        </is>
      </c>
      <c r="B41" s="3" t="inlineStr">
        <is>
          <t>Labor &amp; Installation</t>
        </is>
      </c>
      <c r="C41" s="3" t="inlineStr">
        <is>
          <t>ASM-LABOR-038</t>
        </is>
      </c>
      <c r="D41" s="3" t="inlineStr">
        <is>
          <t>Handrail Supply and Installation</t>
        </is>
      </c>
      <c r="E41" s="3" t="inlineStr"/>
      <c r="F41" s="3" t="n">
        <v>1</v>
      </c>
      <c r="G41" s="3" t="inlineStr">
        <is>
          <t>PKG-06</t>
        </is>
      </c>
      <c r="H41" s="3" t="n">
        <v>1</v>
      </c>
    </row>
    <row r="42">
      <c r="A42" s="3" t="inlineStr">
        <is>
          <t>ASM-LABOR</t>
        </is>
      </c>
      <c r="B42" s="3" t="inlineStr">
        <is>
          <t>Labor &amp; Installation</t>
        </is>
      </c>
      <c r="C42" s="3" t="inlineStr">
        <is>
          <t>ASM-LABOR-039</t>
        </is>
      </c>
      <c r="D42" s="3" t="inlineStr">
        <is>
          <t>Instrument Installation Rate</t>
        </is>
      </c>
      <c r="E42" s="3" t="inlineStr"/>
      <c r="F42" s="3" t="n">
        <v>1</v>
      </c>
      <c r="G42" s="3" t="inlineStr">
        <is>
          <t>PKG-20</t>
        </is>
      </c>
      <c r="H42" s="3" t="n">
        <v>1</v>
      </c>
    </row>
    <row r="43">
      <c r="A43" s="3" t="inlineStr">
        <is>
          <t>ASM-LABOR</t>
        </is>
      </c>
      <c r="B43" s="3" t="inlineStr">
        <is>
          <t>Labor &amp; Installation</t>
        </is>
      </c>
      <c r="C43" s="3" t="inlineStr">
        <is>
          <t>ASM-LABOR-040</t>
        </is>
      </c>
      <c r="D43" s="3" t="inlineStr">
        <is>
          <t>LV Switchgear Installation Scope</t>
        </is>
      </c>
      <c r="E43" s="3" t="inlineStr"/>
      <c r="F43" s="3" t="n">
        <v>1</v>
      </c>
      <c r="G43" s="3" t="inlineStr">
        <is>
          <t>PKG-17</t>
        </is>
      </c>
      <c r="H43" s="3" t="n">
        <v>1</v>
      </c>
    </row>
    <row r="44">
      <c r="A44" s="3" t="inlineStr">
        <is>
          <t>ASM-LABOR</t>
        </is>
      </c>
      <c r="B44" s="3" t="inlineStr">
        <is>
          <t>Labor &amp; Installation</t>
        </is>
      </c>
      <c r="C44" s="3" t="inlineStr">
        <is>
          <t>ASM-LABOR-041</t>
        </is>
      </c>
      <c r="D44" s="3" t="inlineStr">
        <is>
          <t>MCC Installation Scope</t>
        </is>
      </c>
      <c r="E44" s="3" t="inlineStr"/>
      <c r="F44" s="3" t="n">
        <v>1</v>
      </c>
      <c r="G44" s="3" t="inlineStr">
        <is>
          <t>PKG-17</t>
        </is>
      </c>
      <c r="H44" s="3" t="n">
        <v>1</v>
      </c>
    </row>
    <row r="45">
      <c r="A45" s="3" t="inlineStr">
        <is>
          <t>ASM-LABOR</t>
        </is>
      </c>
      <c r="B45" s="3" t="inlineStr">
        <is>
          <t>Labor &amp; Installation</t>
        </is>
      </c>
      <c r="C45" s="3" t="inlineStr">
        <is>
          <t>ASM-LABOR-042</t>
        </is>
      </c>
      <c r="D45" s="3" t="inlineStr">
        <is>
          <t>MEP Installation Productivity</t>
        </is>
      </c>
      <c r="E45" s="3" t="inlineStr"/>
      <c r="F45" s="3" t="n">
        <v>1</v>
      </c>
      <c r="G45" s="3" t="inlineStr">
        <is>
          <t>PKG-22</t>
        </is>
      </c>
      <c r="H45" s="3" t="n">
        <v>1</v>
      </c>
    </row>
    <row r="46">
      <c r="A46" s="3" t="inlineStr">
        <is>
          <t>ASM-LABOR</t>
        </is>
      </c>
      <c r="B46" s="3" t="inlineStr">
        <is>
          <t>Labor &amp; Installation</t>
        </is>
      </c>
      <c r="C46" s="3" t="inlineStr">
        <is>
          <t>ASM-LABOR-043</t>
        </is>
      </c>
      <c r="D46" s="3" t="inlineStr">
        <is>
          <t>MV Switchgear Installation Scope</t>
        </is>
      </c>
      <c r="E46" s="3" t="inlineStr"/>
      <c r="F46" s="3" t="n">
        <v>1</v>
      </c>
      <c r="G46" s="3" t="inlineStr">
        <is>
          <t>PKG-17</t>
        </is>
      </c>
      <c r="H46" s="3" t="n">
        <v>1</v>
      </c>
    </row>
    <row r="47">
      <c r="A47" s="3" t="inlineStr">
        <is>
          <t>ASM-LABOR</t>
        </is>
      </c>
      <c r="B47" s="3" t="inlineStr">
        <is>
          <t>Labor &amp; Installation</t>
        </is>
      </c>
      <c r="C47" s="3" t="inlineStr">
        <is>
          <t>ASM-LABOR-044</t>
        </is>
      </c>
      <c r="D47" s="3" t="inlineStr">
        <is>
          <t>Marine loading transient study requires ~180 hours specialist work</t>
        </is>
      </c>
      <c r="E47" s="3" t="inlineStr"/>
      <c r="F47" s="3" t="n">
        <v>1</v>
      </c>
      <c r="G47" s="3" t="inlineStr">
        <is>
          <t>PKG-14</t>
        </is>
      </c>
      <c r="H47" s="3" t="n">
        <v>1</v>
      </c>
    </row>
    <row r="48">
      <c r="A48" s="3" t="inlineStr">
        <is>
          <t>ASM-LABOR</t>
        </is>
      </c>
      <c r="B48" s="3" t="inlineStr">
        <is>
          <t>Labor &amp; Installation</t>
        </is>
      </c>
      <c r="C48" s="3" t="inlineStr">
        <is>
          <t>ASM-LABOR-045</t>
        </is>
      </c>
      <c r="D48" s="3" t="inlineStr">
        <is>
          <t>Normal industrial site access; no special access constraints for control system ...</t>
        </is>
      </c>
      <c r="E48" s="3" t="inlineStr"/>
      <c r="F48" s="3" t="n">
        <v>1</v>
      </c>
      <c r="G48" s="3" t="inlineStr">
        <is>
          <t>PKG-19</t>
        </is>
      </c>
      <c r="H48" s="3" t="n">
        <v>1</v>
      </c>
    </row>
    <row r="49">
      <c r="A49" s="3" t="inlineStr">
        <is>
          <t>ASM-LABOR</t>
        </is>
      </c>
      <c r="B49" s="3" t="inlineStr">
        <is>
          <t>Labor &amp; Installation</t>
        </is>
      </c>
      <c r="C49" s="3" t="inlineStr">
        <is>
          <t>ASM-LABOR-046</t>
        </is>
      </c>
      <c r="D49" s="3" t="inlineStr">
        <is>
          <t>Railcar unloading transient study requires ~200+ hours specialist work</t>
        </is>
      </c>
      <c r="E49" s="3" t="inlineStr"/>
      <c r="F49" s="3" t="n">
        <v>1</v>
      </c>
      <c r="G49" s="3" t="inlineStr">
        <is>
          <t>PKG-14</t>
        </is>
      </c>
      <c r="H49" s="3" t="n">
        <v>1</v>
      </c>
    </row>
    <row r="50">
      <c r="A50" s="3" t="inlineStr">
        <is>
          <t>ASM-LABOR</t>
        </is>
      </c>
      <c r="B50" s="3" t="inlineStr">
        <is>
          <t>Labor &amp; Installation</t>
        </is>
      </c>
      <c r="C50" s="3" t="inlineStr">
        <is>
          <t>ASM-LABOR-047</t>
        </is>
      </c>
      <c r="D50" s="3" t="inlineStr">
        <is>
          <t>Relief valve field verification (20 valves) estimated at **2 hours per valve**</t>
        </is>
      </c>
      <c r="E50" s="3" t="inlineStr"/>
      <c r="F50" s="3" t="n">
        <v>1</v>
      </c>
      <c r="G50" s="3" t="inlineStr">
        <is>
          <t>PKG-16</t>
        </is>
      </c>
      <c r="H50" s="3" t="n">
        <v>1</v>
      </c>
    </row>
    <row r="51">
      <c r="A51" s="3" t="inlineStr">
        <is>
          <t>ASM-LABOR</t>
        </is>
      </c>
      <c r="B51" s="3" t="inlineStr">
        <is>
          <t>Labor &amp; Installation</t>
        </is>
      </c>
      <c r="C51" s="3" t="inlineStr">
        <is>
          <t>ASM-LABOR-048</t>
        </is>
      </c>
      <c r="D51" s="3" t="inlineStr">
        <is>
          <t>Structural Steel Erection Labor</t>
        </is>
      </c>
      <c r="E51" s="3" t="inlineStr"/>
      <c r="F51" s="3" t="n">
        <v>1</v>
      </c>
      <c r="G51" s="3" t="inlineStr">
        <is>
          <t>PKG-06</t>
        </is>
      </c>
      <c r="H51" s="3" t="n">
        <v>1</v>
      </c>
    </row>
    <row r="52">
      <c r="A52" s="3" t="inlineStr">
        <is>
          <t>ASM-LABOR</t>
        </is>
      </c>
      <c r="B52" s="3" t="inlineStr">
        <is>
          <t>Labor &amp; Installation</t>
        </is>
      </c>
      <c r="C52" s="3" t="inlineStr">
        <is>
          <t>ASM-LABOR-049</t>
        </is>
      </c>
      <c r="D52" s="3" t="inlineStr">
        <is>
          <t>Transformer Installation Scope</t>
        </is>
      </c>
      <c r="E52" s="3" t="inlineStr"/>
      <c r="F52" s="3" t="n">
        <v>1</v>
      </c>
      <c r="G52" s="3" t="inlineStr">
        <is>
          <t>PKG-17</t>
        </is>
      </c>
      <c r="H52" s="3" t="n">
        <v>1</v>
      </c>
    </row>
    <row r="53">
      <c r="A53" s="3" t="inlineStr">
        <is>
          <t>ASM-LABOR</t>
        </is>
      </c>
      <c r="B53" s="3" t="inlineStr">
        <is>
          <t>Labor &amp; Installation</t>
        </is>
      </c>
      <c r="C53" s="3" t="inlineStr">
        <is>
          <t>ASM-LABOR-050</t>
        </is>
      </c>
      <c r="D53" s="3" t="inlineStr">
        <is>
          <t>UPS Installation Scope</t>
        </is>
      </c>
      <c r="E53" s="3" t="inlineStr"/>
      <c r="F53" s="3" t="n">
        <v>1</v>
      </c>
      <c r="G53" s="3" t="inlineStr">
        <is>
          <t>PKG-17</t>
        </is>
      </c>
      <c r="H53" s="3" t="n">
        <v>1</v>
      </c>
    </row>
    <row r="54">
      <c r="A54" s="3" t="inlineStr">
        <is>
          <t>ASM-LABOR</t>
        </is>
      </c>
      <c r="B54" s="3" t="inlineStr">
        <is>
          <t>Labor &amp; Installation</t>
        </is>
      </c>
      <c r="C54" s="3" t="inlineStr">
        <is>
          <t>ASM-LABOR-051</t>
        </is>
      </c>
      <c r="D54" s="3" t="inlineStr">
        <is>
          <t>Valve installation assumes **standard site access** (no major rigging constraint...</t>
        </is>
      </c>
      <c r="E54" s="3" t="inlineStr"/>
      <c r="F54" s="3" t="n">
        <v>1</v>
      </c>
      <c r="G54" s="3" t="inlineStr">
        <is>
          <t>PKG-16</t>
        </is>
      </c>
      <c r="H54" s="3" t="n">
        <v>1</v>
      </c>
    </row>
    <row r="55">
      <c r="A55" s="3" t="inlineStr">
        <is>
          <t>ASM-LABOR</t>
        </is>
      </c>
      <c r="B55" s="3" t="inlineStr">
        <is>
          <t>Labor &amp; Installation</t>
        </is>
      </c>
      <c r="C55" s="3" t="inlineStr">
        <is>
          <t>ASM-LABOR-052</t>
        </is>
      </c>
      <c r="D55" s="3" t="inlineStr">
        <is>
          <t>Valve installation duration estimated at **8-12 weeks** (field installation phas...</t>
        </is>
      </c>
      <c r="E55" s="3" t="inlineStr"/>
      <c r="F55" s="3" t="n">
        <v>1</v>
      </c>
      <c r="G55" s="3" t="inlineStr">
        <is>
          <t>PKG-16</t>
        </is>
      </c>
      <c r="H55" s="3" t="n">
        <v>1</v>
      </c>
    </row>
    <row r="56">
      <c r="A56" s="3" t="inlineStr">
        <is>
          <t>ASM-LABOR</t>
        </is>
      </c>
      <c r="B56" s="3" t="inlineStr">
        <is>
          <t>Labor &amp; Installation</t>
        </is>
      </c>
      <c r="C56" s="3" t="inlineStr">
        <is>
          <t>ASM-LABOR-053</t>
        </is>
      </c>
      <c r="D56" s="3" t="inlineStr">
        <is>
          <t>Valve installation includes rigging, bolting, gasket installation, alignment, hy...</t>
        </is>
      </c>
      <c r="E56" s="3" t="inlineStr"/>
      <c r="F56" s="3" t="n">
        <v>1</v>
      </c>
      <c r="G56" s="3" t="inlineStr">
        <is>
          <t>PKG-16</t>
        </is>
      </c>
      <c r="H56" s="3" t="n">
        <v>1</v>
      </c>
    </row>
    <row r="57">
      <c r="A57" s="3" t="inlineStr">
        <is>
          <t>ASM-PRICE</t>
        </is>
      </c>
      <c r="B57" s="3" t="inlineStr">
        <is>
          <t>Pricing Allowances</t>
        </is>
      </c>
      <c r="C57" s="3" t="inlineStr">
        <is>
          <t>ASM-PRICE-054</t>
        </is>
      </c>
      <c r="D57" s="3" t="inlineStr">
        <is>
          <t>Material Quantities</t>
        </is>
      </c>
      <c r="E57" s="3" t="inlineStr">
        <is>
          <t>Material Quantities</t>
        </is>
      </c>
      <c r="F57" s="3" t="n">
        <v>8</v>
      </c>
      <c r="G57" s="3" t="inlineStr">
        <is>
          <t>PKG-05, PKG-10, PKG-11, PKG-14, PKG-15, PKG-16, PKG-18, PKG-21</t>
        </is>
      </c>
      <c r="H57" s="3" t="n">
        <v>40</v>
      </c>
    </row>
    <row r="58">
      <c r="A58" s="3" t="inlineStr">
        <is>
          <t>ASM-PRICE</t>
        </is>
      </c>
      <c r="B58" s="3" t="inlineStr">
        <is>
          <t>Pricing Allowances</t>
        </is>
      </c>
      <c r="C58" s="3" t="inlineStr">
        <is>
          <t>ASM-PRICE-055</t>
        </is>
      </c>
      <c r="D58" s="3" t="inlineStr">
        <is>
          <t>Equipment Unit Pricing</t>
        </is>
      </c>
      <c r="E58" s="3" t="inlineStr">
        <is>
          <t>Equipment Unit Pricing</t>
        </is>
      </c>
      <c r="F58" s="3" t="n">
        <v>5</v>
      </c>
      <c r="G58" s="3" t="inlineStr">
        <is>
          <t>PKG-10, PKG-11, PKG-14, PKG-16, PKG-18</t>
        </is>
      </c>
      <c r="H58" s="3" t="n">
        <v>36</v>
      </c>
    </row>
    <row r="59">
      <c r="A59" s="3" t="inlineStr">
        <is>
          <t>ASM-PRICE</t>
        </is>
      </c>
      <c r="B59" s="3" t="inlineStr">
        <is>
          <t>Pricing Allowances</t>
        </is>
      </c>
      <c r="C59" s="3" t="inlineStr">
        <is>
          <t>ASM-PRICE-056</t>
        </is>
      </c>
      <c r="D59" s="3" t="inlineStr">
        <is>
          <t>Technical Specification Writing</t>
        </is>
      </c>
      <c r="E59" s="3" t="inlineStr">
        <is>
          <t>Technical Specification Writing</t>
        </is>
      </c>
      <c r="F59" s="3" t="n">
        <v>14</v>
      </c>
      <c r="G59" s="3" t="inlineStr">
        <is>
          <t>PKG-00, PKG-01, PKG-05, PKG-06, PKG-08, PKG-10, PKG-11, PKG-14, PKG-16, PKG-17, PKG-19, PKG-20, PKG-21, PKG-32</t>
        </is>
      </c>
      <c r="H59" s="3" t="n">
        <v>16</v>
      </c>
    </row>
    <row r="60">
      <c r="A60" s="3" t="inlineStr">
        <is>
          <t>ASM-PRICE</t>
        </is>
      </c>
      <c r="B60" s="3" t="inlineStr">
        <is>
          <t>Pricing Allowances</t>
        </is>
      </c>
      <c r="C60" s="3" t="inlineStr">
        <is>
          <t>ASM-PRICE-057</t>
        </is>
      </c>
      <c r="D60" s="3" t="inlineStr">
        <is>
          <t>Engineering Drawing Production</t>
        </is>
      </c>
      <c r="E60" s="3" t="inlineStr">
        <is>
          <t>Engineering Drawing Production</t>
        </is>
      </c>
      <c r="F60" s="3" t="n">
        <v>11</v>
      </c>
      <c r="G60" s="3" t="inlineStr">
        <is>
          <t>PKG-00, PKG-01, PKG-05, PKG-06, PKG-08, PKG-10, PKG-11, PKG-14, PKG-17, PKG-19, PKG-21</t>
        </is>
      </c>
      <c r="H60" s="3" t="n">
        <v>12</v>
      </c>
    </row>
    <row r="61">
      <c r="A61" s="3" t="inlineStr">
        <is>
          <t>ASM-PRICE</t>
        </is>
      </c>
      <c r="B61" s="3" t="inlineStr">
        <is>
          <t>Pricing Allowances</t>
        </is>
      </c>
      <c r="C61" s="3" t="inlineStr">
        <is>
          <t>ASM-PRICE-058</t>
        </is>
      </c>
      <c r="D61" s="3" t="inlineStr">
        <is>
          <t>Installation &amp; Test Records</t>
        </is>
      </c>
      <c r="E61" s="3" t="inlineStr">
        <is>
          <t>Installation &amp; Test Records</t>
        </is>
      </c>
      <c r="F61" s="3" t="n">
        <v>9</v>
      </c>
      <c r="G61" s="3" t="inlineStr">
        <is>
          <t>PKG-05, PKG-06, PKG-08, PKG-10, PKG-11, PKG-13, PKG-14, PKG-17, PKG-20</t>
        </is>
      </c>
      <c r="H61" s="3" t="n">
        <v>9</v>
      </c>
    </row>
    <row r="62">
      <c r="A62" s="3" t="inlineStr">
        <is>
          <t>ASM-PRICE</t>
        </is>
      </c>
      <c r="B62" s="3" t="inlineStr">
        <is>
          <t>Pricing Allowances</t>
        </is>
      </c>
      <c r="C62" s="3" t="inlineStr">
        <is>
          <t>ASM-PRICE-059</t>
        </is>
      </c>
      <c r="D62" s="3" t="inlineStr">
        <is>
          <t>Data Sheet Package</t>
        </is>
      </c>
      <c r="E62" s="3" t="inlineStr">
        <is>
          <t>Data Sheet Package</t>
        </is>
      </c>
      <c r="F62" s="3" t="n">
        <v>6</v>
      </c>
      <c r="G62" s="3" t="inlineStr">
        <is>
          <t>PKG-06, PKG-10, PKG-11, PKG-17, PKG-19, PKG-21</t>
        </is>
      </c>
      <c r="H62" s="3" t="n">
        <v>6</v>
      </c>
    </row>
    <row r="63">
      <c r="A63" s="3" t="inlineStr">
        <is>
          <t>ASM-PRICE</t>
        </is>
      </c>
      <c r="B63" s="3" t="inlineStr">
        <is>
          <t>Pricing Allowances</t>
        </is>
      </c>
      <c r="C63" s="3" t="inlineStr">
        <is>
          <t>ASM-PRICE-060</t>
        </is>
      </c>
      <c r="D63" s="3" t="inlineStr">
        <is>
          <t>32 individual spill containment pans (one per unloading station) at $8,000/unit.</t>
        </is>
      </c>
      <c r="E63" s="3" t="inlineStr"/>
      <c r="F63" s="3" t="n">
        <v>1</v>
      </c>
      <c r="G63" s="3" t="inlineStr">
        <is>
          <t>PKG-10</t>
        </is>
      </c>
      <c r="H63" s="3" t="n">
        <v>1</v>
      </c>
    </row>
    <row r="64">
      <c r="A64" s="3" t="inlineStr">
        <is>
          <t>ASM-PRICE</t>
        </is>
      </c>
      <c r="B64" s="3" t="inlineStr">
        <is>
          <t>Pricing Allowances</t>
        </is>
      </c>
      <c r="C64" s="3" t="inlineStr">
        <is>
          <t>ASM-PRICE-061</t>
        </is>
      </c>
      <c r="D64" s="3" t="inlineStr">
        <is>
          <t>7 doors (6 personnel + 1 overhead) at $4,500 average</t>
        </is>
      </c>
      <c r="E64" s="3" t="inlineStr"/>
      <c r="F64" s="3" t="n">
        <v>1</v>
      </c>
      <c r="G64" s="3" t="inlineStr">
        <is>
          <t>PKG-21</t>
        </is>
      </c>
      <c r="H64" s="3" t="n">
        <v>1</v>
      </c>
    </row>
    <row r="65">
      <c r="A65" s="3" t="inlineStr">
        <is>
          <t>ASM-PRICE</t>
        </is>
      </c>
      <c r="B65" s="3" t="inlineStr">
        <is>
          <t>Pricing Allowances</t>
        </is>
      </c>
      <c r="C65" s="3" t="inlineStr">
        <is>
          <t>ASM-PRICE-062</t>
        </is>
      </c>
      <c r="D65" s="3" t="inlineStr">
        <is>
          <t>API 610 process pump costs estimated as follows:</t>
        </is>
      </c>
      <c r="E65" s="3" t="inlineStr"/>
      <c r="F65" s="3" t="n">
        <v>1</v>
      </c>
      <c r="G65" s="3" t="inlineStr">
        <is>
          <t>PKG-15</t>
        </is>
      </c>
      <c r="H65" s="3" t="n">
        <v>1</v>
      </c>
    </row>
    <row r="66">
      <c r="A66" s="3" t="inlineStr">
        <is>
          <t>ASM-PRICE</t>
        </is>
      </c>
      <c r="B66" s="3" t="inlineStr">
        <is>
          <t>Pricing Allowances</t>
        </is>
      </c>
      <c r="C66" s="3" t="inlineStr">
        <is>
          <t>ASM-PRICE-063</t>
        </is>
      </c>
      <c r="D66" s="3" t="inlineStr">
        <is>
          <t>Abutment Materials Allowance</t>
        </is>
      </c>
      <c r="E66" s="3" t="inlineStr"/>
      <c r="F66" s="3" t="n">
        <v>1</v>
      </c>
      <c r="G66" s="3" t="inlineStr">
        <is>
          <t>PKG-08</t>
        </is>
      </c>
      <c r="H66" s="3" t="n">
        <v>1</v>
      </c>
    </row>
    <row r="67">
      <c r="A67" s="3" t="inlineStr">
        <is>
          <t>ASM-PRICE</t>
        </is>
      </c>
      <c r="B67" s="3" t="inlineStr">
        <is>
          <t>Pricing Allowances</t>
        </is>
      </c>
      <c r="C67" s="3" t="inlineStr">
        <is>
          <t>ASM-PRICE-064</t>
        </is>
      </c>
      <c r="D67" s="3" t="inlineStr">
        <is>
          <t>Actuator costs: Pneumatic $3k-$15k (size-dependent), Electric $8k-$40k (size-dep...</t>
        </is>
      </c>
      <c r="E67" s="3" t="inlineStr"/>
      <c r="F67" s="3" t="n">
        <v>1</v>
      </c>
      <c r="G67" s="3" t="inlineStr">
        <is>
          <t>PKG-16</t>
        </is>
      </c>
      <c r="H67" s="3" t="n">
        <v>1</v>
      </c>
    </row>
    <row r="68">
      <c r="A68" s="3" t="inlineStr">
        <is>
          <t>ASM-PRICE</t>
        </is>
      </c>
      <c r="B68" s="3" t="inlineStr">
        <is>
          <t>Pricing Allowances</t>
        </is>
      </c>
      <c r="C68" s="3" t="inlineStr">
        <is>
          <t>ASM-PRICE-065</t>
        </is>
      </c>
      <c r="D68" s="3" t="inlineStr">
        <is>
          <t>Building Size for MEP Allowance Scaling</t>
        </is>
      </c>
      <c r="E68" s="3" t="inlineStr"/>
      <c r="F68" s="3" t="n">
        <v>1</v>
      </c>
      <c r="G68" s="3" t="inlineStr">
        <is>
          <t>PKG-22</t>
        </is>
      </c>
      <c r="H68" s="3" t="n">
        <v>1</v>
      </c>
    </row>
    <row r="69">
      <c r="A69" s="3" t="inlineStr">
        <is>
          <t>ASM-PRICE</t>
        </is>
      </c>
      <c r="B69" s="3" t="inlineStr">
        <is>
          <t>Pricing Allowances</t>
        </is>
      </c>
      <c r="C69" s="3" t="inlineStr">
        <is>
          <t>ASM-PRICE-066</t>
        </is>
      </c>
      <c r="D69" s="3" t="inlineStr">
        <is>
          <t>Building commissioning coordination at $15,000</t>
        </is>
      </c>
      <c r="E69" s="3" t="inlineStr"/>
      <c r="F69" s="3" t="n">
        <v>1</v>
      </c>
      <c r="G69" s="3" t="inlineStr">
        <is>
          <t>PKG-21</t>
        </is>
      </c>
      <c r="H69" s="3" t="n">
        <v>1</v>
      </c>
    </row>
    <row r="70">
      <c r="A70" s="3" t="inlineStr">
        <is>
          <t>ASM-PRICE</t>
        </is>
      </c>
      <c r="B70" s="3" t="inlineStr">
        <is>
          <t>Pricing Allowances</t>
        </is>
      </c>
      <c r="C70" s="3" t="inlineStr">
        <is>
          <t>ASM-PRICE-067</t>
        </is>
      </c>
      <c r="D70" s="3" t="inlineStr">
        <is>
          <t>CEMP Compliance Monitoring Allowance</t>
        </is>
      </c>
      <c r="E70" s="3" t="inlineStr"/>
      <c r="F70" s="3" t="n">
        <v>1</v>
      </c>
      <c r="G70" s="3" t="inlineStr">
        <is>
          <t>PKG-33</t>
        </is>
      </c>
      <c r="H70" s="3" t="n">
        <v>1</v>
      </c>
    </row>
    <row r="71">
      <c r="A71" s="3" t="inlineStr">
        <is>
          <t>ASM-PRICE</t>
        </is>
      </c>
      <c r="B71" s="3" t="inlineStr">
        <is>
          <t>Pricing Allowances</t>
        </is>
      </c>
      <c r="C71" s="3" t="inlineStr">
        <is>
          <t>ASM-PRICE-068</t>
        </is>
      </c>
      <c r="D71" s="3" t="inlineStr">
        <is>
          <t>Catwalk Structural Steel Supply Allowance</t>
        </is>
      </c>
      <c r="E71" s="3" t="inlineStr"/>
      <c r="F71" s="3" t="n">
        <v>1</v>
      </c>
      <c r="G71" s="3" t="inlineStr">
        <is>
          <t>PKG-08</t>
        </is>
      </c>
      <c r="H71" s="3" t="n">
        <v>1</v>
      </c>
    </row>
    <row r="72">
      <c r="A72" s="3" t="inlineStr">
        <is>
          <t>ASM-PRICE</t>
        </is>
      </c>
      <c r="B72" s="3" t="inlineStr">
        <is>
          <t>Pricing Allowances</t>
        </is>
      </c>
      <c r="C72" s="3" t="inlineStr">
        <is>
          <t>ASM-PRICE-069</t>
        </is>
      </c>
      <c r="D72" s="3" t="inlineStr">
        <is>
          <t>Catwalk and Abutment Installation Allowance</t>
        </is>
      </c>
      <c r="E72" s="3" t="inlineStr"/>
      <c r="F72" s="3" t="n">
        <v>1</v>
      </c>
      <c r="G72" s="3" t="inlineStr">
        <is>
          <t>PKG-08</t>
        </is>
      </c>
      <c r="H72" s="3" t="n">
        <v>1</v>
      </c>
    </row>
    <row r="73">
      <c r="A73" s="3" t="inlineStr">
        <is>
          <t>ASM-PRICE</t>
        </is>
      </c>
      <c r="B73" s="3" t="inlineStr">
        <is>
          <t>Pricing Allowances</t>
        </is>
      </c>
      <c r="C73" s="3" t="inlineStr">
        <is>
          <t>ASM-PRICE-070</t>
        </is>
      </c>
      <c r="D73" s="3" t="inlineStr">
        <is>
          <t>Commissioning Parametric Allowance</t>
        </is>
      </c>
      <c r="E73" s="3" t="inlineStr"/>
      <c r="F73" s="3" t="n">
        <v>1</v>
      </c>
      <c r="G73" s="3" t="inlineStr">
        <is>
          <t>PKG-32</t>
        </is>
      </c>
      <c r="H73" s="3" t="n">
        <v>1</v>
      </c>
    </row>
    <row r="74">
      <c r="A74" s="3" t="inlineStr">
        <is>
          <t>ASM-PRICE</t>
        </is>
      </c>
      <c r="B74" s="3" t="inlineStr">
        <is>
          <t>Pricing Allowances</t>
        </is>
      </c>
      <c r="C74" s="3" t="inlineStr">
        <is>
          <t>ASM-PRICE-071</t>
        </is>
      </c>
      <c r="D74" s="3" t="inlineStr">
        <is>
          <t>Concrete testing and quality control services estimated at $65,000 CAD allowance...</t>
        </is>
      </c>
      <c r="E74" s="3" t="inlineStr"/>
      <c r="F74" s="3" t="n">
        <v>1</v>
      </c>
      <c r="G74" s="3" t="inlineStr">
        <is>
          <t>PKG-05</t>
        </is>
      </c>
      <c r="H74" s="3" t="n">
        <v>1</v>
      </c>
    </row>
    <row r="75">
      <c r="A75" s="3" t="inlineStr">
        <is>
          <t>ASM-PRICE</t>
        </is>
      </c>
      <c r="B75" s="3" t="inlineStr">
        <is>
          <t>Pricing Allowances</t>
        </is>
      </c>
      <c r="C75" s="3" t="inlineStr">
        <is>
          <t>ASM-PRICE-072</t>
        </is>
      </c>
      <c r="D75" s="3" t="inlineStr">
        <is>
          <t>Containment sump construction at $45,000</t>
        </is>
      </c>
      <c r="E75" s="3" t="inlineStr"/>
      <c r="F75" s="3" t="n">
        <v>1</v>
      </c>
      <c r="G75" s="3" t="inlineStr">
        <is>
          <t>PKG-11</t>
        </is>
      </c>
      <c r="H75" s="3" t="n">
        <v>1</v>
      </c>
    </row>
    <row r="76">
      <c r="A76" s="3" t="inlineStr">
        <is>
          <t>ASM-PRICE</t>
        </is>
      </c>
      <c r="B76" s="3" t="inlineStr">
        <is>
          <t>Pricing Allowances</t>
        </is>
      </c>
      <c r="C76" s="3" t="inlineStr">
        <is>
          <t>ASM-PRICE-073</t>
        </is>
      </c>
      <c r="D76" s="3" t="inlineStr">
        <is>
          <t>Control system software licenses: $100,000 (DCS/PLC + HMI + historian)</t>
        </is>
      </c>
      <c r="E76" s="3" t="inlineStr"/>
      <c r="F76" s="3" t="n">
        <v>1</v>
      </c>
      <c r="G76" s="3" t="inlineStr">
        <is>
          <t>PKG-19</t>
        </is>
      </c>
      <c r="H76" s="3" t="n">
        <v>1</v>
      </c>
    </row>
    <row r="77">
      <c r="A77" s="3" t="inlineStr">
        <is>
          <t>ASM-PRICE</t>
        </is>
      </c>
      <c r="B77" s="3" t="inlineStr">
        <is>
          <t>Pricing Allowances</t>
        </is>
      </c>
      <c r="C77" s="3" t="inlineStr">
        <is>
          <t>ASM-PRICE-074</t>
        </is>
      </c>
      <c r="D77" s="3" t="inlineStr">
        <is>
          <t>Correspondence Filing and Archiving Allowance</t>
        </is>
      </c>
      <c r="E77" s="3" t="inlineStr"/>
      <c r="F77" s="3" t="n">
        <v>1</v>
      </c>
      <c r="G77" s="3" t="inlineStr">
        <is>
          <t>PKG-32</t>
        </is>
      </c>
      <c r="H77" s="3" t="n">
        <v>1</v>
      </c>
    </row>
    <row r="78">
      <c r="A78" s="3" t="inlineStr">
        <is>
          <t>ASM-PRICE</t>
        </is>
      </c>
      <c r="B78" s="3" t="inlineStr">
        <is>
          <t>Pricing Allowances</t>
        </is>
      </c>
      <c r="C78" s="3" t="inlineStr">
        <is>
          <t>ASM-PRICE-075</t>
        </is>
      </c>
      <c r="D78" s="3" t="inlineStr">
        <is>
          <t>Correspondence Register Setup and Maintenance Allowance</t>
        </is>
      </c>
      <c r="E78" s="3" t="inlineStr"/>
      <c r="F78" s="3" t="n">
        <v>1</v>
      </c>
      <c r="G78" s="3" t="inlineStr">
        <is>
          <t>PKG-32</t>
        </is>
      </c>
      <c r="H78" s="3" t="n">
        <v>1</v>
      </c>
    </row>
    <row r="79">
      <c r="A79" s="3" t="inlineStr">
        <is>
          <t>ASM-PRICE</t>
        </is>
      </c>
      <c r="B79" s="3" t="inlineStr">
        <is>
          <t>Pricing Allowances</t>
        </is>
      </c>
      <c r="C79" s="3" t="inlineStr">
        <is>
          <t>ASM-PRICE-076</t>
        </is>
      </c>
      <c r="D79" s="3" t="inlineStr">
        <is>
          <t>Corrosion protection allowance of $35,000 for marine environment</t>
        </is>
      </c>
      <c r="E79" s="3" t="inlineStr"/>
      <c r="F79" s="3" t="n">
        <v>1</v>
      </c>
      <c r="G79" s="3" t="inlineStr">
        <is>
          <t>PKG-21</t>
        </is>
      </c>
      <c r="H79" s="3" t="n">
        <v>1</v>
      </c>
    </row>
    <row r="80">
      <c r="A80" s="3" t="inlineStr">
        <is>
          <t>ASM-PRICE</t>
        </is>
      </c>
      <c r="B80" s="3" t="inlineStr">
        <is>
          <t>Pricing Allowances</t>
        </is>
      </c>
      <c r="C80" s="3" t="inlineStr">
        <is>
          <t>ASM-PRICE-077</t>
        </is>
      </c>
      <c r="D80" s="3" t="inlineStr">
        <is>
          <t>DEL-08.04 Marine Geotechnical Report Allowance</t>
        </is>
      </c>
      <c r="E80" s="3" t="inlineStr"/>
      <c r="F80" s="3" t="n">
        <v>1</v>
      </c>
      <c r="G80" s="3" t="inlineStr">
        <is>
          <t>PKG-08</t>
        </is>
      </c>
      <c r="H80" s="3" t="n">
        <v>1</v>
      </c>
    </row>
    <row r="81">
      <c r="A81" s="3" t="inlineStr">
        <is>
          <t>ASM-PRICE</t>
        </is>
      </c>
      <c r="B81" s="3" t="inlineStr">
        <is>
          <t>Pricing Allowances</t>
        </is>
      </c>
      <c r="C81" s="3" t="inlineStr">
        <is>
          <t>ASM-PRICE-078</t>
        </is>
      </c>
      <c r="D81" s="3" t="inlineStr">
        <is>
          <t>DEL-08.06 Berthing Energy Report Allowance</t>
        </is>
      </c>
      <c r="E81" s="3" t="inlineStr"/>
      <c r="F81" s="3" t="n">
        <v>1</v>
      </c>
      <c r="G81" s="3" t="inlineStr">
        <is>
          <t>PKG-08</t>
        </is>
      </c>
      <c r="H81" s="3" t="n">
        <v>1</v>
      </c>
    </row>
    <row r="82">
      <c r="A82" s="3" t="inlineStr">
        <is>
          <t>ASM-PRICE</t>
        </is>
      </c>
      <c r="B82" s="3" t="inlineStr">
        <is>
          <t>Pricing Allowances</t>
        </is>
      </c>
      <c r="C82" s="3" t="inlineStr">
        <is>
          <t>ASM-PRICE-079</t>
        </is>
      </c>
      <c r="D82" s="3" t="inlineStr">
        <is>
          <t>DEL-08.07 Fender Data Package Allowance</t>
        </is>
      </c>
      <c r="E82" s="3" t="inlineStr"/>
      <c r="F82" s="3" t="n">
        <v>1</v>
      </c>
      <c r="G82" s="3" t="inlineStr">
        <is>
          <t>PKG-08</t>
        </is>
      </c>
      <c r="H82" s="3" t="n">
        <v>1</v>
      </c>
    </row>
    <row r="83">
      <c r="A83" s="3" t="inlineStr">
        <is>
          <t>ASM-PRICE</t>
        </is>
      </c>
      <c r="B83" s="3" t="inlineStr">
        <is>
          <t>Pricing Allowances</t>
        </is>
      </c>
      <c r="C83" s="3" t="inlineStr">
        <is>
          <t>ASM-PRICE-080</t>
        </is>
      </c>
      <c r="D83" s="3" t="inlineStr">
        <is>
          <t>DEL-08.08 Fender Supplier Verification Allowance</t>
        </is>
      </c>
      <c r="E83" s="3" t="inlineStr"/>
      <c r="F83" s="3" t="n">
        <v>1</v>
      </c>
      <c r="G83" s="3" t="inlineStr">
        <is>
          <t>PKG-08</t>
        </is>
      </c>
      <c r="H83" s="3" t="n">
        <v>1</v>
      </c>
    </row>
    <row r="84">
      <c r="A84" s="3" t="inlineStr">
        <is>
          <t>ASM-PRICE</t>
        </is>
      </c>
      <c r="B84" s="3" t="inlineStr">
        <is>
          <t>Pricing Allowances</t>
        </is>
      </c>
      <c r="C84" s="3" t="inlineStr">
        <is>
          <t>ASM-PRICE-081</t>
        </is>
      </c>
      <c r="D84" s="3" t="inlineStr">
        <is>
          <t>DEL-08.09 Mooring Analysis Report Allowance</t>
        </is>
      </c>
      <c r="E84" s="3" t="inlineStr"/>
      <c r="F84" s="3" t="n">
        <v>1</v>
      </c>
      <c r="G84" s="3" t="inlineStr">
        <is>
          <t>PKG-08</t>
        </is>
      </c>
      <c r="H84" s="3" t="n">
        <v>1</v>
      </c>
    </row>
    <row r="85">
      <c r="A85" s="3" t="inlineStr">
        <is>
          <t>ASM-PRICE</t>
        </is>
      </c>
      <c r="B85" s="3" t="inlineStr">
        <is>
          <t>Pricing Allowances</t>
        </is>
      </c>
      <c r="C85" s="3" t="inlineStr">
        <is>
          <t>ASM-PRICE-082</t>
        </is>
      </c>
      <c r="D85" s="3" t="inlineStr">
        <is>
          <t>DEL-08.10 Current Assessment Report Allowance</t>
        </is>
      </c>
      <c r="E85" s="3" t="inlineStr"/>
      <c r="F85" s="3" t="n">
        <v>1</v>
      </c>
      <c r="G85" s="3" t="inlineStr">
        <is>
          <t>PKG-08</t>
        </is>
      </c>
      <c r="H85" s="3" t="n">
        <v>1</v>
      </c>
    </row>
    <row r="86">
      <c r="A86" s="3" t="inlineStr">
        <is>
          <t>ASM-PRICE</t>
        </is>
      </c>
      <c r="B86" s="3" t="inlineStr">
        <is>
          <t>Pricing Allowances</t>
        </is>
      </c>
      <c r="C86" s="3" t="inlineStr">
        <is>
          <t>ASM-PRICE-083</t>
        </is>
      </c>
      <c r="D86" s="3" t="inlineStr">
        <is>
          <t>DEL-08.11 Debris Loading Basis Note Allowance</t>
        </is>
      </c>
      <c r="E86" s="3" t="inlineStr"/>
      <c r="F86" s="3" t="n">
        <v>1</v>
      </c>
      <c r="G86" s="3" t="inlineStr">
        <is>
          <t>PKG-08</t>
        </is>
      </c>
      <c r="H86" s="3" t="n">
        <v>1</v>
      </c>
    </row>
    <row r="87">
      <c r="A87" s="3" t="inlineStr">
        <is>
          <t>ASM-PRICE</t>
        </is>
      </c>
      <c r="B87" s="3" t="inlineStr">
        <is>
          <t>Pricing Allowances</t>
        </is>
      </c>
      <c r="C87" s="3" t="inlineStr">
        <is>
          <t>ASM-PRICE-084</t>
        </is>
      </c>
      <c r="D87" s="3" t="inlineStr">
        <is>
          <t>DFO Compliance Monitoring Allowance</t>
        </is>
      </c>
      <c r="E87" s="3" t="inlineStr"/>
      <c r="F87" s="3" t="n">
        <v>1</v>
      </c>
      <c r="G87" s="3" t="inlineStr">
        <is>
          <t>PKG-32</t>
        </is>
      </c>
      <c r="H87" s="3" t="n">
        <v>1</v>
      </c>
    </row>
    <row r="88">
      <c r="A88" s="3" t="inlineStr">
        <is>
          <t>ASM-PRICE</t>
        </is>
      </c>
      <c r="B88" s="3" t="inlineStr">
        <is>
          <t>Pricing Allowances</t>
        </is>
      </c>
      <c r="C88" s="3" t="inlineStr">
        <is>
          <t>ASM-PRICE-085</t>
        </is>
      </c>
      <c r="D88" s="3" t="inlineStr">
        <is>
          <t>Defects Liability Support Allowance ($165,000)</t>
        </is>
      </c>
      <c r="E88" s="3" t="inlineStr"/>
      <c r="F88" s="3" t="n">
        <v>1</v>
      </c>
      <c r="G88" s="3" t="inlineStr">
        <is>
          <t>PKG-35</t>
        </is>
      </c>
      <c r="H88" s="3" t="n">
        <v>1</v>
      </c>
    </row>
    <row r="89">
      <c r="A89" s="3" t="inlineStr">
        <is>
          <t>ASM-PRICE</t>
        </is>
      </c>
      <c r="B89" s="3" t="inlineStr">
        <is>
          <t>Pricing Allowances</t>
        </is>
      </c>
      <c r="C89" s="3" t="inlineStr">
        <is>
          <t>ASM-PRICE-086</t>
        </is>
      </c>
      <c r="D89" s="3" t="inlineStr">
        <is>
          <t>Demolition Materials and Temporary Works Allowance</t>
        </is>
      </c>
      <c r="E89" s="3" t="inlineStr"/>
      <c r="F89" s="3" t="n">
        <v>1</v>
      </c>
      <c r="G89" s="3" t="inlineStr">
        <is>
          <t>PKG-01</t>
        </is>
      </c>
      <c r="H89" s="3" t="n">
        <v>1</v>
      </c>
    </row>
    <row r="90">
      <c r="A90" s="3" t="inlineStr">
        <is>
          <t>ASM-PRICE</t>
        </is>
      </c>
      <c r="B90" s="3" t="inlineStr">
        <is>
          <t>Pricing Allowances</t>
        </is>
      </c>
      <c r="C90" s="3" t="inlineStr">
        <is>
          <t>ASM-PRICE-087</t>
        </is>
      </c>
      <c r="D90" s="3" t="inlineStr">
        <is>
          <t>Demolition Procedures Allowance</t>
        </is>
      </c>
      <c r="E90" s="3" t="inlineStr"/>
      <c r="F90" s="3" t="n">
        <v>1</v>
      </c>
      <c r="G90" s="3" t="inlineStr">
        <is>
          <t>PKG-01</t>
        </is>
      </c>
      <c r="H90" s="3" t="n">
        <v>1</v>
      </c>
    </row>
    <row r="91">
      <c r="A91" s="3" t="inlineStr">
        <is>
          <t>ASM-PRICE</t>
        </is>
      </c>
      <c r="B91" s="3" t="inlineStr">
        <is>
          <t>Pricing Allowances</t>
        </is>
      </c>
      <c r="C91" s="3" t="inlineStr">
        <is>
          <t>ASM-PRICE-088</t>
        </is>
      </c>
      <c r="D91" s="3" t="inlineStr">
        <is>
          <t>Demolition Records QA/QC Allowance</t>
        </is>
      </c>
      <c r="E91" s="3" t="inlineStr"/>
      <c r="F91" s="3" t="n">
        <v>1</v>
      </c>
      <c r="G91" s="3" t="inlineStr">
        <is>
          <t>PKG-01</t>
        </is>
      </c>
      <c r="H91" s="3" t="n">
        <v>1</v>
      </c>
    </row>
    <row r="92">
      <c r="A92" s="3" t="inlineStr">
        <is>
          <t>ASM-PRICE</t>
        </is>
      </c>
      <c r="B92" s="3" t="inlineStr">
        <is>
          <t>Pricing Allowances</t>
        </is>
      </c>
      <c r="C92" s="3" t="inlineStr">
        <is>
          <t>ASM-PRICE-089</t>
        </is>
      </c>
      <c r="D92" s="3" t="inlineStr">
        <is>
          <t>Dolphin 2 Marine Demolition Allowance</t>
        </is>
      </c>
      <c r="E92" s="3" t="inlineStr"/>
      <c r="F92" s="3" t="n">
        <v>1</v>
      </c>
      <c r="G92" s="3" t="inlineStr">
        <is>
          <t>PKG-01</t>
        </is>
      </c>
      <c r="H92" s="3" t="n">
        <v>1</v>
      </c>
    </row>
    <row r="93">
      <c r="A93" s="3" t="inlineStr">
        <is>
          <t>ASM-PRICE</t>
        </is>
      </c>
      <c r="B93" s="3" t="inlineStr">
        <is>
          <t>Pricing Allowances</t>
        </is>
      </c>
      <c r="C93" s="3" t="inlineStr">
        <is>
          <t>ASM-PRICE-090</t>
        </is>
      </c>
      <c r="D93" s="3" t="inlineStr">
        <is>
          <t>Door and window installation at $18,000 allowance</t>
        </is>
      </c>
      <c r="E93" s="3" t="inlineStr"/>
      <c r="F93" s="3" t="n">
        <v>1</v>
      </c>
      <c r="G93" s="3" t="inlineStr">
        <is>
          <t>PKG-21</t>
        </is>
      </c>
      <c r="H93" s="3" t="n">
        <v>1</v>
      </c>
    </row>
    <row r="94">
      <c r="A94" s="3" t="inlineStr">
        <is>
          <t>ASM-PRICE</t>
        </is>
      </c>
      <c r="B94" s="3" t="inlineStr">
        <is>
          <t>Pricing Allowances</t>
        </is>
      </c>
      <c r="C94" s="3" t="inlineStr">
        <is>
          <t>ASM-PRICE-091</t>
        </is>
      </c>
      <c r="D94" s="3" t="inlineStr">
        <is>
          <t>E&amp;I materials at $65,000 + installation at $100,000</t>
        </is>
      </c>
      <c r="E94" s="3" t="inlineStr"/>
      <c r="F94" s="3" t="n">
        <v>1</v>
      </c>
      <c r="G94" s="3" t="inlineStr">
        <is>
          <t>PKG-11</t>
        </is>
      </c>
      <c r="H94" s="3" t="n">
        <v>1</v>
      </c>
    </row>
    <row r="95">
      <c r="A95" s="3" t="inlineStr">
        <is>
          <t>ASM-PRICE</t>
        </is>
      </c>
      <c r="B95" s="3" t="inlineStr">
        <is>
          <t>Pricing Allowances</t>
        </is>
      </c>
      <c r="C95" s="3" t="inlineStr">
        <is>
          <t>ASM-PRICE-092</t>
        </is>
      </c>
      <c r="D95" s="3" t="inlineStr">
        <is>
          <t>EPCM/Project Management estimated at 6% of (CD + CI + MAT) = 6% × ($53,200 + $9,...</t>
        </is>
      </c>
      <c r="E95" s="3" t="inlineStr"/>
      <c r="F95" s="3" t="n">
        <v>1</v>
      </c>
      <c r="G95" s="3" t="inlineStr">
        <is>
          <t>PKG-15</t>
        </is>
      </c>
      <c r="H95" s="3" t="n">
        <v>1</v>
      </c>
    </row>
    <row r="96">
      <c r="A96" s="3" t="inlineStr">
        <is>
          <t>ASM-PRICE</t>
        </is>
      </c>
      <c r="B96" s="3" t="inlineStr">
        <is>
          <t>Pricing Allowances</t>
        </is>
      </c>
      <c r="C96" s="3" t="inlineStr">
        <is>
          <t>ASM-PRICE-093</t>
        </is>
      </c>
      <c r="D96" s="3" t="inlineStr">
        <is>
          <t>Electrical Installation Materials Allowance</t>
        </is>
      </c>
      <c r="E96" s="3" t="inlineStr"/>
      <c r="F96" s="3" t="n">
        <v>1</v>
      </c>
      <c r="G96" s="3" t="inlineStr">
        <is>
          <t>PKG-17</t>
        </is>
      </c>
      <c r="H96" s="3" t="n">
        <v>1</v>
      </c>
    </row>
    <row r="97">
      <c r="A97" s="3" t="inlineStr">
        <is>
          <t>ASM-PRICE</t>
        </is>
      </c>
      <c r="B97" s="3" t="inlineStr">
        <is>
          <t>Pricing Allowances</t>
        </is>
      </c>
      <c r="C97" s="3" t="inlineStr">
        <is>
          <t>ASM-PRICE-094</t>
        </is>
      </c>
      <c r="D97" s="3" t="inlineStr">
        <is>
          <t>Emergency Response Plan Allowance</t>
        </is>
      </c>
      <c r="E97" s="3" t="inlineStr"/>
      <c r="F97" s="3" t="n">
        <v>1</v>
      </c>
      <c r="G97" s="3" t="inlineStr">
        <is>
          <t>PKG-33</t>
        </is>
      </c>
      <c r="H97" s="3" t="n">
        <v>1</v>
      </c>
    </row>
    <row r="98">
      <c r="A98" s="3" t="inlineStr">
        <is>
          <t>ASM-PRICE</t>
        </is>
      </c>
      <c r="B98" s="3" t="inlineStr">
        <is>
          <t>Pricing Allowances</t>
        </is>
      </c>
      <c r="C98" s="3" t="inlineStr">
        <is>
          <t>ASM-PRICE-095</t>
        </is>
      </c>
      <c r="D98" s="3" t="inlineStr">
        <is>
          <t>Equipment schedule documents (2 documents) estimated at $5,000 CAD allowance.</t>
        </is>
      </c>
      <c r="E98" s="3" t="inlineStr"/>
      <c r="F98" s="3" t="n">
        <v>1</v>
      </c>
      <c r="G98" s="3" t="inlineStr">
        <is>
          <t>PKG-00</t>
        </is>
      </c>
      <c r="H98" s="3" t="n">
        <v>1</v>
      </c>
    </row>
    <row r="99">
      <c r="A99" s="3" t="inlineStr">
        <is>
          <t>ASM-PRICE</t>
        </is>
      </c>
      <c r="B99" s="3" t="inlineStr">
        <is>
          <t>Pricing Allowances</t>
        </is>
      </c>
      <c r="C99" s="3" t="inlineStr">
        <is>
          <t>ASM-PRICE-096</t>
        </is>
      </c>
      <c r="D99" s="3" t="inlineStr">
        <is>
          <t>Expansion joints/loops allowance $65,000</t>
        </is>
      </c>
      <c r="E99" s="3" t="inlineStr"/>
      <c r="F99" s="3" t="n">
        <v>1</v>
      </c>
      <c r="G99" s="3" t="inlineStr">
        <is>
          <t>PKG-14</t>
        </is>
      </c>
      <c r="H99" s="3" t="n">
        <v>1</v>
      </c>
    </row>
    <row r="100">
      <c r="A100" s="3" t="inlineStr">
        <is>
          <t>ASM-PRICE</t>
        </is>
      </c>
      <c r="B100" s="3" t="inlineStr">
        <is>
          <t>Pricing Allowances</t>
        </is>
      </c>
      <c r="C100" s="3" t="inlineStr">
        <is>
          <t>ASM-PRICE-097</t>
        </is>
      </c>
      <c r="D100" s="3" t="inlineStr">
        <is>
          <t>FAT $25,000 + SAT $20,000 + commissioning support $10,000</t>
        </is>
      </c>
      <c r="E100" s="3" t="inlineStr"/>
      <c r="F100" s="3" t="n">
        <v>1</v>
      </c>
      <c r="G100" s="3" t="inlineStr">
        <is>
          <t>PKG-19</t>
        </is>
      </c>
      <c r="H100" s="3" t="n">
        <v>1</v>
      </c>
    </row>
    <row r="101">
      <c r="A101" s="3" t="inlineStr">
        <is>
          <t>ASM-PRICE</t>
        </is>
      </c>
      <c r="B101" s="3" t="inlineStr">
        <is>
          <t>Pricing Allowances</t>
        </is>
      </c>
      <c r="C101" s="3" t="inlineStr">
        <is>
          <t>ASM-PRICE-098</t>
        </is>
      </c>
      <c r="D101" s="3" t="inlineStr">
        <is>
          <t>Fencing Removal Allowance</t>
        </is>
      </c>
      <c r="E101" s="3" t="inlineStr"/>
      <c r="F101" s="3" t="n">
        <v>1</v>
      </c>
      <c r="G101" s="3" t="inlineStr">
        <is>
          <t>PKG-01</t>
        </is>
      </c>
      <c r="H101" s="3" t="n">
        <v>1</v>
      </c>
    </row>
    <row r="102">
      <c r="A102" s="3" t="inlineStr">
        <is>
          <t>ASM-PRICE</t>
        </is>
      </c>
      <c r="B102" s="3" t="inlineStr">
        <is>
          <t>Pricing Allowances</t>
        </is>
      </c>
      <c r="C102" s="3" t="inlineStr">
        <is>
          <t>ASM-PRICE-099</t>
        </is>
      </c>
      <c r="D102" s="3" t="inlineStr">
        <is>
          <t>Finishing and punch list allowance of $25,000</t>
        </is>
      </c>
      <c r="E102" s="3" t="inlineStr"/>
      <c r="F102" s="3" t="n">
        <v>1</v>
      </c>
      <c r="G102" s="3" t="inlineStr">
        <is>
          <t>PKG-21</t>
        </is>
      </c>
      <c r="H102" s="3" t="n">
        <v>1</v>
      </c>
    </row>
    <row r="103">
      <c r="A103" s="3" t="inlineStr">
        <is>
          <t>ASM-PRICE</t>
        </is>
      </c>
      <c r="B103" s="3" t="inlineStr">
        <is>
          <t>Pricing Allowances</t>
        </is>
      </c>
      <c r="C103" s="3" t="inlineStr">
        <is>
          <t>ASM-PRICE-100</t>
        </is>
      </c>
      <c r="D103" s="3" t="inlineStr">
        <is>
          <t>Fire Alarm System Installation Cost</t>
        </is>
      </c>
      <c r="E103" s="3" t="inlineStr"/>
      <c r="F103" s="3" t="n">
        <v>1</v>
      </c>
      <c r="G103" s="3" t="inlineStr">
        <is>
          <t>PKG-23</t>
        </is>
      </c>
      <c r="H103" s="3" t="n">
        <v>1</v>
      </c>
    </row>
    <row r="104">
      <c r="A104" s="3" t="inlineStr">
        <is>
          <t>ASM-PRICE</t>
        </is>
      </c>
      <c r="B104" s="3" t="inlineStr">
        <is>
          <t>Pricing Allowances</t>
        </is>
      </c>
      <c r="C104" s="3" t="inlineStr">
        <is>
          <t>ASM-PRICE-101</t>
        </is>
      </c>
      <c r="D104" s="3" t="inlineStr">
        <is>
          <t>Fire Hydrant Installation Cost</t>
        </is>
      </c>
      <c r="E104" s="3" t="inlineStr"/>
      <c r="F104" s="3" t="n">
        <v>1</v>
      </c>
      <c r="G104" s="3" t="inlineStr">
        <is>
          <t>PKG-23</t>
        </is>
      </c>
      <c r="H104" s="3" t="n">
        <v>1</v>
      </c>
    </row>
    <row r="105">
      <c r="A105" s="3" t="inlineStr">
        <is>
          <t>ASM-PRICE</t>
        </is>
      </c>
      <c r="B105" s="3" t="inlineStr">
        <is>
          <t>Pricing Allowances</t>
        </is>
      </c>
      <c r="C105" s="3" t="inlineStr">
        <is>
          <t>ASM-PRICE-102</t>
        </is>
      </c>
      <c r="D105" s="3" t="inlineStr">
        <is>
          <t>Fire Water Loop Installation Cost</t>
        </is>
      </c>
      <c r="E105" s="3" t="inlineStr"/>
      <c r="F105" s="3" t="n">
        <v>1</v>
      </c>
      <c r="G105" s="3" t="inlineStr">
        <is>
          <t>PKG-23</t>
        </is>
      </c>
      <c r="H105" s="3" t="n">
        <v>1</v>
      </c>
    </row>
    <row r="106">
      <c r="A106" s="3" t="inlineStr">
        <is>
          <t>ASM-PRICE</t>
        </is>
      </c>
      <c r="B106" s="3" t="inlineStr">
        <is>
          <t>Pricing Allowances</t>
        </is>
      </c>
      <c r="C106" s="3" t="inlineStr">
        <is>
          <t>ASM-PRICE-103</t>
        </is>
      </c>
      <c r="D106" s="3" t="inlineStr">
        <is>
          <t>Foam System Installation Cost</t>
        </is>
      </c>
      <c r="E106" s="3" t="inlineStr"/>
      <c r="F106" s="3" t="n">
        <v>1</v>
      </c>
      <c r="G106" s="3" t="inlineStr">
        <is>
          <t>PKG-23</t>
        </is>
      </c>
      <c r="H106" s="3" t="n">
        <v>1</v>
      </c>
    </row>
    <row r="107">
      <c r="A107" s="3" t="inlineStr">
        <is>
          <t>ASM-PRICE</t>
        </is>
      </c>
      <c r="B107" s="3" t="inlineStr">
        <is>
          <t>Pricing Allowances</t>
        </is>
      </c>
      <c r="C107" s="3" t="inlineStr">
        <is>
          <t>ASM-PRICE-104</t>
        </is>
      </c>
      <c r="D107" s="3" t="inlineStr">
        <is>
          <t>Foundation materials (concrete, piles, reinforcing) at $85,000 allowance</t>
        </is>
      </c>
      <c r="E107" s="3" t="inlineStr"/>
      <c r="F107" s="3" t="n">
        <v>1</v>
      </c>
      <c r="G107" s="3" t="inlineStr">
        <is>
          <t>PKG-21</t>
        </is>
      </c>
      <c r="H107" s="3" t="n">
        <v>1</v>
      </c>
    </row>
    <row r="108">
      <c r="A108" s="3" t="inlineStr">
        <is>
          <t>ASM-PRICE</t>
        </is>
      </c>
      <c r="B108" s="3" t="inlineStr">
        <is>
          <t>Pricing Allowances</t>
        </is>
      </c>
      <c r="C108" s="3" t="inlineStr">
        <is>
          <t>ASM-PRICE-105</t>
        </is>
      </c>
      <c r="D108" s="3" t="inlineStr">
        <is>
          <t>Freight and Logistics Allowance</t>
        </is>
      </c>
      <c r="E108" s="3" t="inlineStr"/>
      <c r="F108" s="3" t="n">
        <v>1</v>
      </c>
      <c r="G108" s="3" t="inlineStr">
        <is>
          <t>PKG-17</t>
        </is>
      </c>
      <c r="H108" s="3" t="n">
        <v>1</v>
      </c>
    </row>
    <row r="109">
      <c r="A109" s="3" t="inlineStr">
        <is>
          <t>ASM-PRICE</t>
        </is>
      </c>
      <c r="B109" s="3" t="inlineStr">
        <is>
          <t>Pricing Allowances</t>
        </is>
      </c>
      <c r="C109" s="3" t="inlineStr">
        <is>
          <t>ASM-PRICE-106</t>
        </is>
      </c>
      <c r="D109" s="3" t="inlineStr">
        <is>
          <t>Freight and Marine Logistics Allowance</t>
        </is>
      </c>
      <c r="E109" s="3" t="inlineStr"/>
      <c r="F109" s="3" t="n">
        <v>1</v>
      </c>
      <c r="G109" s="3" t="inlineStr">
        <is>
          <t>PKG-08</t>
        </is>
      </c>
      <c r="H109" s="3" t="n">
        <v>1</v>
      </c>
    </row>
    <row r="110">
      <c r="A110" s="3" t="inlineStr">
        <is>
          <t>ASM-PRICE</t>
        </is>
      </c>
      <c r="B110" s="3" t="inlineStr">
        <is>
          <t>Pricing Allowances</t>
        </is>
      </c>
      <c r="C110" s="3" t="inlineStr">
        <is>
          <t>ASM-PRICE-107</t>
        </is>
      </c>
      <c r="D110" s="3" t="inlineStr">
        <is>
          <t>Ground liner system interface work (concrete curbs, anchors, terminations) estim...</t>
        </is>
      </c>
      <c r="E110" s="3" t="inlineStr"/>
      <c r="F110" s="3" t="n">
        <v>1</v>
      </c>
      <c r="G110" s="3" t="inlineStr">
        <is>
          <t>PKG-05</t>
        </is>
      </c>
      <c r="H110" s="3" t="n">
        <v>1</v>
      </c>
    </row>
    <row r="111">
      <c r="A111" s="3" t="inlineStr">
        <is>
          <t>ASM-PRICE</t>
        </is>
      </c>
      <c r="B111" s="3" t="inlineStr">
        <is>
          <t>Pricing Allowances</t>
        </is>
      </c>
      <c r="C111" s="3" t="inlineStr">
        <is>
          <t>ASM-PRICE-108</t>
        </is>
      </c>
      <c r="D111" s="3" t="inlineStr">
        <is>
          <t>Handover Coordination Allowance ($85,000)</t>
        </is>
      </c>
      <c r="E111" s="3" t="inlineStr"/>
      <c r="F111" s="3" t="n">
        <v>1</v>
      </c>
      <c r="G111" s="3" t="inlineStr">
        <is>
          <t>PKG-35</t>
        </is>
      </c>
      <c r="H111" s="3" t="n">
        <v>1</v>
      </c>
    </row>
    <row r="112">
      <c r="A112" s="3" t="inlineStr">
        <is>
          <t>ASM-PRICE</t>
        </is>
      </c>
      <c r="B112" s="3" t="inlineStr">
        <is>
          <t>Pricing Allowances</t>
        </is>
      </c>
      <c r="C112" s="3" t="inlineStr">
        <is>
          <t>ASM-PRICE-109</t>
        </is>
      </c>
      <c r="D112" s="3" t="inlineStr">
        <is>
          <t>Hydrostatic testing at $95,000 for ~10-15 test packages</t>
        </is>
      </c>
      <c r="E112" s="3" t="inlineStr"/>
      <c r="F112" s="3" t="n">
        <v>1</v>
      </c>
      <c r="G112" s="3" t="inlineStr">
        <is>
          <t>PKG-14</t>
        </is>
      </c>
      <c r="H112" s="3" t="n">
        <v>1</v>
      </c>
    </row>
    <row r="113">
      <c r="A113" s="3" t="inlineStr">
        <is>
          <t>ASM-PRICE</t>
        </is>
      </c>
      <c r="B113" s="3" t="inlineStr">
        <is>
          <t>Pricing Allowances</t>
        </is>
      </c>
      <c r="C113" s="3" t="inlineStr">
        <is>
          <t>ASM-PRICE-110</t>
        </is>
      </c>
      <c r="D113" s="3" t="inlineStr">
        <is>
          <t>Initial spare parts estimated at 8% of pump equipment cost ($850,000 × 8% = $68,...</t>
        </is>
      </c>
      <c r="E113" s="3" t="inlineStr"/>
      <c r="F113" s="3" t="n">
        <v>1</v>
      </c>
      <c r="G113" s="3" t="inlineStr">
        <is>
          <t>PKG-15</t>
        </is>
      </c>
      <c r="H113" s="3" t="n">
        <v>1</v>
      </c>
    </row>
    <row r="114">
      <c r="A114" s="3" t="inlineStr">
        <is>
          <t>ASM-PRICE</t>
        </is>
      </c>
      <c r="B114" s="3" t="inlineStr">
        <is>
          <t>Pricing Allowances</t>
        </is>
      </c>
      <c r="C114" s="3" t="inlineStr">
        <is>
          <t>ASM-PRICE-111</t>
        </is>
      </c>
      <c r="D114" s="3" t="inlineStr">
        <is>
          <t>Installation quality records and documentation: $32,000</t>
        </is>
      </c>
      <c r="E114" s="3" t="inlineStr"/>
      <c r="F114" s="3" t="n">
        <v>1</v>
      </c>
      <c r="G114" s="3" t="inlineStr">
        <is>
          <t>PKG-19</t>
        </is>
      </c>
      <c r="H114" s="3" t="n">
        <v>1</v>
      </c>
    </row>
    <row r="115">
      <c r="A115" s="3" t="inlineStr">
        <is>
          <t>ASM-PRICE</t>
        </is>
      </c>
      <c r="B115" s="3" t="inlineStr">
        <is>
          <t>Pricing Allowances</t>
        </is>
      </c>
      <c r="C115" s="3" t="inlineStr">
        <is>
          <t>ASM-PRICE-112</t>
        </is>
      </c>
      <c r="D115" s="3" t="inlineStr">
        <is>
          <t>Leak detection system at $85,000 supply + $35,000 install for 3-zone coverage</t>
        </is>
      </c>
      <c r="E115" s="3" t="inlineStr"/>
      <c r="F115" s="3" t="n">
        <v>1</v>
      </c>
      <c r="G115" s="3" t="inlineStr">
        <is>
          <t>PKG-11</t>
        </is>
      </c>
      <c r="H115" s="3" t="n">
        <v>1</v>
      </c>
    </row>
    <row r="116">
      <c r="A116" s="3" t="inlineStr">
        <is>
          <t>ASM-PRICE</t>
        </is>
      </c>
      <c r="B116" s="3" t="inlineStr">
        <is>
          <t>Pricing Allowances</t>
        </is>
      </c>
      <c r="C116" s="3" t="inlineStr">
        <is>
          <t>ASM-PRICE-113</t>
        </is>
      </c>
      <c r="D116" s="3" t="inlineStr">
        <is>
          <t>Lighting circuit wiring and conduit from panels to fixtures: allowance $40,000-$...</t>
        </is>
      </c>
      <c r="E116" s="3" t="inlineStr"/>
      <c r="F116" s="3" t="n">
        <v>1</v>
      </c>
      <c r="G116" s="3" t="inlineStr">
        <is>
          <t>PKG-18</t>
        </is>
      </c>
      <c r="H116" s="3" t="n">
        <v>1</v>
      </c>
    </row>
    <row r="117">
      <c r="A117" s="3" t="inlineStr">
        <is>
          <t>ASM-PRICE</t>
        </is>
      </c>
      <c r="B117" s="3" t="inlineStr">
        <is>
          <t>Pricing Allowances</t>
        </is>
      </c>
      <c r="C117" s="3" t="inlineStr">
        <is>
          <t>ASM-PRICE-114</t>
        </is>
      </c>
      <c r="D117" s="3" t="inlineStr">
        <is>
          <t>Lighting circuit wiring, conduit, and accessories: $40,000-$80,000 CAD allowance...</t>
        </is>
      </c>
      <c r="E117" s="3" t="inlineStr"/>
      <c r="F117" s="3" t="n">
        <v>1</v>
      </c>
      <c r="G117" s="3" t="inlineStr">
        <is>
          <t>PKG-18</t>
        </is>
      </c>
      <c r="H117" s="3" t="n">
        <v>1</v>
      </c>
    </row>
    <row r="118">
      <c r="A118" s="3" t="inlineStr">
        <is>
          <t>ASM-PRICE</t>
        </is>
      </c>
      <c r="B118" s="3" t="inlineStr">
        <is>
          <t>Pricing Allowances</t>
        </is>
      </c>
      <c r="C118" s="3" t="inlineStr">
        <is>
          <t>ASM-PRICE-115</t>
        </is>
      </c>
      <c r="D118" s="3" t="inlineStr">
        <is>
          <t>Lighting controls installation and programming: $15,000-$40,000 CAD allowance.</t>
        </is>
      </c>
      <c r="E118" s="3" t="inlineStr"/>
      <c r="F118" s="3" t="n">
        <v>1</v>
      </c>
      <c r="G118" s="3" t="inlineStr">
        <is>
          <t>PKG-18</t>
        </is>
      </c>
      <c r="H118" s="3" t="n">
        <v>1</v>
      </c>
    </row>
    <row r="119">
      <c r="A119" s="3" t="inlineStr">
        <is>
          <t>ASM-PRICE</t>
        </is>
      </c>
      <c r="B119" s="3" t="inlineStr">
        <is>
          <t>Pricing Allowances</t>
        </is>
      </c>
      <c r="C119" s="3" t="inlineStr">
        <is>
          <t>ASM-PRICE-116</t>
        </is>
      </c>
      <c r="D119" s="3" t="inlineStr">
        <is>
          <t>Limited industrial glazing allowance of $15,000</t>
        </is>
      </c>
      <c r="E119" s="3" t="inlineStr"/>
      <c r="F119" s="3" t="n">
        <v>1</v>
      </c>
      <c r="G119" s="3" t="inlineStr">
        <is>
          <t>PKG-21</t>
        </is>
      </c>
      <c r="H119" s="3" t="n">
        <v>1</v>
      </c>
    </row>
    <row r="120">
      <c r="A120" s="3" t="inlineStr">
        <is>
          <t>ASM-PRICE</t>
        </is>
      </c>
      <c r="B120" s="3" t="inlineStr">
        <is>
          <t>Pricing Allowances</t>
        </is>
      </c>
      <c r="C120" s="3" t="inlineStr">
        <is>
          <t>ASM-PRICE-117</t>
        </is>
      </c>
      <c r="D120" s="3" t="inlineStr">
        <is>
          <t>Loading Platform Steel Erection Allowance</t>
        </is>
      </c>
      <c r="E120" s="3" t="inlineStr"/>
      <c r="F120" s="3" t="n">
        <v>1</v>
      </c>
      <c r="G120" s="3" t="inlineStr">
        <is>
          <t>PKG-08</t>
        </is>
      </c>
      <c r="H120" s="3" t="n">
        <v>1</v>
      </c>
    </row>
    <row r="121">
      <c r="A121" s="3" t="inlineStr">
        <is>
          <t>ASM-PRICE</t>
        </is>
      </c>
      <c r="B121" s="3" t="inlineStr">
        <is>
          <t>Pricing Allowances</t>
        </is>
      </c>
      <c r="C121" s="3" t="inlineStr">
        <is>
          <t>ASM-PRICE-118</t>
        </is>
      </c>
      <c r="D121" s="3" t="inlineStr">
        <is>
          <t>Loading Platform Structural Steel Supply Allowance</t>
        </is>
      </c>
      <c r="E121" s="3" t="inlineStr"/>
      <c r="F121" s="3" t="n">
        <v>1</v>
      </c>
      <c r="G121" s="3" t="inlineStr">
        <is>
          <t>PKG-08</t>
        </is>
      </c>
      <c r="H121" s="3" t="n">
        <v>1</v>
      </c>
    </row>
    <row r="122">
      <c r="A122" s="3" t="inlineStr">
        <is>
          <t>ASM-PRICE</t>
        </is>
      </c>
      <c r="B122" s="3" t="inlineStr">
        <is>
          <t>Pricing Allowances</t>
        </is>
      </c>
      <c r="C122" s="3" t="inlineStr">
        <is>
          <t>ASM-PRICE-119</t>
        </is>
      </c>
      <c r="D122" s="3" t="inlineStr">
        <is>
          <t>Loading arm installation requires crane barge for heavy lift; included in instal...</t>
        </is>
      </c>
      <c r="E122" s="3" t="inlineStr"/>
      <c r="F122" s="3" t="n">
        <v>1</v>
      </c>
      <c r="G122" s="3" t="inlineStr">
        <is>
          <t>PKG-11</t>
        </is>
      </c>
      <c r="H122" s="3" t="n">
        <v>1</v>
      </c>
    </row>
    <row r="123">
      <c r="A123" s="3" t="inlineStr">
        <is>
          <t>ASM-PRICE</t>
        </is>
      </c>
      <c r="B123" s="3" t="inlineStr">
        <is>
          <t>Pricing Allowances</t>
        </is>
      </c>
      <c r="C123" s="3" t="inlineStr">
        <is>
          <t>ASM-PRICE-120</t>
        </is>
      </c>
      <c r="D123" s="3" t="inlineStr">
        <is>
          <t>Marine Coatings and Touch-Up Allowance</t>
        </is>
      </c>
      <c r="E123" s="3" t="inlineStr"/>
      <c r="F123" s="3" t="n">
        <v>1</v>
      </c>
      <c r="G123" s="3" t="inlineStr">
        <is>
          <t>PKG-08</t>
        </is>
      </c>
      <c r="H123" s="3" t="n">
        <v>1</v>
      </c>
    </row>
    <row r="124">
      <c r="A124" s="3" t="inlineStr">
        <is>
          <t>ASM-PRICE</t>
        </is>
      </c>
      <c r="B124" s="3" t="inlineStr">
        <is>
          <t>Pricing Allowances</t>
        </is>
      </c>
      <c r="C124" s="3" t="inlineStr">
        <is>
          <t>ASM-PRICE-121</t>
        </is>
      </c>
      <c r="D124" s="3" t="inlineStr">
        <is>
          <t>Marine Hardware Installation Allowance</t>
        </is>
      </c>
      <c r="E124" s="3" t="inlineStr"/>
      <c r="F124" s="3" t="n">
        <v>1</v>
      </c>
      <c r="G124" s="3" t="inlineStr">
        <is>
          <t>PKG-08</t>
        </is>
      </c>
      <c r="H124" s="3" t="n">
        <v>1</v>
      </c>
    </row>
    <row r="125">
      <c r="A125" s="3" t="inlineStr">
        <is>
          <t>ASM-PRICE</t>
        </is>
      </c>
      <c r="B125" s="3" t="inlineStr">
        <is>
          <t>Pricing Allowances</t>
        </is>
      </c>
      <c r="C125" s="3" t="inlineStr">
        <is>
          <t>ASM-PRICE-122</t>
        </is>
      </c>
      <c r="D125" s="3" t="inlineStr">
        <is>
          <t>Marine Hardware and Miscellaneous Steel Allowance</t>
        </is>
      </c>
      <c r="E125" s="3" t="inlineStr"/>
      <c r="F125" s="3" t="n">
        <v>1</v>
      </c>
      <c r="G125" s="3" t="inlineStr">
        <is>
          <t>PKG-08</t>
        </is>
      </c>
      <c r="H125" s="3" t="n">
        <v>1</v>
      </c>
    </row>
    <row r="126">
      <c r="A126" s="3" t="inlineStr">
        <is>
          <t>ASM-PRICE</t>
        </is>
      </c>
      <c r="B126" s="3" t="inlineStr">
        <is>
          <t>Pricing Allowances</t>
        </is>
      </c>
      <c r="C126" s="3" t="inlineStr">
        <is>
          <t>ASM-PRICE-123</t>
        </is>
      </c>
      <c r="D126" s="3" t="inlineStr">
        <is>
          <t>Marine Piling Installation Allowance</t>
        </is>
      </c>
      <c r="E126" s="3" t="inlineStr"/>
      <c r="F126" s="3" t="n">
        <v>1</v>
      </c>
      <c r="G126" s="3" t="inlineStr">
        <is>
          <t>PKG-08</t>
        </is>
      </c>
      <c r="H126" s="3" t="n">
        <v>1</v>
      </c>
    </row>
    <row r="127">
      <c r="A127" s="3" t="inlineStr">
        <is>
          <t>ASM-PRICE</t>
        </is>
      </c>
      <c r="B127" s="3" t="inlineStr">
        <is>
          <t>Pricing Allowances</t>
        </is>
      </c>
      <c r="C127" s="3" t="inlineStr">
        <is>
          <t>ASM-PRICE-124</t>
        </is>
      </c>
      <c r="D127" s="3" t="inlineStr">
        <is>
          <t>Marine Piling Supply Allowance</t>
        </is>
      </c>
      <c r="E127" s="3" t="inlineStr"/>
      <c r="F127" s="3" t="n">
        <v>1</v>
      </c>
      <c r="G127" s="3" t="inlineStr">
        <is>
          <t>PKG-08</t>
        </is>
      </c>
      <c r="H127" s="3" t="n">
        <v>1</v>
      </c>
    </row>
    <row r="128">
      <c r="A128" s="3" t="inlineStr">
        <is>
          <t>ASM-PRICE</t>
        </is>
      </c>
      <c r="B128" s="3" t="inlineStr">
        <is>
          <t>Pricing Allowances</t>
        </is>
      </c>
      <c r="C128" s="3" t="inlineStr">
        <is>
          <t>ASM-PRICE-125</t>
        </is>
      </c>
      <c r="D128" s="3" t="inlineStr">
        <is>
          <t>Mechanical seal systems and auxiliary equipment (seal flush systems, cooling wat...</t>
        </is>
      </c>
      <c r="E128" s="3" t="inlineStr"/>
      <c r="F128" s="3" t="n">
        <v>1</v>
      </c>
      <c r="G128" s="3" t="inlineStr">
        <is>
          <t>PKG-15</t>
        </is>
      </c>
      <c r="H128" s="3" t="n">
        <v>1</v>
      </c>
    </row>
    <row r="129">
      <c r="A129" s="3" t="inlineStr">
        <is>
          <t>ASM-PRICE</t>
        </is>
      </c>
      <c r="B129" s="3" t="inlineStr">
        <is>
          <t>Pricing Allowances</t>
        </is>
      </c>
      <c r="C129" s="3" t="inlineStr">
        <is>
          <t>ASM-PRICE-126</t>
        </is>
      </c>
      <c r="D129" s="3" t="inlineStr">
        <is>
          <t>Method Statements Allowance</t>
        </is>
      </c>
      <c r="E129" s="3" t="inlineStr"/>
      <c r="F129" s="3" t="n">
        <v>1</v>
      </c>
      <c r="G129" s="3" t="inlineStr">
        <is>
          <t>PKG-33</t>
        </is>
      </c>
      <c r="H129" s="3" t="n">
        <v>1</v>
      </c>
    </row>
    <row r="130">
      <c r="A130" s="3" t="inlineStr">
        <is>
          <t>ASM-PRICE</t>
        </is>
      </c>
      <c r="B130" s="3" t="inlineStr">
        <is>
          <t>Pricing Allowances</t>
        </is>
      </c>
      <c r="C130" s="3" t="inlineStr">
        <is>
          <t>ASM-PRICE-127</t>
        </is>
      </c>
      <c r="D130" s="3" t="inlineStr">
        <is>
          <t>Miscellaneous cables and terminations: $60,000</t>
        </is>
      </c>
      <c r="E130" s="3" t="inlineStr"/>
      <c r="F130" s="3" t="n">
        <v>1</v>
      </c>
      <c r="G130" s="3" t="inlineStr">
        <is>
          <t>PKG-19</t>
        </is>
      </c>
      <c r="H130" s="3" t="n">
        <v>1</v>
      </c>
    </row>
    <row r="131">
      <c r="A131" s="3" t="inlineStr">
        <is>
          <t>ASM-PRICE</t>
        </is>
      </c>
      <c r="B131" s="3" t="inlineStr">
        <is>
          <t>Pricing Allowances</t>
        </is>
      </c>
      <c r="C131" s="3" t="inlineStr">
        <is>
          <t>ASM-PRICE-128</t>
        </is>
      </c>
      <c r="D131" s="3" t="inlineStr">
        <is>
          <t>NDE and weld inspection at ~$250/weld for 500+ welds</t>
        </is>
      </c>
      <c r="E131" s="3" t="inlineStr"/>
      <c r="F131" s="3" t="n">
        <v>1</v>
      </c>
      <c r="G131" s="3" t="inlineStr">
        <is>
          <t>PKG-14</t>
        </is>
      </c>
      <c r="H131" s="3" t="n">
        <v>1</v>
      </c>
    </row>
    <row r="132">
      <c r="A132" s="3" t="inlineStr">
        <is>
          <t>ASM-PRICE</t>
        </is>
      </c>
      <c r="B132" s="3" t="inlineStr">
        <is>
          <t>Pricing Allowances</t>
        </is>
      </c>
      <c r="C132" s="3" t="inlineStr">
        <is>
          <t>ASM-PRICE-129</t>
        </is>
      </c>
      <c r="D132" s="3" t="inlineStr">
        <is>
          <t>Nitrogen connection at $15,000 supply + $15,000 install</t>
        </is>
      </c>
      <c r="E132" s="3" t="inlineStr"/>
      <c r="F132" s="3" t="n">
        <v>1</v>
      </c>
      <c r="G132" s="3" t="inlineStr">
        <is>
          <t>PKG-11</t>
        </is>
      </c>
      <c r="H132" s="3" t="n">
        <v>1</v>
      </c>
    </row>
    <row r="133">
      <c r="A133" s="3" t="inlineStr">
        <is>
          <t>ASM-PRICE</t>
        </is>
      </c>
      <c r="B133" s="3" t="inlineStr">
        <is>
          <t>Pricing Allowances</t>
        </is>
      </c>
      <c r="C133" s="3" t="inlineStr">
        <is>
          <t>ASM-PRICE-130</t>
        </is>
      </c>
      <c r="D133" s="3" t="inlineStr">
        <is>
          <t>Occupational Health &amp; Safety Plan Allowance</t>
        </is>
      </c>
      <c r="E133" s="3" t="inlineStr"/>
      <c r="F133" s="3" t="n">
        <v>1</v>
      </c>
      <c r="G133" s="3" t="inlineStr">
        <is>
          <t>PKG-33</t>
        </is>
      </c>
      <c r="H133" s="3" t="n">
        <v>1</v>
      </c>
    </row>
    <row r="134">
      <c r="A134" s="3" t="inlineStr">
        <is>
          <t>ASM-PRICE</t>
        </is>
      </c>
      <c r="B134" s="3" t="inlineStr">
        <is>
          <t>Pricing Allowances</t>
        </is>
      </c>
      <c r="C134" s="3" t="inlineStr">
        <is>
          <t>ASM-PRICE-131</t>
        </is>
      </c>
      <c r="D134" s="3" t="inlineStr">
        <is>
          <t>Permit Application Engineering Allowance</t>
        </is>
      </c>
      <c r="E134" s="3" t="inlineStr"/>
      <c r="F134" s="3" t="n">
        <v>1</v>
      </c>
      <c r="G134" s="3" t="inlineStr">
        <is>
          <t>PKG-32</t>
        </is>
      </c>
      <c r="H134" s="3" t="n">
        <v>1</v>
      </c>
    </row>
    <row r="135">
      <c r="A135" s="3" t="inlineStr">
        <is>
          <t>ASM-PRICE</t>
        </is>
      </c>
      <c r="B135" s="3" t="inlineStr">
        <is>
          <t>Pricing Allowances</t>
        </is>
      </c>
      <c r="C135" s="3" t="inlineStr">
        <is>
          <t>ASM-PRICE-132</t>
        </is>
      </c>
      <c r="D135" s="3" t="inlineStr">
        <is>
          <t>Permit Fees Allowance</t>
        </is>
      </c>
      <c r="E135" s="3" t="inlineStr"/>
      <c r="F135" s="3" t="n">
        <v>1</v>
      </c>
      <c r="G135" s="3" t="inlineStr">
        <is>
          <t>PKG-32</t>
        </is>
      </c>
      <c r="H135" s="3" t="n">
        <v>1</v>
      </c>
    </row>
    <row r="136">
      <c r="A136" s="3" t="inlineStr">
        <is>
          <t>ASM-PRICE</t>
        </is>
      </c>
      <c r="B136" s="3" t="inlineStr">
        <is>
          <t>Pricing Allowances</t>
        </is>
      </c>
      <c r="C136" s="3" t="inlineStr">
        <is>
          <t>ASM-PRICE-133</t>
        </is>
      </c>
      <c r="D136" s="3" t="inlineStr">
        <is>
          <t>Permit Receipt and Tracking PM Allowance</t>
        </is>
      </c>
      <c r="E136" s="3" t="inlineStr"/>
      <c r="F136" s="3" t="n">
        <v>1</v>
      </c>
      <c r="G136" s="3" t="inlineStr">
        <is>
          <t>PKG-32</t>
        </is>
      </c>
      <c r="H136" s="3" t="n">
        <v>1</v>
      </c>
    </row>
    <row r="137">
      <c r="A137" s="3" t="inlineStr">
        <is>
          <t>ASM-PRICE</t>
        </is>
      </c>
      <c r="B137" s="3" t="inlineStr">
        <is>
          <t>Pricing Allowances</t>
        </is>
      </c>
      <c r="C137" s="3" t="inlineStr">
        <is>
          <t>ASM-PRICE-134</t>
        </is>
      </c>
      <c r="D137" s="3" t="inlineStr">
        <is>
          <t>Post-works road survey, deficiency identification, and closeout estimated at $18...</t>
        </is>
      </c>
      <c r="E137" s="3" t="inlineStr"/>
      <c r="F137" s="3" t="n">
        <v>1</v>
      </c>
      <c r="G137" s="3" t="inlineStr">
        <is>
          <t>PKG-00</t>
        </is>
      </c>
      <c r="H137" s="3" t="n">
        <v>1</v>
      </c>
    </row>
    <row r="138">
      <c r="A138" s="3" t="inlineStr">
        <is>
          <t>ASM-PRICE</t>
        </is>
      </c>
      <c r="B138" s="3" t="inlineStr">
        <is>
          <t>Pricing Allowances</t>
        </is>
      </c>
      <c r="C138" s="3" t="inlineStr">
        <is>
          <t>ASM-PRICE-135</t>
        </is>
      </c>
      <c r="D138" s="3" t="inlineStr">
        <is>
          <t>Pre-works road survey and photo documentation estimated at $15,000 CAD allowance...</t>
        </is>
      </c>
      <c r="E138" s="3" t="inlineStr"/>
      <c r="F138" s="3" t="n">
        <v>1</v>
      </c>
      <c r="G138" s="3" t="inlineStr">
        <is>
          <t>PKG-00</t>
        </is>
      </c>
      <c r="H138" s="3" t="n">
        <v>1</v>
      </c>
    </row>
    <row r="139">
      <c r="A139" s="3" t="inlineStr">
        <is>
          <t>ASM-PRICE</t>
        </is>
      </c>
      <c r="B139" s="3" t="inlineStr">
        <is>
          <t>Pricing Allowances</t>
        </is>
      </c>
      <c r="C139" s="3" t="inlineStr">
        <is>
          <t>ASM-PRICE-136</t>
        </is>
      </c>
      <c r="D139" s="3" t="inlineStr">
        <is>
          <t>Printing &amp; Binding Costs - Drawings</t>
        </is>
      </c>
      <c r="E139" s="3" t="inlineStr"/>
      <c r="F139" s="3" t="n">
        <v>1</v>
      </c>
      <c r="G139" s="3" t="inlineStr">
        <is>
          <t>PKG-31</t>
        </is>
      </c>
      <c r="H139" s="3" t="n">
        <v>1</v>
      </c>
    </row>
    <row r="140">
      <c r="A140" s="3" t="inlineStr">
        <is>
          <t>ASM-PRICE</t>
        </is>
      </c>
      <c r="B140" s="3" t="inlineStr">
        <is>
          <t>Pricing Allowances</t>
        </is>
      </c>
      <c r="C140" s="3" t="inlineStr">
        <is>
          <t>ASM-PRICE-137</t>
        </is>
      </c>
      <c r="D140" s="3" t="inlineStr">
        <is>
          <t>Printing &amp; Binding Costs - Manuals</t>
        </is>
      </c>
      <c r="E140" s="3" t="inlineStr"/>
      <c r="F140" s="3" t="n">
        <v>1</v>
      </c>
      <c r="G140" s="3" t="inlineStr">
        <is>
          <t>PKG-31</t>
        </is>
      </c>
      <c r="H140" s="3" t="n">
        <v>1</v>
      </c>
    </row>
    <row r="141">
      <c r="A141" s="3" t="inlineStr">
        <is>
          <t>ASM-PRICE</t>
        </is>
      </c>
      <c r="B141" s="3" t="inlineStr">
        <is>
          <t>Pricing Allowances</t>
        </is>
      </c>
      <c r="C141" s="3" t="inlineStr">
        <is>
          <t>ASM-PRICE-138</t>
        </is>
      </c>
      <c r="D141" s="3" t="inlineStr">
        <is>
          <t>Procurement Services Parametric Allowance</t>
        </is>
      </c>
      <c r="E141" s="3" t="inlineStr"/>
      <c r="F141" s="3" t="n">
        <v>1</v>
      </c>
      <c r="G141" s="3" t="inlineStr">
        <is>
          <t>PKG-32</t>
        </is>
      </c>
      <c r="H141" s="3" t="n">
        <v>1</v>
      </c>
    </row>
    <row r="142">
      <c r="A142" s="3" t="inlineStr">
        <is>
          <t>ASM-PRICE</t>
        </is>
      </c>
      <c r="B142" s="3" t="inlineStr">
        <is>
          <t>Pricing Allowances</t>
        </is>
      </c>
      <c r="C142" s="3" t="inlineStr">
        <is>
          <t>ASM-PRICE-139</t>
        </is>
      </c>
      <c r="D142" s="3" t="inlineStr">
        <is>
          <t>Procurement services estimated at 2% of equipment cost ($850,000 × 2% = $17,000)...</t>
        </is>
      </c>
      <c r="E142" s="3" t="inlineStr"/>
      <c r="F142" s="3" t="n">
        <v>1</v>
      </c>
      <c r="G142" s="3" t="inlineStr">
        <is>
          <t>PKG-15</t>
        </is>
      </c>
      <c r="H142" s="3" t="n">
        <v>1</v>
      </c>
    </row>
    <row r="143">
      <c r="A143" s="3" t="inlineStr">
        <is>
          <t>ASM-PRICE</t>
        </is>
      </c>
      <c r="B143" s="3" t="inlineStr">
        <is>
          <t>Pricing Allowances</t>
        </is>
      </c>
      <c r="C143" s="3" t="inlineStr">
        <is>
          <t>ASM-PRICE-140</t>
        </is>
      </c>
      <c r="D143" s="3" t="inlineStr">
        <is>
          <t>Project Management Parametric Allowance</t>
        </is>
      </c>
      <c r="E143" s="3" t="inlineStr"/>
      <c r="F143" s="3" t="n">
        <v>1</v>
      </c>
      <c r="G143" s="3" t="inlineStr">
        <is>
          <t>PKG-32</t>
        </is>
      </c>
      <c r="H143" s="3" t="n">
        <v>1</v>
      </c>
    </row>
    <row r="144">
      <c r="A144" s="3" t="inlineStr">
        <is>
          <t>ASM-PRICE</t>
        </is>
      </c>
      <c r="B144" s="3" t="inlineStr">
        <is>
          <t>Pricing Allowances</t>
        </is>
      </c>
      <c r="C144" s="3" t="inlineStr">
        <is>
          <t>ASM-PRICE-141</t>
        </is>
      </c>
      <c r="D144" s="3" t="inlineStr">
        <is>
          <t>Pump couplings and fabricated baseplates estimated at 12% of pump cost.</t>
        </is>
      </c>
      <c r="E144" s="3" t="inlineStr"/>
      <c r="F144" s="3" t="n">
        <v>1</v>
      </c>
      <c r="G144" s="3" t="inlineStr">
        <is>
          <t>PKG-15</t>
        </is>
      </c>
      <c r="H144" s="3" t="n">
        <v>1</v>
      </c>
    </row>
    <row r="145">
      <c r="A145" s="3" t="inlineStr">
        <is>
          <t>ASM-PRICE</t>
        </is>
      </c>
      <c r="B145" s="3" t="inlineStr">
        <is>
          <t>Pricing Allowances</t>
        </is>
      </c>
      <c r="C145" s="3" t="inlineStr">
        <is>
          <t>ASM-PRICE-142</t>
        </is>
      </c>
      <c r="D145" s="3" t="inlineStr">
        <is>
          <t>QA/QC inspection and envelope testing at $18,000</t>
        </is>
      </c>
      <c r="E145" s="3" t="inlineStr"/>
      <c r="F145" s="3" t="n">
        <v>1</v>
      </c>
      <c r="G145" s="3" t="inlineStr">
        <is>
          <t>PKG-21</t>
        </is>
      </c>
      <c r="H145" s="3" t="n">
        <v>1</v>
      </c>
    </row>
    <row r="146">
      <c r="A146" s="3" t="inlineStr">
        <is>
          <t>ASM-PRICE</t>
        </is>
      </c>
      <c r="B146" s="3" t="inlineStr">
        <is>
          <t>Pricing Allowances</t>
        </is>
      </c>
      <c r="C146" s="3" t="inlineStr">
        <is>
          <t>ASM-PRICE-143</t>
        </is>
      </c>
      <c r="D146" s="3" t="inlineStr">
        <is>
          <t>Regulatory/Environmental Consultant Support Allowance</t>
        </is>
      </c>
      <c r="E146" s="3" t="inlineStr"/>
      <c r="F146" s="3" t="n">
        <v>1</v>
      </c>
      <c r="G146" s="3" t="inlineStr">
        <is>
          <t>PKG-32</t>
        </is>
      </c>
      <c r="H146" s="3" t="n">
        <v>1</v>
      </c>
    </row>
    <row r="147">
      <c r="A147" s="3" t="inlineStr">
        <is>
          <t>ASM-PRICE</t>
        </is>
      </c>
      <c r="B147" s="3" t="inlineStr">
        <is>
          <t>Pricing Allowances</t>
        </is>
      </c>
      <c r="C147" s="3" t="inlineStr">
        <is>
          <t>ASM-PRICE-144</t>
        </is>
      </c>
      <c r="D147" s="3" t="inlineStr">
        <is>
          <t>Relief valve set pressure testing performed at **vendor FAT** (included in valve...</t>
        </is>
      </c>
      <c r="E147" s="3" t="inlineStr"/>
      <c r="F147" s="3" t="n">
        <v>1</v>
      </c>
      <c r="G147" s="3" t="inlineStr">
        <is>
          <t>PKG-16</t>
        </is>
      </c>
      <c r="H147" s="3" t="n">
        <v>1</v>
      </c>
    </row>
    <row r="148">
      <c r="A148" s="3" t="inlineStr">
        <is>
          <t>ASM-PRICE</t>
        </is>
      </c>
      <c r="B148" s="3" t="inlineStr">
        <is>
          <t>Pricing Allowances</t>
        </is>
      </c>
      <c r="C148" s="3" t="inlineStr">
        <is>
          <t>ASM-PRICE-145</t>
        </is>
      </c>
      <c r="D148" s="3" t="inlineStr">
        <is>
          <t>Risk Assessments Allowance</t>
        </is>
      </c>
      <c r="E148" s="3" t="inlineStr"/>
      <c r="F148" s="3" t="n">
        <v>1</v>
      </c>
      <c r="G148" s="3" t="inlineStr">
        <is>
          <t>PKG-33</t>
        </is>
      </c>
      <c r="H148" s="3" t="n">
        <v>1</v>
      </c>
    </row>
    <row r="149">
      <c r="A149" s="3" t="inlineStr">
        <is>
          <t>ASM-PRICE</t>
        </is>
      </c>
      <c r="B149" s="3" t="inlineStr">
        <is>
          <t>Pricing Allowances</t>
        </is>
      </c>
      <c r="C149" s="3" t="inlineStr">
        <is>
          <t>ASM-PRICE-146</t>
        </is>
      </c>
      <c r="D149" s="3" t="inlineStr">
        <is>
          <t>Road access and security process documents (3 plans) estimated at $8,000 CAD all...</t>
        </is>
      </c>
      <c r="E149" s="3" t="inlineStr"/>
      <c r="F149" s="3" t="n">
        <v>1</v>
      </c>
      <c r="G149" s="3" t="inlineStr">
        <is>
          <t>PKG-00</t>
        </is>
      </c>
      <c r="H149" s="3" t="n">
        <v>1</v>
      </c>
    </row>
    <row r="150">
      <c r="A150" s="3" t="inlineStr">
        <is>
          <t>ASM-PRICE</t>
        </is>
      </c>
      <c r="B150" s="3" t="inlineStr">
        <is>
          <t>Pricing Allowances</t>
        </is>
      </c>
      <c r="C150" s="3" t="inlineStr">
        <is>
          <t>ASM-PRICE-147</t>
        </is>
      </c>
      <c r="D150" s="3" t="inlineStr">
        <is>
          <t>Road deficiency remediation and restoration work estimated at $25,000 CAD allowa...</t>
        </is>
      </c>
      <c r="E150" s="3" t="inlineStr"/>
      <c r="F150" s="3" t="n">
        <v>1</v>
      </c>
      <c r="G150" s="3" t="inlineStr">
        <is>
          <t>PKG-00</t>
        </is>
      </c>
      <c r="H150" s="3" t="n">
        <v>1</v>
      </c>
    </row>
    <row r="151">
      <c r="A151" s="3" t="inlineStr">
        <is>
          <t>ASM-PRICE</t>
        </is>
      </c>
      <c r="B151" s="3" t="inlineStr">
        <is>
          <t>Pricing Allowances</t>
        </is>
      </c>
      <c r="C151" s="3" t="inlineStr">
        <is>
          <t>ASM-PRICE-148</t>
        </is>
      </c>
      <c r="D151" s="3" t="inlineStr">
        <is>
          <t>SPPP Compliance Monitoring Allowance</t>
        </is>
      </c>
      <c r="E151" s="3" t="inlineStr"/>
      <c r="F151" s="3" t="n">
        <v>1</v>
      </c>
      <c r="G151" s="3" t="inlineStr">
        <is>
          <t>PKG-33</t>
        </is>
      </c>
      <c r="H151" s="3" t="n">
        <v>1</v>
      </c>
    </row>
    <row r="152">
      <c r="A152" s="3" t="inlineStr">
        <is>
          <t>ASM-PRICE</t>
        </is>
      </c>
      <c r="B152" s="3" t="inlineStr">
        <is>
          <t>Pricing Allowances</t>
        </is>
      </c>
      <c r="C152" s="3" t="inlineStr">
        <is>
          <t>ASM-PRICE-149</t>
        </is>
      </c>
      <c r="D152" s="3" t="inlineStr">
        <is>
          <t>Salt Tent Dismantling Allowance</t>
        </is>
      </c>
      <c r="E152" s="3" t="inlineStr"/>
      <c r="F152" s="3" t="n">
        <v>1</v>
      </c>
      <c r="G152" s="3" t="inlineStr">
        <is>
          <t>PKG-01</t>
        </is>
      </c>
      <c r="H152" s="3" t="n">
        <v>1</v>
      </c>
    </row>
    <row r="153">
      <c r="A153" s="3" t="inlineStr">
        <is>
          <t>ASM-PRICE</t>
        </is>
      </c>
      <c r="B153" s="3" t="inlineStr">
        <is>
          <t>Pricing Allowances</t>
        </is>
      </c>
      <c r="C153" s="3" t="inlineStr">
        <is>
          <t>ASM-PRICE-150</t>
        </is>
      </c>
      <c r="D153" s="3" t="inlineStr">
        <is>
          <t>Security gate hardware, access control system, and installation estimated at $75...</t>
        </is>
      </c>
      <c r="E153" s="3" t="inlineStr"/>
      <c r="F153" s="3" t="n">
        <v>1</v>
      </c>
      <c r="G153" s="3" t="inlineStr">
        <is>
          <t>PKG-00</t>
        </is>
      </c>
      <c r="H153" s="3" t="n">
        <v>1</v>
      </c>
    </row>
    <row r="154">
      <c r="A154" s="3" t="inlineStr">
        <is>
          <t>ASM-PRICE</t>
        </is>
      </c>
      <c r="B154" s="3" t="inlineStr">
        <is>
          <t>Pricing Allowances</t>
        </is>
      </c>
      <c r="C154" s="3" t="inlineStr">
        <is>
          <t>ASM-PRICE-151</t>
        </is>
      </c>
      <c r="D154" s="3" t="inlineStr">
        <is>
          <t>Security gate staffing during construction estimated at $180,000 CAD allowance.</t>
        </is>
      </c>
      <c r="E154" s="3" t="inlineStr"/>
      <c r="F154" s="3" t="n">
        <v>1</v>
      </c>
      <c r="G154" s="3" t="inlineStr">
        <is>
          <t>PKG-00</t>
        </is>
      </c>
      <c r="H154" s="3" t="n">
        <v>1</v>
      </c>
    </row>
    <row r="155">
      <c r="A155" s="3" t="inlineStr">
        <is>
          <t>ASM-PRICE</t>
        </is>
      </c>
      <c r="B155" s="3" t="inlineStr">
        <is>
          <t>Pricing Allowances</t>
        </is>
      </c>
      <c r="C155" s="3" t="inlineStr">
        <is>
          <t>ASM-PRICE-152</t>
        </is>
      </c>
      <c r="D155" s="3" t="inlineStr">
        <is>
          <t>Site Clearance QA/QC ($134,000)</t>
        </is>
      </c>
      <c r="E155" s="3" t="inlineStr"/>
      <c r="F155" s="3" t="n">
        <v>1</v>
      </c>
      <c r="G155" s="3" t="inlineStr">
        <is>
          <t>PKG-35</t>
        </is>
      </c>
      <c r="H155" s="3" t="n">
        <v>1</v>
      </c>
    </row>
    <row r="156">
      <c r="A156" s="3" t="inlineStr">
        <is>
          <t>ASM-PRICE</t>
        </is>
      </c>
      <c r="B156" s="3" t="inlineStr">
        <is>
          <t>Pricing Allowances</t>
        </is>
      </c>
      <c r="C156" s="3" t="inlineStr">
        <is>
          <t>ASM-PRICE-153</t>
        </is>
      </c>
      <c r="D156" s="3" t="inlineStr">
        <is>
          <t>Site Reinstatement Allowance ($350,000)</t>
        </is>
      </c>
      <c r="E156" s="3" t="inlineStr"/>
      <c r="F156" s="3" t="n">
        <v>1</v>
      </c>
      <c r="G156" s="3" t="inlineStr">
        <is>
          <t>PKG-35</t>
        </is>
      </c>
      <c r="H156" s="3" t="n">
        <v>1</v>
      </c>
    </row>
    <row r="157">
      <c r="A157" s="3" t="inlineStr">
        <is>
          <t>ASM-PRICE</t>
        </is>
      </c>
      <c r="B157" s="3" t="inlineStr">
        <is>
          <t>Pricing Allowances</t>
        </is>
      </c>
      <c r="C157" s="3" t="inlineStr">
        <is>
          <t>ASM-PRICE-154</t>
        </is>
      </c>
      <c r="D157" s="3" t="inlineStr">
        <is>
          <t>Site establishment procedures (3 procedures) estimated at $9,000 CAD allowance.</t>
        </is>
      </c>
      <c r="E157" s="3" t="inlineStr"/>
      <c r="F157" s="3" t="n">
        <v>1</v>
      </c>
      <c r="G157" s="3" t="inlineStr">
        <is>
          <t>PKG-00</t>
        </is>
      </c>
      <c r="H157" s="3" t="n">
        <v>1</v>
      </c>
    </row>
    <row r="158">
      <c r="A158" s="3" t="inlineStr">
        <is>
          <t>ASM-PRICE</t>
        </is>
      </c>
      <c r="B158" s="3" t="inlineStr">
        <is>
          <t>Pricing Allowances</t>
        </is>
      </c>
      <c r="C158" s="3" t="inlineStr">
        <is>
          <t>ASM-PRICE-155</t>
        </is>
      </c>
      <c r="D158" s="3" t="inlineStr">
        <is>
          <t>Software development effort: $120,000 (PLC logic $80k + HMI $30k + historian $10...</t>
        </is>
      </c>
      <c r="E158" s="3" t="inlineStr"/>
      <c r="F158" s="3" t="n">
        <v>1</v>
      </c>
      <c r="G158" s="3" t="inlineStr">
        <is>
          <t>PKG-19</t>
        </is>
      </c>
      <c r="H158" s="3" t="n">
        <v>1</v>
      </c>
    </row>
    <row r="159">
      <c r="A159" s="3" t="inlineStr">
        <is>
          <t>ASM-PRICE</t>
        </is>
      </c>
      <c r="B159" s="3" t="inlineStr">
        <is>
          <t>Pricing Allowances</t>
        </is>
      </c>
      <c r="C159" s="3" t="inlineStr">
        <is>
          <t>ASM-PRICE-156</t>
        </is>
      </c>
      <c r="D159" s="3" t="inlineStr">
        <is>
          <t>Sump pump package at $25,000 supply for 5 HP submersible</t>
        </is>
      </c>
      <c r="E159" s="3" t="inlineStr"/>
      <c r="F159" s="3" t="n">
        <v>1</v>
      </c>
      <c r="G159" s="3" t="inlineStr">
        <is>
          <t>PKG-11</t>
        </is>
      </c>
      <c r="H159" s="3" t="n">
        <v>1</v>
      </c>
    </row>
    <row r="160">
      <c r="A160" s="3" t="inlineStr">
        <is>
          <t>ASM-PRICE</t>
        </is>
      </c>
      <c r="B160" s="3" t="inlineStr">
        <is>
          <t>Pricing Allowances</t>
        </is>
      </c>
      <c r="C160" s="3" t="inlineStr">
        <is>
          <t>ASM-PRICE-157</t>
        </is>
      </c>
      <c r="D160" s="3" t="inlineStr">
        <is>
          <t>Temporary facilities, laydown areas, utilities, fencing, and site infrastructure...</t>
        </is>
      </c>
      <c r="E160" s="3" t="inlineStr"/>
      <c r="F160" s="3" t="n">
        <v>1</v>
      </c>
      <c r="G160" s="3" t="inlineStr">
        <is>
          <t>PKG-00</t>
        </is>
      </c>
      <c r="H160" s="3" t="n">
        <v>1</v>
      </c>
    </row>
    <row r="161">
      <c r="A161" s="3" t="inlineStr">
        <is>
          <t>ASM-PRICE</t>
        </is>
      </c>
      <c r="B161" s="3" t="inlineStr">
        <is>
          <t>Pricing Allowances</t>
        </is>
      </c>
      <c r="C161" s="3" t="inlineStr">
        <is>
          <t>ASM-PRICE-158</t>
        </is>
      </c>
      <c r="D161" s="3" t="inlineStr">
        <is>
          <t>Temporary water supply pipe, backflow preventer, connections, and installation e...</t>
        </is>
      </c>
      <c r="E161" s="3" t="inlineStr"/>
      <c r="F161" s="3" t="n">
        <v>1</v>
      </c>
      <c r="G161" s="3" t="inlineStr">
        <is>
          <t>PKG-00</t>
        </is>
      </c>
      <c r="H161" s="3" t="n">
        <v>1</v>
      </c>
    </row>
    <row r="162">
      <c r="A162" s="3" t="inlineStr">
        <is>
          <t>ASM-PRICE</t>
        </is>
      </c>
      <c r="B162" s="3" t="inlineStr">
        <is>
          <t>Pricing Allowances</t>
        </is>
      </c>
      <c r="C162" s="3" t="inlineStr">
        <is>
          <t>ASM-PRICE-159</t>
        </is>
      </c>
      <c r="D162" s="3" t="inlineStr">
        <is>
          <t>Track 6 Rail Demolition Allowance</t>
        </is>
      </c>
      <c r="E162" s="3" t="inlineStr"/>
      <c r="F162" s="3" t="n">
        <v>1</v>
      </c>
      <c r="G162" s="3" t="inlineStr">
        <is>
          <t>PKG-01</t>
        </is>
      </c>
      <c r="H162" s="3" t="n">
        <v>1</v>
      </c>
    </row>
    <row r="163">
      <c r="A163" s="3" t="inlineStr">
        <is>
          <t>ASM-PRICE</t>
        </is>
      </c>
      <c r="B163" s="3" t="inlineStr">
        <is>
          <t>Pricing Allowances</t>
        </is>
      </c>
      <c r="C163" s="3" t="inlineStr">
        <is>
          <t>ASM-PRICE-160</t>
        </is>
      </c>
      <c r="D163" s="3" t="inlineStr">
        <is>
          <t>Training Delivery Allowance ($395,000)</t>
        </is>
      </c>
      <c r="E163" s="3" t="inlineStr"/>
      <c r="F163" s="3" t="n">
        <v>1</v>
      </c>
      <c r="G163" s="3" t="inlineStr">
        <is>
          <t>PKG-35</t>
        </is>
      </c>
      <c r="H163" s="3" t="n">
        <v>1</v>
      </c>
    </row>
    <row r="164">
      <c r="A164" s="3" t="inlineStr">
        <is>
          <t>ASM-PRICE</t>
        </is>
      </c>
      <c r="B164" s="3" t="inlineStr">
        <is>
          <t>Pricing Allowances</t>
        </is>
      </c>
      <c r="C164" s="3" t="inlineStr">
        <is>
          <t>ASM-PRICE-161</t>
        </is>
      </c>
      <c r="D164" s="3" t="inlineStr">
        <is>
          <t>Training Materials Development Allowance ($285,000)</t>
        </is>
      </c>
      <c r="E164" s="3" t="inlineStr"/>
      <c r="F164" s="3" t="n">
        <v>1</v>
      </c>
      <c r="G164" s="3" t="inlineStr">
        <is>
          <t>PKG-35</t>
        </is>
      </c>
      <c r="H164" s="3" t="n">
        <v>1</v>
      </c>
    </row>
    <row r="165">
      <c r="A165" s="3" t="inlineStr">
        <is>
          <t>ASM-PRICE</t>
        </is>
      </c>
      <c r="B165" s="3" t="inlineStr">
        <is>
          <t>Pricing Allowances</t>
        </is>
      </c>
      <c r="C165" s="3" t="inlineStr">
        <is>
          <t>ASM-PRICE-162</t>
        </is>
      </c>
      <c r="D165" s="3" t="inlineStr">
        <is>
          <t>Training Records Management ($47,000)</t>
        </is>
      </c>
      <c r="E165" s="3" t="inlineStr"/>
      <c r="F165" s="3" t="n">
        <v>1</v>
      </c>
      <c r="G165" s="3" t="inlineStr">
        <is>
          <t>PKG-35</t>
        </is>
      </c>
      <c r="H165" s="3" t="n">
        <v>1</v>
      </c>
    </row>
    <row r="166">
      <c r="A166" s="3" t="inlineStr">
        <is>
          <t>ASM-PRICE</t>
        </is>
      </c>
      <c r="B166" s="3" t="inlineStr">
        <is>
          <t>Pricing Allowances</t>
        </is>
      </c>
      <c r="C166" s="3" t="inlineStr">
        <is>
          <t>ASM-PRICE-163</t>
        </is>
      </c>
      <c r="D166" s="3" t="inlineStr">
        <is>
          <t>Transport Canada Compliance Monitoring Allowance</t>
        </is>
      </c>
      <c r="E166" s="3" t="inlineStr"/>
      <c r="F166" s="3" t="n">
        <v>1</v>
      </c>
      <c r="G166" s="3" t="inlineStr">
        <is>
          <t>PKG-32</t>
        </is>
      </c>
      <c r="H166" s="3" t="n">
        <v>1</v>
      </c>
    </row>
    <row r="167">
      <c r="A167" s="3" t="inlineStr">
        <is>
          <t>ASM-PRICE</t>
        </is>
      </c>
      <c r="B167" s="3" t="inlineStr">
        <is>
          <t>Pricing Allowances</t>
        </is>
      </c>
      <c r="C167" s="3" t="inlineStr">
        <is>
          <t>ASM-PRICE-164</t>
        </is>
      </c>
      <c r="D167" s="3" t="inlineStr">
        <is>
          <t>Trestle Steel Erection Allowance</t>
        </is>
      </c>
      <c r="E167" s="3" t="inlineStr"/>
      <c r="F167" s="3" t="n">
        <v>1</v>
      </c>
      <c r="G167" s="3" t="inlineStr">
        <is>
          <t>PKG-08</t>
        </is>
      </c>
      <c r="H167" s="3" t="n">
        <v>1</v>
      </c>
    </row>
    <row r="168">
      <c r="A168" s="3" t="inlineStr">
        <is>
          <t>ASM-PRICE</t>
        </is>
      </c>
      <c r="B168" s="3" t="inlineStr">
        <is>
          <t>Pricing Allowances</t>
        </is>
      </c>
      <c r="C168" s="3" t="inlineStr">
        <is>
          <t>ASM-PRICE-165</t>
        </is>
      </c>
      <c r="D168" s="3" t="inlineStr">
        <is>
          <t>Trestle Structural Steel Supply Allowance</t>
        </is>
      </c>
      <c r="E168" s="3" t="inlineStr"/>
      <c r="F168" s="3" t="n">
        <v>1</v>
      </c>
      <c r="G168" s="3" t="inlineStr">
        <is>
          <t>PKG-08</t>
        </is>
      </c>
      <c r="H168" s="3" t="n">
        <v>1</v>
      </c>
    </row>
    <row r="169">
      <c r="A169" s="3" t="inlineStr">
        <is>
          <t>ASM-PRICE</t>
        </is>
      </c>
      <c r="B169" s="3" t="inlineStr">
        <is>
          <t>Pricing Allowances</t>
        </is>
      </c>
      <c r="C169" s="3" t="inlineStr">
        <is>
          <t>ASM-PRICE-166</t>
        </is>
      </c>
      <c r="D169" s="3" t="inlineStr">
        <is>
          <t>VFPA PER Compliance Monitoring Allowance</t>
        </is>
      </c>
      <c r="E169" s="3" t="inlineStr"/>
      <c r="F169" s="3" t="n">
        <v>1</v>
      </c>
      <c r="G169" s="3" t="inlineStr">
        <is>
          <t>PKG-32</t>
        </is>
      </c>
      <c r="H169" s="3" t="n">
        <v>1</v>
      </c>
    </row>
    <row r="170">
      <c r="A170" s="3" t="inlineStr">
        <is>
          <t>ASM-PRICE</t>
        </is>
      </c>
      <c r="B170" s="3" t="inlineStr">
        <is>
          <t>Pricing Allowances</t>
        </is>
      </c>
      <c r="C170" s="3" t="inlineStr">
        <is>
          <t>ASM-PRICE-167</t>
        </is>
      </c>
      <c r="D170" s="3" t="inlineStr">
        <is>
          <t>Valve O&amp;M manuals and documentation **included in valve supply cost** (no separa...</t>
        </is>
      </c>
      <c r="E170" s="3" t="inlineStr"/>
      <c r="F170" s="3" t="n">
        <v>1</v>
      </c>
      <c r="G170" s="3" t="inlineStr">
        <is>
          <t>PKG-16</t>
        </is>
      </c>
      <c r="H170" s="3" t="n">
        <v>1</v>
      </c>
    </row>
    <row r="171">
      <c r="A171" s="3" t="inlineStr">
        <is>
          <t>ASM-PRICE</t>
        </is>
      </c>
      <c r="B171" s="3" t="inlineStr">
        <is>
          <t>Pricing Allowances</t>
        </is>
      </c>
      <c r="C171" s="3" t="inlineStr">
        <is>
          <t>ASM-PRICE-168</t>
        </is>
      </c>
      <c r="D171" s="3" t="inlineStr">
        <is>
          <t>Valve bolting and gaskets estimated at **5% of valve cost**</t>
        </is>
      </c>
      <c r="E171" s="3" t="inlineStr"/>
      <c r="F171" s="3" t="n">
        <v>1</v>
      </c>
      <c r="G171" s="3" t="inlineStr">
        <is>
          <t>PKG-16</t>
        </is>
      </c>
      <c r="H171" s="3" t="n">
        <v>1</v>
      </c>
    </row>
    <row r="172">
      <c r="A172" s="3" t="inlineStr">
        <is>
          <t>ASM-PRICE</t>
        </is>
      </c>
      <c r="B172" s="3" t="inlineStr">
        <is>
          <t>Pricing Allowances</t>
        </is>
      </c>
      <c r="C172" s="3" t="inlineStr">
        <is>
          <t>ASM-PRICE-169</t>
        </is>
      </c>
      <c r="D172" s="3" t="inlineStr">
        <is>
          <t>Valve factory acceptance testing (FAT) **included in valve supply cost**; site a...</t>
        </is>
      </c>
      <c r="E172" s="3" t="inlineStr"/>
      <c r="F172" s="3" t="n">
        <v>1</v>
      </c>
      <c r="G172" s="3" t="inlineStr">
        <is>
          <t>PKG-16</t>
        </is>
      </c>
      <c r="H172" s="3" t="n">
        <v>1</v>
      </c>
    </row>
    <row r="173">
      <c r="A173" s="3" t="inlineStr">
        <is>
          <t>ASM-PRICE</t>
        </is>
      </c>
      <c r="B173" s="3" t="inlineStr">
        <is>
          <t>Pricing Allowances</t>
        </is>
      </c>
      <c r="C173" s="3" t="inlineStr">
        <is>
          <t>ASM-PRICE-170</t>
        </is>
      </c>
      <c r="D173" s="3" t="inlineStr">
        <is>
          <t>Valve freight estimated at **8% of valve FOB cost**</t>
        </is>
      </c>
      <c r="E173" s="3" t="inlineStr"/>
      <c r="F173" s="3" t="n">
        <v>1</v>
      </c>
      <c r="G173" s="3" t="inlineStr">
        <is>
          <t>PKG-16</t>
        </is>
      </c>
      <c r="H173" s="3" t="n">
        <v>1</v>
      </c>
    </row>
    <row r="174">
      <c r="A174" s="3" t="inlineStr">
        <is>
          <t>ASM-PRICE</t>
        </is>
      </c>
      <c r="B174" s="3" t="inlineStr">
        <is>
          <t>Pricing Allowances</t>
        </is>
      </c>
      <c r="C174" s="3" t="inlineStr">
        <is>
          <t>ASM-PRICE-171</t>
        </is>
      </c>
      <c r="D174" s="3" t="inlineStr">
        <is>
          <t>Valve installation equipment (crane, rigging, lifting gear) included in **CD ins...</t>
        </is>
      </c>
      <c r="E174" s="3" t="inlineStr"/>
      <c r="F174" s="3" t="n">
        <v>1</v>
      </c>
      <c r="G174" s="3" t="inlineStr">
        <is>
          <t>PKG-16</t>
        </is>
      </c>
      <c r="H174" s="3" t="n">
        <v>1</v>
      </c>
    </row>
    <row r="175">
      <c r="A175" s="3" t="inlineStr">
        <is>
          <t>ASM-PRICE</t>
        </is>
      </c>
      <c r="B175" s="3" t="inlineStr">
        <is>
          <t>Pricing Allowances</t>
        </is>
      </c>
      <c r="C175" s="3" t="inlineStr">
        <is>
          <t>ASM-PRICE-172</t>
        </is>
      </c>
      <c r="D175" s="3" t="inlineStr">
        <is>
          <t>Valve nameplates and tags **included** in valve supply cost (no separate allowan...</t>
        </is>
      </c>
      <c r="E175" s="3" t="inlineStr"/>
      <c r="F175" s="3" t="n">
        <v>1</v>
      </c>
      <c r="G175" s="3" t="inlineStr">
        <is>
          <t>PKG-16</t>
        </is>
      </c>
      <c r="H175" s="3" t="n">
        <v>1</v>
      </c>
    </row>
    <row r="176">
      <c r="A176" s="3" t="inlineStr">
        <is>
          <t>ASM-PRICE</t>
        </is>
      </c>
      <c r="B176" s="3" t="inlineStr">
        <is>
          <t>Pricing Allowances</t>
        </is>
      </c>
      <c r="C176" s="3" t="inlineStr">
        <is>
          <t>ASM-PRICE-173</t>
        </is>
      </c>
      <c r="D176" s="3" t="inlineStr">
        <is>
          <t>Waste Disposal and Hauling Allowance</t>
        </is>
      </c>
      <c r="E176" s="3" t="inlineStr"/>
      <c r="F176" s="3" t="n">
        <v>1</v>
      </c>
      <c r="G176" s="3" t="inlineStr">
        <is>
          <t>PKG-01</t>
        </is>
      </c>
      <c r="H176" s="3" t="n">
        <v>1</v>
      </c>
    </row>
    <row r="177">
      <c r="A177" s="3" t="inlineStr">
        <is>
          <t>ASM-PRICE</t>
        </is>
      </c>
      <c r="B177" s="3" t="inlineStr">
        <is>
          <t>Pricing Allowances</t>
        </is>
      </c>
      <c r="C177" s="3" t="inlineStr">
        <is>
          <t>ASM-PRICE-174</t>
        </is>
      </c>
      <c r="D177" s="3" t="inlineStr">
        <is>
          <t>Waste Management Records Allowance</t>
        </is>
      </c>
      <c r="E177" s="3" t="inlineStr"/>
      <c r="F177" s="3" t="n">
        <v>1</v>
      </c>
      <c r="G177" s="3" t="inlineStr">
        <is>
          <t>PKG-33</t>
        </is>
      </c>
      <c r="H177" s="3" t="n">
        <v>1</v>
      </c>
    </row>
    <row r="178">
      <c r="A178" s="3" t="inlineStr">
        <is>
          <t>ASM-PRICE</t>
        </is>
      </c>
      <c r="B178" s="3" t="inlineStr">
        <is>
          <t>Pricing Allowances</t>
        </is>
      </c>
      <c r="C178" s="3" t="inlineStr">
        <is>
          <t>ASM-PRICE-175</t>
        </is>
      </c>
      <c r="D178" s="3" t="inlineStr">
        <is>
          <t>Waterstops and joint materials for containment walls estimated at $45,000 CAD al...</t>
        </is>
      </c>
      <c r="E178" s="3" t="inlineStr"/>
      <c r="F178" s="3" t="n">
        <v>1</v>
      </c>
      <c r="G178" s="3" t="inlineStr">
        <is>
          <t>PKG-05</t>
        </is>
      </c>
      <c r="H178" s="3" t="n">
        <v>1</v>
      </c>
    </row>
    <row r="179">
      <c r="A179" s="3" t="inlineStr">
        <is>
          <t>ASM-PRICE</t>
        </is>
      </c>
      <c r="B179" s="3" t="inlineStr">
        <is>
          <t>Pricing Allowances</t>
        </is>
      </c>
      <c r="C179" s="3" t="inlineStr">
        <is>
          <t>ASM-PRICE-176</t>
        </is>
      </c>
      <c r="D179" s="3" t="inlineStr">
        <is>
          <t>Waterway Pollution Control Method Statement Allowance</t>
        </is>
      </c>
      <c r="E179" s="3" t="inlineStr"/>
      <c r="F179" s="3" t="n">
        <v>1</v>
      </c>
      <c r="G179" s="3" t="inlineStr">
        <is>
          <t>PKG-33</t>
        </is>
      </c>
      <c r="H179" s="3" t="n">
        <v>1</v>
      </c>
    </row>
    <row r="180">
      <c r="A180" s="3" t="inlineStr">
        <is>
          <t>ASM-QTY</t>
        </is>
      </c>
      <c r="B180" s="3" t="inlineStr">
        <is>
          <t>Quantity Assumptions</t>
        </is>
      </c>
      <c r="C180" s="3" t="inlineStr">
        <is>
          <t>ASM-QTY-177</t>
        </is>
      </c>
      <c r="D180" s="3" t="inlineStr">
        <is>
          <t>2,000 meters of fiber optic cable for control network backbone</t>
        </is>
      </c>
      <c r="E180" s="3" t="inlineStr"/>
      <c r="F180" s="3" t="n">
        <v>1</v>
      </c>
      <c r="G180" s="3" t="inlineStr">
        <is>
          <t>PKG-19</t>
        </is>
      </c>
      <c r="H180" s="3" t="n">
        <v>1</v>
      </c>
    </row>
    <row r="181">
      <c r="A181" s="3" t="inlineStr">
        <is>
          <t>ASM-QTY</t>
        </is>
      </c>
      <c r="B181" s="3" t="inlineStr">
        <is>
          <t>Quantity Assumptions</t>
        </is>
      </c>
      <c r="C181" s="3" t="inlineStr">
        <is>
          <t>ASM-QTY-178</t>
        </is>
      </c>
      <c r="D181" s="3" t="inlineStr">
        <is>
          <t>Actuator distribution: 60% manual, 30% pneumatic, 10% electric (by valve count)</t>
        </is>
      </c>
      <c r="E181" s="3" t="inlineStr"/>
      <c r="F181" s="3" t="n">
        <v>1</v>
      </c>
      <c r="G181" s="3" t="inlineStr">
        <is>
          <t>PKG-16</t>
        </is>
      </c>
      <c r="H181" s="3" t="n">
        <v>1</v>
      </c>
    </row>
    <row r="182">
      <c r="A182" s="3" t="inlineStr">
        <is>
          <t>ASM-QTY</t>
        </is>
      </c>
      <c r="B182" s="3" t="inlineStr">
        <is>
          <t>Quantity Assumptions</t>
        </is>
      </c>
      <c r="C182" s="3" t="inlineStr">
        <is>
          <t>ASM-QTY-179</t>
        </is>
      </c>
      <c r="D182" s="3" t="inlineStr">
        <is>
          <t>Distribution Panels Quantity</t>
        </is>
      </c>
      <c r="E182" s="3" t="inlineStr"/>
      <c r="F182" s="3" t="n">
        <v>1</v>
      </c>
      <c r="G182" s="3" t="inlineStr">
        <is>
          <t>PKG-17</t>
        </is>
      </c>
      <c r="H182" s="3" t="n">
        <v>1</v>
      </c>
    </row>
    <row r="183">
      <c r="A183" s="3" t="inlineStr">
        <is>
          <t>ASM-QTY</t>
        </is>
      </c>
      <c r="B183" s="3" t="inlineStr">
        <is>
          <t>Quantity Assumptions</t>
        </is>
      </c>
      <c r="C183" s="3" t="inlineStr">
        <is>
          <t>ASM-QTY-180</t>
        </is>
      </c>
      <c r="D183" s="3" t="inlineStr">
        <is>
          <t>Estimated I/O count: 600-800 points based on facility scope</t>
        </is>
      </c>
      <c r="E183" s="3" t="inlineStr"/>
      <c r="F183" s="3" t="n">
        <v>1</v>
      </c>
      <c r="G183" s="3" t="inlineStr">
        <is>
          <t>PKG-19</t>
        </is>
      </c>
      <c r="H183" s="3" t="n">
        <v>1</v>
      </c>
    </row>
    <row r="184">
      <c r="A184" s="3" t="inlineStr">
        <is>
          <t>ASM-QTY</t>
        </is>
      </c>
      <c r="B184" s="3" t="inlineStr">
        <is>
          <t>Quantity Assumptions</t>
        </is>
      </c>
      <c r="C184" s="3" t="inlineStr">
        <is>
          <t>ASM-QTY-181</t>
        </is>
      </c>
      <c r="D184" s="3" t="inlineStr">
        <is>
          <t>Fire Hydrant Quantity</t>
        </is>
      </c>
      <c r="E184" s="3" t="inlineStr"/>
      <c r="F184" s="3" t="n">
        <v>1</v>
      </c>
      <c r="G184" s="3" t="inlineStr">
        <is>
          <t>PKG-23</t>
        </is>
      </c>
      <c r="H184" s="3" t="n">
        <v>1</v>
      </c>
    </row>
    <row r="185">
      <c r="A185" s="3" t="inlineStr">
        <is>
          <t>ASM-QTY</t>
        </is>
      </c>
      <c r="B185" s="3" t="inlineStr">
        <is>
          <t>Quantity Assumptions</t>
        </is>
      </c>
      <c r="C185" s="3" t="inlineStr">
        <is>
          <t>ASM-QTY-182</t>
        </is>
      </c>
      <c r="D185" s="3" t="inlineStr">
        <is>
          <t>Instrument Cable Quantity</t>
        </is>
      </c>
      <c r="E185" s="3" t="inlineStr"/>
      <c r="F185" s="3" t="n">
        <v>1</v>
      </c>
      <c r="G185" s="3" t="inlineStr">
        <is>
          <t>PKG-20</t>
        </is>
      </c>
      <c r="H185" s="3" t="n">
        <v>1</v>
      </c>
    </row>
    <row r="186">
      <c r="A186" s="3" t="inlineStr">
        <is>
          <t>ASM-QTY</t>
        </is>
      </c>
      <c r="B186" s="3" t="inlineStr">
        <is>
          <t>Quantity Assumptions</t>
        </is>
      </c>
      <c r="C186" s="3" t="inlineStr">
        <is>
          <t>ASM-QTY-183</t>
        </is>
      </c>
      <c r="D186" s="3" t="inlineStr">
        <is>
          <t>Junction Box Quantity</t>
        </is>
      </c>
      <c r="E186" s="3" t="inlineStr"/>
      <c r="F186" s="3" t="n">
        <v>1</v>
      </c>
      <c r="G186" s="3" t="inlineStr">
        <is>
          <t>PKG-20</t>
        </is>
      </c>
      <c r="H186" s="3" t="n">
        <v>1</v>
      </c>
    </row>
    <row r="187">
      <c r="A187" s="3" t="inlineStr">
        <is>
          <t>ASM-QTY</t>
        </is>
      </c>
      <c r="B187" s="3" t="inlineStr">
        <is>
          <t>Quantity Assumptions</t>
        </is>
      </c>
      <c r="C187" s="3" t="inlineStr">
        <is>
          <t>ASM-QTY-184</t>
        </is>
      </c>
      <c r="D187" s="3" t="inlineStr">
        <is>
          <t>Loading arm is single-arm configuration (not dual counterweighted arms)</t>
        </is>
      </c>
      <c r="E187" s="3" t="inlineStr"/>
      <c r="F187" s="3" t="n">
        <v>1</v>
      </c>
      <c r="G187" s="3" t="inlineStr">
        <is>
          <t>PKG-11</t>
        </is>
      </c>
      <c r="H187" s="3" t="n">
        <v>1</v>
      </c>
    </row>
    <row r="188">
      <c r="A188" s="3" t="inlineStr">
        <is>
          <t>ASM-QTY</t>
        </is>
      </c>
      <c r="B188" s="3" t="inlineStr">
        <is>
          <t>Quantity Assumptions</t>
        </is>
      </c>
      <c r="C188" s="3" t="inlineStr">
        <is>
          <t>ASM-QTY-185</t>
        </is>
      </c>
      <c r="D188" s="3" t="inlineStr">
        <is>
          <t>MV/LV Transformers Quantity and Sizing</t>
        </is>
      </c>
      <c r="E188" s="3" t="inlineStr"/>
      <c r="F188" s="3" t="n">
        <v>1</v>
      </c>
      <c r="G188" s="3" t="inlineStr">
        <is>
          <t>PKG-17</t>
        </is>
      </c>
      <c r="H188" s="3" t="n">
        <v>1</v>
      </c>
    </row>
    <row r="189">
      <c r="A189" s="3" t="inlineStr">
        <is>
          <t>ASM-QTY</t>
        </is>
      </c>
      <c r="B189" s="3" t="inlineStr">
        <is>
          <t>Quantity Assumptions</t>
        </is>
      </c>
      <c r="C189" s="3" t="inlineStr">
        <is>
          <t>ASM-QTY-186</t>
        </is>
      </c>
      <c r="D189" s="3" t="inlineStr">
        <is>
          <t>Major Equipment Count</t>
        </is>
      </c>
      <c r="E189" s="3" t="inlineStr"/>
      <c r="F189" s="3" t="n">
        <v>1</v>
      </c>
      <c r="G189" s="3" t="inlineStr">
        <is>
          <t>PKG-31</t>
        </is>
      </c>
      <c r="H189" s="3" t="n">
        <v>1</v>
      </c>
    </row>
    <row r="190">
      <c r="A190" s="3" t="inlineStr">
        <is>
          <t>ASM-QTY</t>
        </is>
      </c>
      <c r="B190" s="3" t="inlineStr">
        <is>
          <t>Quantity Assumptions</t>
        </is>
      </c>
      <c r="C190" s="3" t="inlineStr">
        <is>
          <t>ASM-QTY-187</t>
        </is>
      </c>
      <c r="D190" s="3" t="inlineStr">
        <is>
          <t>Motor Control Centers Quantity and Distribution</t>
        </is>
      </c>
      <c r="E190" s="3" t="inlineStr"/>
      <c r="F190" s="3" t="n">
        <v>1</v>
      </c>
      <c r="G190" s="3" t="inlineStr">
        <is>
          <t>PKG-17</t>
        </is>
      </c>
      <c r="H190" s="3" t="n">
        <v>1</v>
      </c>
    </row>
    <row r="191">
      <c r="A191" s="3" t="inlineStr">
        <is>
          <t>ASM-QTY</t>
        </is>
      </c>
      <c r="B191" s="3" t="inlineStr">
        <is>
          <t>Quantity Assumptions</t>
        </is>
      </c>
      <c r="C191" s="3" t="inlineStr">
        <is>
          <t>ASM-QTY-188</t>
        </is>
      </c>
      <c r="D191" s="3" t="inlineStr">
        <is>
          <t>Operational Systems Count</t>
        </is>
      </c>
      <c r="E191" s="3" t="inlineStr"/>
      <c r="F191" s="3" t="n">
        <v>1</v>
      </c>
      <c r="G191" s="3" t="inlineStr">
        <is>
          <t>PKG-31</t>
        </is>
      </c>
      <c r="H191" s="3" t="n">
        <v>1</v>
      </c>
    </row>
    <row r="192">
      <c r="A192" s="3" t="inlineStr">
        <is>
          <t>ASM-QTY</t>
        </is>
      </c>
      <c r="B192" s="3" t="inlineStr">
        <is>
          <t>Quantity Assumptions</t>
        </is>
      </c>
      <c r="C192" s="3" t="inlineStr">
        <is>
          <t>ASM-QTY-189</t>
        </is>
      </c>
      <c r="D192" s="3" t="inlineStr">
        <is>
          <t>Plumbing Fixture Count and Equipment</t>
        </is>
      </c>
      <c r="E192" s="3" t="inlineStr"/>
      <c r="F192" s="3" t="n">
        <v>1</v>
      </c>
      <c r="G192" s="3" t="inlineStr">
        <is>
          <t>PKG-22</t>
        </is>
      </c>
      <c r="H192" s="3" t="n">
        <v>1</v>
      </c>
    </row>
    <row r="193">
      <c r="A193" s="3" t="inlineStr">
        <is>
          <t>ASM-QTY</t>
        </is>
      </c>
      <c r="B193" s="3" t="inlineStr">
        <is>
          <t>Quantity Assumptions</t>
        </is>
      </c>
      <c r="C193" s="3" t="inlineStr">
        <is>
          <t>ASM-QTY-190</t>
        </is>
      </c>
      <c r="D193" s="3" t="inlineStr">
        <is>
          <t>Total Drawing Count</t>
        </is>
      </c>
      <c r="E193" s="3" t="inlineStr"/>
      <c r="F193" s="3" t="n">
        <v>1</v>
      </c>
      <c r="G193" s="3" t="inlineStr">
        <is>
          <t>PKG-31</t>
        </is>
      </c>
      <c r="H193" s="3" t="n">
        <v>1</v>
      </c>
    </row>
    <row r="194">
      <c r="A194" s="3" t="inlineStr">
        <is>
          <t>ASM-QTY</t>
        </is>
      </c>
      <c r="B194" s="3" t="inlineStr">
        <is>
          <t>Quantity Assumptions</t>
        </is>
      </c>
      <c r="C194" s="3" t="inlineStr">
        <is>
          <t>ASM-QTY-191</t>
        </is>
      </c>
      <c r="D194" s="3" t="inlineStr">
        <is>
          <t>Total valve count estimated at **220 valves** (30 control, 150 isolation, 20 rel...</t>
        </is>
      </c>
      <c r="E194" s="3" t="inlineStr"/>
      <c r="F194" s="3" t="n">
        <v>1</v>
      </c>
      <c r="G194" s="3" t="inlineStr">
        <is>
          <t>PKG-16</t>
        </is>
      </c>
      <c r="H194" s="3" t="n">
        <v>1</v>
      </c>
    </row>
    <row r="195">
      <c r="A195" s="3" t="inlineStr">
        <is>
          <t>ASM-QTY</t>
        </is>
      </c>
      <c r="B195" s="3" t="inlineStr">
        <is>
          <t>Quantity Assumptions</t>
        </is>
      </c>
      <c r="C195" s="3" t="inlineStr">
        <is>
          <t>ASM-QTY-192</t>
        </is>
      </c>
      <c r="D195" s="3" t="inlineStr">
        <is>
          <t>Trenchless Crossing Count — 2-4 Crossings</t>
        </is>
      </c>
      <c r="E195" s="3" t="inlineStr"/>
      <c r="F195" s="3" t="n">
        <v>1</v>
      </c>
      <c r="G195" s="3" t="inlineStr">
        <is>
          <t>PKG-34</t>
        </is>
      </c>
      <c r="H195" s="3" t="n">
        <v>1</v>
      </c>
    </row>
    <row r="196">
      <c r="A196" s="3" t="inlineStr">
        <is>
          <t>ASM-QTY</t>
        </is>
      </c>
      <c r="B196" s="3" t="inlineStr">
        <is>
          <t>Quantity Assumptions</t>
        </is>
      </c>
      <c r="C196" s="3" t="inlineStr">
        <is>
          <t>ASM-QTY-193</t>
        </is>
      </c>
      <c r="D196" s="3" t="inlineStr">
        <is>
          <t>Valve count by type: 30 control (13%), 150 isolation (68%), 20 relief (9%), 20 s...</t>
        </is>
      </c>
      <c r="E196" s="3" t="inlineStr"/>
      <c r="F196" s="3" t="n">
        <v>1</v>
      </c>
      <c r="G196" s="3" t="inlineStr">
        <is>
          <t>PKG-16</t>
        </is>
      </c>
      <c r="H196" s="3" t="n">
        <v>1</v>
      </c>
    </row>
    <row r="197">
      <c r="A197" s="3" t="inlineStr">
        <is>
          <t>ASM-SCOPE</t>
        </is>
      </c>
      <c r="B197" s="3" t="inlineStr">
        <is>
          <t>Scope Boundaries</t>
        </is>
      </c>
      <c r="C197" s="3" t="inlineStr">
        <is>
          <t>ASM-SCOPE-194</t>
        </is>
      </c>
      <c r="D197" s="3" t="inlineStr">
        <is>
          <t>Construction Indirects Factor</t>
        </is>
      </c>
      <c r="E197" s="3" t="inlineStr">
        <is>
          <t>Construction Indirects Factor</t>
        </is>
      </c>
      <c r="F197" s="3" t="n">
        <v>3</v>
      </c>
      <c r="G197" s="3" t="inlineStr">
        <is>
          <t>PKG-14, PKG-15, PKG-16</t>
        </is>
      </c>
      <c r="H197" s="3" t="n">
        <v>3</v>
      </c>
    </row>
    <row r="198">
      <c r="A198" s="3" t="inlineStr">
        <is>
          <t>ASM-SCOPE</t>
        </is>
      </c>
      <c r="B198" s="3" t="inlineStr">
        <is>
          <t>Scope Boundaries</t>
        </is>
      </c>
      <c r="C198" s="3" t="inlineStr">
        <is>
          <t>ASM-SCOPE-195</t>
        </is>
      </c>
      <c r="D198" s="3" t="inlineStr">
        <is>
          <t>Scope Exclusions</t>
        </is>
      </c>
      <c r="E198" s="3" t="inlineStr">
        <is>
          <t>Scope Exclusions</t>
        </is>
      </c>
      <c r="F198" s="3" t="n">
        <v>1</v>
      </c>
      <c r="G198" s="3" t="inlineStr">
        <is>
          <t>PKG-16</t>
        </is>
      </c>
      <c r="H198" s="3" t="n">
        <v>2</v>
      </c>
    </row>
    <row r="199">
      <c r="A199" s="3" t="inlineStr">
        <is>
          <t>ASM-SCOPE</t>
        </is>
      </c>
      <c r="B199" s="3" t="inlineStr">
        <is>
          <t>Scope Boundaries</t>
        </is>
      </c>
      <c r="C199" s="3" t="inlineStr">
        <is>
          <t>ASM-SCOPE-196</t>
        </is>
      </c>
      <c r="D199" s="3" t="inlineStr">
        <is>
          <t>Cable Pulling and Termination Scope</t>
        </is>
      </c>
      <c r="E199" s="3" t="inlineStr"/>
      <c r="F199" s="3" t="n">
        <v>1</v>
      </c>
      <c r="G199" s="3" t="inlineStr">
        <is>
          <t>PKG-17</t>
        </is>
      </c>
      <c r="H199" s="3" t="n">
        <v>1</v>
      </c>
    </row>
    <row r="200">
      <c r="A200" s="3" t="inlineStr">
        <is>
          <t>ASM-SCOPE</t>
        </is>
      </c>
      <c r="B200" s="3" t="inlineStr">
        <is>
          <t>Scope Boundaries</t>
        </is>
      </c>
      <c r="C200" s="3" t="inlineStr">
        <is>
          <t>ASM-SCOPE-197</t>
        </is>
      </c>
      <c r="D200" s="3" t="inlineStr">
        <is>
          <t>Electrical Testing and Commissioning Support Scope</t>
        </is>
      </c>
      <c r="E200" s="3" t="inlineStr"/>
      <c r="F200" s="3" t="n">
        <v>1</v>
      </c>
      <c r="G200" s="3" t="inlineStr">
        <is>
          <t>PKG-17</t>
        </is>
      </c>
      <c r="H200" s="3" t="n">
        <v>1</v>
      </c>
    </row>
    <row r="201">
      <c r="A201" s="3" t="inlineStr">
        <is>
          <t>ASM-SCOPE</t>
        </is>
      </c>
      <c r="B201" s="3" t="inlineStr">
        <is>
          <t>Scope Boundaries</t>
        </is>
      </c>
      <c r="C201" s="3" t="inlineStr">
        <is>
          <t>ASM-SCOPE-198</t>
        </is>
      </c>
      <c r="D201" s="3" t="inlineStr">
        <is>
          <t>Fire Water Loop Piping Scope</t>
        </is>
      </c>
      <c r="E201" s="3" t="inlineStr"/>
      <c r="F201" s="3" t="n">
        <v>1</v>
      </c>
      <c r="G201" s="3" t="inlineStr">
        <is>
          <t>PKG-23</t>
        </is>
      </c>
      <c r="H201" s="3" t="n">
        <v>1</v>
      </c>
    </row>
    <row r="202">
      <c r="A202" s="3" t="inlineStr">
        <is>
          <t>ASM-SCOPE</t>
        </is>
      </c>
      <c r="B202" s="3" t="inlineStr">
        <is>
          <t>Scope Boundaries</t>
        </is>
      </c>
      <c r="C202" s="3" t="inlineStr">
        <is>
          <t>ASM-SCOPE-199</t>
        </is>
      </c>
      <c r="D202" s="3" t="inlineStr">
        <is>
          <t>Grounding System Scope</t>
        </is>
      </c>
      <c r="E202" s="3" t="inlineStr"/>
      <c r="F202" s="3" t="n">
        <v>1</v>
      </c>
      <c r="G202" s="3" t="inlineStr">
        <is>
          <t>PKG-17</t>
        </is>
      </c>
      <c r="H202" s="3" t="n">
        <v>1</v>
      </c>
    </row>
    <row r="203">
      <c r="A203" s="3" t="inlineStr">
        <is>
          <t>ASM-SCOPE</t>
        </is>
      </c>
      <c r="B203" s="3" t="inlineStr">
        <is>
          <t>Scope Boundaries</t>
        </is>
      </c>
      <c r="C203" s="3" t="inlineStr">
        <is>
          <t>ASM-SCOPE-200</t>
        </is>
      </c>
      <c r="D203" s="3" t="inlineStr">
        <is>
          <t>Lighting controls include occupancy sensing, daylight harvesting, and time sched...</t>
        </is>
      </c>
      <c r="E203" s="3" t="inlineStr"/>
      <c r="F203" s="3" t="n">
        <v>1</v>
      </c>
      <c r="G203" s="3" t="inlineStr">
        <is>
          <t>PKG-18</t>
        </is>
      </c>
      <c r="H203" s="3" t="n">
        <v>1</v>
      </c>
    </row>
    <row r="204">
      <c r="A204" s="3" t="inlineStr">
        <is>
          <t>ASM-SCOPE</t>
        </is>
      </c>
      <c r="B204" s="3" t="inlineStr">
        <is>
          <t>Scope Boundaries</t>
        </is>
      </c>
      <c r="C204" s="3" t="inlineStr">
        <is>
          <t>ASM-SCOPE-201</t>
        </is>
      </c>
      <c r="D204" s="3" t="inlineStr">
        <is>
          <t>Phase 2 connection provisions included in DEL-14.01 scope</t>
        </is>
      </c>
      <c r="E204" s="3" t="inlineStr"/>
      <c r="F204" s="3" t="n">
        <v>1</v>
      </c>
      <c r="G204" s="3" t="inlineStr">
        <is>
          <t>PKG-14</t>
        </is>
      </c>
      <c r="H204" s="3" t="n">
        <v>1</v>
      </c>
    </row>
    <row r="205">
      <c r="A205" s="3" t="inlineStr">
        <is>
          <t>ASM-SCOPE</t>
        </is>
      </c>
      <c r="B205" s="3" t="inlineStr">
        <is>
          <t>Scope Boundaries</t>
        </is>
      </c>
      <c r="C205" s="3" t="inlineStr">
        <is>
          <t>ASM-SCOPE-202</t>
        </is>
      </c>
      <c r="D205" s="3" t="inlineStr">
        <is>
          <t>Testing and Commissioning Scope</t>
        </is>
      </c>
      <c r="E205" s="3" t="inlineStr"/>
      <c r="F205" s="3" t="n">
        <v>1</v>
      </c>
      <c r="G205" s="3" t="inlineStr">
        <is>
          <t>PKG-22</t>
        </is>
      </c>
      <c r="H205" s="3" t="n">
        <v>1</v>
      </c>
    </row>
    <row r="206">
      <c r="A206" s="3" t="inlineStr">
        <is>
          <t>ASM-SCOPE</t>
        </is>
      </c>
      <c r="B206" s="3" t="inlineStr">
        <is>
          <t>Scope Boundaries</t>
        </is>
      </c>
      <c r="C206" s="3" t="inlineStr">
        <is>
          <t>ASM-SCOPE-203</t>
        </is>
      </c>
      <c r="D206" s="3" t="inlineStr">
        <is>
          <t>Valve testing (DEL-16.05) included in **COM factor** (no separate testing line)</t>
        </is>
      </c>
      <c r="E206" s="3" t="inlineStr"/>
      <c r="F206" s="3" t="n">
        <v>1</v>
      </c>
      <c r="G206" s="3" t="inlineStr">
        <is>
          <t>PKG-16</t>
        </is>
      </c>
      <c r="H206" s="3" t="n">
        <v>1</v>
      </c>
    </row>
    <row r="207">
      <c r="A207" s="3" t="inlineStr">
        <is>
          <t>ASM-TECH</t>
        </is>
      </c>
      <c r="B207" s="3" t="inlineStr">
        <is>
          <t>Technical Parameters</t>
        </is>
      </c>
      <c r="C207" s="3" t="inlineStr">
        <is>
          <t>ASM-TECH-204</t>
        </is>
      </c>
      <c r="D207" s="3" t="inlineStr">
        <is>
          <t>Material Specification</t>
        </is>
      </c>
      <c r="E207" s="3" t="inlineStr">
        <is>
          <t>Material Specification</t>
        </is>
      </c>
      <c r="F207" s="3" t="n">
        <v>4</v>
      </c>
      <c r="G207" s="3" t="inlineStr">
        <is>
          <t>PKG-11, PKG-14, PKG-16, PKG-18</t>
        </is>
      </c>
      <c r="H207" s="3" t="n">
        <v>5</v>
      </c>
    </row>
    <row r="208">
      <c r="A208" s="3" t="inlineStr">
        <is>
          <t>ASM-TECH</t>
        </is>
      </c>
      <c r="B208" s="3" t="inlineStr">
        <is>
          <t>Technical Parameters</t>
        </is>
      </c>
      <c r="C208" s="3" t="inlineStr">
        <is>
          <t>ASM-TECH-205</t>
        </is>
      </c>
      <c r="D208" s="3" t="inlineStr">
        <is>
          <t>Contingency Percentage</t>
        </is>
      </c>
      <c r="E208" s="3" t="inlineStr">
        <is>
          <t>Contingency Percentage</t>
        </is>
      </c>
      <c r="F208" s="3" t="n">
        <v>1</v>
      </c>
      <c r="G208" s="3" t="inlineStr">
        <is>
          <t>PKG-01</t>
        </is>
      </c>
      <c r="H208" s="3" t="n">
        <v>1</v>
      </c>
    </row>
    <row r="209">
      <c r="A209" s="3" t="inlineStr">
        <is>
          <t>ASM-TECH</t>
        </is>
      </c>
      <c r="B209" s="3" t="inlineStr">
        <is>
          <t>Technical Parameters</t>
        </is>
      </c>
      <c r="C209" s="3" t="inlineStr">
        <is>
          <t>ASM-TECH-206</t>
        </is>
      </c>
      <c r="D209" s="3" t="inlineStr">
        <is>
          <t>All valves comply with **API/ASME/CSA standards** (premium quality; not economy-...</t>
        </is>
      </c>
      <c r="E209" s="3" t="inlineStr"/>
      <c r="F209" s="3" t="n">
        <v>1</v>
      </c>
      <c r="G209" s="3" t="inlineStr">
        <is>
          <t>PKG-16</t>
        </is>
      </c>
      <c r="H209" s="3" t="n">
        <v>1</v>
      </c>
    </row>
    <row r="210">
      <c r="A210" s="3" t="inlineStr">
        <is>
          <t>ASM-TECH</t>
        </is>
      </c>
      <c r="B210" s="3" t="inlineStr">
        <is>
          <t>Technical Parameters</t>
        </is>
      </c>
      <c r="C210" s="3" t="inlineStr">
        <is>
          <t>ASM-TECH-207</t>
        </is>
      </c>
      <c r="D210" s="3" t="inlineStr">
        <is>
          <t>Fire Water and Fire Alarm Material Pricing</t>
        </is>
      </c>
      <c r="E210" s="3" t="inlineStr"/>
      <c r="F210" s="3" t="n">
        <v>1</v>
      </c>
      <c r="G210" s="3" t="inlineStr">
        <is>
          <t>PKG-23</t>
        </is>
      </c>
      <c r="H210" s="3" t="n">
        <v>1</v>
      </c>
    </row>
    <row r="211">
      <c r="A211" s="3" t="inlineStr">
        <is>
          <t>ASM-TECH</t>
        </is>
      </c>
      <c r="B211" s="3" t="inlineStr">
        <is>
          <t>Technical Parameters</t>
        </is>
      </c>
      <c r="C211" s="3" t="inlineStr">
        <is>
          <t>ASM-TECH-208</t>
        </is>
      </c>
      <c r="D211" s="3" t="inlineStr">
        <is>
          <t>Foam System Material Pricing</t>
        </is>
      </c>
      <c r="E211" s="3" t="inlineStr"/>
      <c r="F211" s="3" t="n">
        <v>1</v>
      </c>
      <c r="G211" s="3" t="inlineStr">
        <is>
          <t>PKG-23</t>
        </is>
      </c>
      <c r="H211" s="3" t="n">
        <v>1</v>
      </c>
    </row>
    <row r="212">
      <c r="A212" s="3" t="inlineStr">
        <is>
          <t>ASM-TECH</t>
        </is>
      </c>
      <c r="B212" s="3" t="inlineStr">
        <is>
          <t>Technical Parameters</t>
        </is>
      </c>
      <c r="C212" s="3" t="inlineStr">
        <is>
          <t>ASM-TECH-209</t>
        </is>
      </c>
      <c r="D212" s="3" t="inlineStr">
        <is>
          <t>Gaskets, bolting, small fittings at ~5% of pipe material</t>
        </is>
      </c>
      <c r="E212" s="3" t="inlineStr"/>
      <c r="F212" s="3" t="n">
        <v>1</v>
      </c>
      <c r="G212" s="3" t="inlineStr">
        <is>
          <t>PKG-14</t>
        </is>
      </c>
      <c r="H212" s="3" t="n">
        <v>1</v>
      </c>
    </row>
    <row r="213">
      <c r="A213" s="3" t="inlineStr">
        <is>
          <t>ASM-TECH</t>
        </is>
      </c>
      <c r="B213" s="3" t="inlineStr">
        <is>
          <t>Technical Parameters</t>
        </is>
      </c>
      <c r="C213" s="3" t="inlineStr">
        <is>
          <t>ASM-TECH-210</t>
        </is>
      </c>
      <c r="D213" s="3" t="inlineStr">
        <is>
          <t>HVAC System Capacity and Equipment</t>
        </is>
      </c>
      <c r="E213" s="3" t="inlineStr"/>
      <c r="F213" s="3" t="n">
        <v>1</v>
      </c>
      <c r="G213" s="3" t="inlineStr">
        <is>
          <t>PKG-22</t>
        </is>
      </c>
      <c r="H213" s="3" t="n">
        <v>1</v>
      </c>
    </row>
    <row r="214">
      <c r="A214" s="3" t="inlineStr">
        <is>
          <t>ASM-TECH</t>
        </is>
      </c>
      <c r="B214" s="3" t="inlineStr">
        <is>
          <t>Technical Parameters</t>
        </is>
      </c>
      <c r="C214" s="3" t="inlineStr">
        <is>
          <t>ASM-TECH-211</t>
        </is>
      </c>
      <c r="D214" s="3" t="inlineStr">
        <is>
          <t>Instrument Environment Rating</t>
        </is>
      </c>
      <c r="E214" s="3" t="inlineStr"/>
      <c r="F214" s="3" t="n">
        <v>1</v>
      </c>
      <c r="G214" s="3" t="inlineStr">
        <is>
          <t>PKG-20</t>
        </is>
      </c>
      <c r="H214" s="3" t="n">
        <v>1</v>
      </c>
    </row>
    <row r="215">
      <c r="A215" s="3" t="inlineStr">
        <is>
          <t>ASM-TECH</t>
        </is>
      </c>
      <c r="B215" s="3" t="inlineStr">
        <is>
          <t>Technical Parameters</t>
        </is>
      </c>
      <c r="C215" s="3" t="inlineStr">
        <is>
          <t>ASM-TECH-212</t>
        </is>
      </c>
      <c r="D215" s="3" t="inlineStr">
        <is>
          <t>Interior process/warehouse area fixtures require IP54+ rating for dust and moist...</t>
        </is>
      </c>
      <c r="E215" s="3" t="inlineStr"/>
      <c r="F215" s="3" t="n">
        <v>1</v>
      </c>
      <c r="G215" s="3" t="inlineStr">
        <is>
          <t>PKG-18</t>
        </is>
      </c>
      <c r="H215" s="3" t="n">
        <v>1</v>
      </c>
    </row>
    <row r="216">
      <c r="A216" s="3" t="inlineStr">
        <is>
          <t>ASM-TECH</t>
        </is>
      </c>
      <c r="B216" s="3" t="inlineStr">
        <is>
          <t>Technical Parameters</t>
        </is>
      </c>
      <c r="C216" s="3" t="inlineStr">
        <is>
          <t>ASM-TECH-213</t>
        </is>
      </c>
      <c r="D216" s="3" t="inlineStr">
        <is>
          <t>Plumbing Piping Materials and Routing</t>
        </is>
      </c>
      <c r="E216" s="3" t="inlineStr"/>
      <c r="F216" s="3" t="n">
        <v>1</v>
      </c>
      <c r="G216" s="3" t="inlineStr">
        <is>
          <t>PKG-22</t>
        </is>
      </c>
      <c r="H216" s="3" t="n">
        <v>1</v>
      </c>
    </row>
    <row r="217">
      <c r="A217" s="3" t="inlineStr">
        <is>
          <t>ASM-TECH</t>
        </is>
      </c>
      <c r="B217" s="3" t="inlineStr">
        <is>
          <t>Technical Parameters</t>
        </is>
      </c>
      <c r="C217" s="3" t="inlineStr">
        <is>
          <t>ASM-TECH-214</t>
        </is>
      </c>
      <c r="D217" s="3" t="inlineStr">
        <is>
          <t>Structural Steel Material Supply (Fabricated Tonnage)</t>
        </is>
      </c>
      <c r="E217" s="3" t="inlineStr"/>
      <c r="F217" s="3" t="n">
        <v>1</v>
      </c>
      <c r="G217" s="3" t="inlineStr">
        <is>
          <t>PKG-06</t>
        </is>
      </c>
      <c r="H217" s="3" t="n">
        <v>1</v>
      </c>
    </row>
    <row r="218">
      <c r="A218" s="3" t="inlineStr">
        <is>
          <t>ASM-TECH</t>
        </is>
      </c>
      <c r="B218" s="3" t="inlineStr">
        <is>
          <t>Technical Parameters</t>
        </is>
      </c>
      <c r="C218" s="3" t="inlineStr">
        <is>
          <t>ASM-TECH-215</t>
        </is>
      </c>
      <c r="D218" s="3" t="inlineStr">
        <is>
          <t>Valve materials and coatings suitable for **C4/C5-M corrosion category** (coasta...</t>
        </is>
      </c>
      <c r="E218" s="3" t="inlineStr"/>
      <c r="F218" s="3" t="n">
        <v>1</v>
      </c>
      <c r="G218" s="3" t="inlineStr">
        <is>
          <t>PKG-16</t>
        </is>
      </c>
      <c r="H218" s="3" t="n">
        <v>1</v>
      </c>
    </row>
    <row r="219">
      <c r="A219" s="3" t="inlineStr">
        <is>
          <t>UNCATEGORIZED</t>
        </is>
      </c>
      <c r="B219" s="3" t="inlineStr">
        <is>
          <t>Uncategorized</t>
        </is>
      </c>
      <c r="C219" s="3" t="inlineStr">
        <is>
          <t>UNCATEGORIZED-216</t>
        </is>
      </c>
      <c r="D219" s="3" t="inlineStr">
        <is>
          <t>Weather/Season Impact</t>
        </is>
      </c>
      <c r="E219" s="3" t="inlineStr">
        <is>
          <t>Weather/Season Impact</t>
        </is>
      </c>
      <c r="F219" s="3" t="n">
        <v>2</v>
      </c>
      <c r="G219" s="3" t="inlineStr">
        <is>
          <t>PKG-10, PKG-11</t>
        </is>
      </c>
      <c r="H219" s="3" t="n">
        <v>2</v>
      </c>
    </row>
    <row r="220">
      <c r="A220" s="3" t="inlineStr">
        <is>
          <t>UNCATEGORIZED</t>
        </is>
      </c>
      <c r="B220" s="3" t="inlineStr">
        <is>
          <t>Uncategorized</t>
        </is>
      </c>
      <c r="C220" s="3" t="inlineStr">
        <is>
          <t>UNCATEGORIZED-217</t>
        </is>
      </c>
      <c r="D220" s="3" t="inlineStr">
        <is>
          <t>40-50 I/O modules to support 600-800 I/O points</t>
        </is>
      </c>
      <c r="E220" s="3" t="inlineStr"/>
      <c r="F220" s="3" t="n">
        <v>1</v>
      </c>
      <c r="G220" s="3" t="inlineStr">
        <is>
          <t>PKG-19</t>
        </is>
      </c>
      <c r="H220" s="3" t="n">
        <v>1</v>
      </c>
    </row>
    <row r="221">
      <c r="A221" s="3" t="inlineStr">
        <is>
          <t>UNCATEGORIZED</t>
        </is>
      </c>
      <c r="B221" s="3" t="inlineStr">
        <is>
          <t>Uncategorized</t>
        </is>
      </c>
      <c r="C221" s="3" t="inlineStr">
        <is>
          <t>UNCATEGORIZED-218</t>
        </is>
      </c>
      <c r="D221" s="3" t="inlineStr">
        <is>
          <t>6-8 control cabinets (main panels + field junction boxes)</t>
        </is>
      </c>
      <c r="E221" s="3" t="inlineStr"/>
      <c r="F221" s="3" t="n">
        <v>1</v>
      </c>
      <c r="G221" s="3" t="inlineStr">
        <is>
          <t>PKG-19</t>
        </is>
      </c>
      <c r="H221" s="3" t="n">
        <v>1</v>
      </c>
    </row>
    <row r="222">
      <c r="A222" s="3" t="inlineStr">
        <is>
          <t>UNCATEGORIZED</t>
        </is>
      </c>
      <c r="B222" s="3" t="inlineStr">
        <is>
          <t>Uncategorized</t>
        </is>
      </c>
      <c r="C222" s="3" t="inlineStr">
        <is>
          <t>UNCATEGORIZED-219</t>
        </is>
      </c>
      <c r="D222" s="3" t="inlineStr">
        <is>
          <t>8 sump pumps for grouped containment drainage (4 pumps per zone × 2 zones).</t>
        </is>
      </c>
      <c r="E222" s="3" t="inlineStr"/>
      <c r="F222" s="3" t="n">
        <v>1</v>
      </c>
      <c r="G222" s="3" t="inlineStr">
        <is>
          <t>PKG-10</t>
        </is>
      </c>
      <c r="H222" s="3" t="n">
        <v>1</v>
      </c>
    </row>
    <row r="223">
      <c r="A223" s="3" t="inlineStr">
        <is>
          <t>UNCATEGORIZED</t>
        </is>
      </c>
      <c r="B223" s="3" t="inlineStr">
        <is>
          <t>Uncategorized</t>
        </is>
      </c>
      <c r="C223" s="3" t="inlineStr">
        <is>
          <t>UNCATEGORIZED-220</t>
        </is>
      </c>
      <c r="D223" s="3" t="inlineStr">
        <is>
          <t>8-10 industrial network switches for control network</t>
        </is>
      </c>
      <c r="E223" s="3" t="inlineStr"/>
      <c r="F223" s="3" t="n">
        <v>1</v>
      </c>
      <c r="G223" s="3" t="inlineStr">
        <is>
          <t>PKG-19</t>
        </is>
      </c>
      <c r="H223" s="3" t="n">
        <v>1</v>
      </c>
    </row>
    <row r="224">
      <c r="A224" s="3" t="inlineStr">
        <is>
          <t>UNCATEGORIZED</t>
        </is>
      </c>
      <c r="B224" s="3" t="inlineStr">
        <is>
          <t>Uncategorized</t>
        </is>
      </c>
      <c r="C224" s="3" t="inlineStr">
        <is>
          <t>UNCATEGORIZED-221</t>
        </is>
      </c>
      <c r="D224" s="3" t="inlineStr">
        <is>
          <t>Access equip</t>
        </is>
      </c>
      <c r="E224" s="3" t="inlineStr"/>
      <c r="F224" s="3" t="n">
        <v>1</v>
      </c>
      <c r="G224" s="3" t="inlineStr">
        <is>
          <t>PKG-13</t>
        </is>
      </c>
      <c r="H224" s="3" t="n">
        <v>1</v>
      </c>
    </row>
    <row r="225">
      <c r="A225" s="3" t="inlineStr">
        <is>
          <t>UNCATEGORIZED</t>
        </is>
      </c>
      <c r="B225" s="3" t="inlineStr">
        <is>
          <t>Uncategorized</t>
        </is>
      </c>
      <c r="C225" s="3" t="inlineStr">
        <is>
          <t>UNCATEGORIZED-222</t>
        </is>
      </c>
      <c r="D225" s="3" t="inlineStr">
        <is>
          <t>Actuators and accessories rated for **Class I, Division 2 / Zone 2** (Group D) h...</t>
        </is>
      </c>
      <c r="E225" s="3" t="inlineStr"/>
      <c r="F225" s="3" t="n">
        <v>1</v>
      </c>
      <c r="G225" s="3" t="inlineStr">
        <is>
          <t>PKG-16</t>
        </is>
      </c>
      <c r="H225" s="3" t="n">
        <v>1</v>
      </c>
    </row>
    <row r="226">
      <c r="A226" s="3" t="inlineStr">
        <is>
          <t>UNCATEGORIZED</t>
        </is>
      </c>
      <c r="B226" s="3" t="inlineStr">
        <is>
          <t>Uncategorized</t>
        </is>
      </c>
      <c r="C226" s="3" t="inlineStr">
        <is>
          <t>UNCATEGORIZED-223</t>
        </is>
      </c>
      <c r="D226" s="3" t="inlineStr">
        <is>
          <t>Agitators</t>
        </is>
      </c>
      <c r="E226" s="3" t="inlineStr"/>
      <c r="F226" s="3" t="n">
        <v>1</v>
      </c>
      <c r="G226" s="3" t="inlineStr">
        <is>
          <t>PKG-13</t>
        </is>
      </c>
      <c r="H226" s="3" t="n">
        <v>1</v>
      </c>
    </row>
    <row r="227">
      <c r="A227" s="3" t="inlineStr">
        <is>
          <t>UNCATEGORIZED</t>
        </is>
      </c>
      <c r="B227" s="3" t="inlineStr">
        <is>
          <t>Uncategorized</t>
        </is>
      </c>
      <c r="C227" s="3" t="inlineStr">
        <is>
          <t>UNCATEGORIZED-224</t>
        </is>
      </c>
      <c r="D227" s="3" t="inlineStr">
        <is>
          <t>Basic Process Control System (BPCS) only; no separate SIS</t>
        </is>
      </c>
      <c r="E227" s="3" t="inlineStr"/>
      <c r="F227" s="3" t="n">
        <v>1</v>
      </c>
      <c r="G227" s="3" t="inlineStr">
        <is>
          <t>PKG-19</t>
        </is>
      </c>
      <c r="H227" s="3" t="n">
        <v>1</v>
      </c>
    </row>
    <row r="228">
      <c r="A228" s="3" t="inlineStr">
        <is>
          <t>UNCATEGORIZED</t>
        </is>
      </c>
      <c r="B228" s="3" t="inlineStr">
        <is>
          <t>Uncategorized</t>
        </is>
      </c>
      <c r="C228" s="3" t="inlineStr">
        <is>
          <t>UNCATEGORIZED-225</t>
        </is>
      </c>
      <c r="D228" s="3" t="inlineStr">
        <is>
          <t>Cable Routing Method</t>
        </is>
      </c>
      <c r="E228" s="3" t="inlineStr"/>
      <c r="F228" s="3" t="n">
        <v>1</v>
      </c>
      <c r="G228" s="3" t="inlineStr">
        <is>
          <t>PKG-20</t>
        </is>
      </c>
      <c r="H228" s="3" t="n">
        <v>1</v>
      </c>
    </row>
    <row r="229">
      <c r="A229" s="3" t="inlineStr">
        <is>
          <t>UNCATEGORIZED</t>
        </is>
      </c>
      <c r="B229" s="3" t="inlineStr">
        <is>
          <t>Uncategorized</t>
        </is>
      </c>
      <c r="C229" s="3" t="inlineStr">
        <is>
          <t>UNCATEGORIZED-226</t>
        </is>
      </c>
      <c r="D229" s="3" t="inlineStr">
        <is>
          <t>Cable Tray Length and Type</t>
        </is>
      </c>
      <c r="E229" s="3" t="inlineStr"/>
      <c r="F229" s="3" t="n">
        <v>1</v>
      </c>
      <c r="G229" s="3" t="inlineStr">
        <is>
          <t>PKG-17</t>
        </is>
      </c>
      <c r="H229" s="3" t="n">
        <v>1</v>
      </c>
    </row>
    <row r="230">
      <c r="A230" s="3" t="inlineStr">
        <is>
          <t>UNCATEGORIZED</t>
        </is>
      </c>
      <c r="B230" s="3" t="inlineStr">
        <is>
          <t>Uncategorized</t>
        </is>
      </c>
      <c r="C230" s="3" t="inlineStr">
        <is>
          <t>UNCATEGORIZED-227</t>
        </is>
      </c>
      <c r="D230" s="3" t="inlineStr">
        <is>
          <t>Calibration and Loop Testing</t>
        </is>
      </c>
      <c r="E230" s="3" t="inlineStr"/>
      <c r="F230" s="3" t="n">
        <v>1</v>
      </c>
      <c r="G230" s="3" t="inlineStr">
        <is>
          <t>PKG-20</t>
        </is>
      </c>
      <c r="H230" s="3" t="n">
        <v>1</v>
      </c>
    </row>
    <row r="231">
      <c r="A231" s="3" t="inlineStr">
        <is>
          <t>UNCATEGORIZED</t>
        </is>
      </c>
      <c r="B231" s="3" t="inlineStr">
        <is>
          <t>Uncategorized</t>
        </is>
      </c>
      <c r="C231" s="3" t="inlineStr">
        <is>
          <t>UNCATEGORIZED-228</t>
        </is>
      </c>
      <c r="D231" s="3" t="inlineStr">
        <is>
          <t>Canola oil properties assumed as:</t>
        </is>
      </c>
      <c r="E231" s="3" t="inlineStr"/>
      <c r="F231" s="3" t="n">
        <v>1</v>
      </c>
      <c r="G231" s="3" t="inlineStr">
        <is>
          <t>PKG-15</t>
        </is>
      </c>
      <c r="H231" s="3" t="n">
        <v>1</v>
      </c>
    </row>
    <row r="232">
      <c r="A232" s="3" t="inlineStr">
        <is>
          <t>UNCATEGORIZED</t>
        </is>
      </c>
      <c r="B232" s="3" t="inlineStr">
        <is>
          <t>Uncategorized</t>
        </is>
      </c>
      <c r="C232" s="3" t="inlineStr">
        <is>
          <t>UNCATEGORIZED-229</t>
        </is>
      </c>
      <c r="D232" s="3" t="inlineStr">
        <is>
          <t>Conduit Length and Type</t>
        </is>
      </c>
      <c r="E232" s="3" t="inlineStr"/>
      <c r="F232" s="3" t="n">
        <v>1</v>
      </c>
      <c r="G232" s="3" t="inlineStr">
        <is>
          <t>PKG-17</t>
        </is>
      </c>
      <c r="H232" s="3" t="n">
        <v>1</v>
      </c>
    </row>
    <row r="233">
      <c r="A233" s="3" t="inlineStr">
        <is>
          <t>UNCATEGORIZED</t>
        </is>
      </c>
      <c r="B233" s="3" t="inlineStr">
        <is>
          <t>Uncategorized</t>
        </is>
      </c>
      <c r="C233" s="3" t="inlineStr">
        <is>
          <t>UNCATEGORIZED-230</t>
        </is>
      </c>
      <c r="D233" s="3" t="inlineStr">
        <is>
          <t>Construction Duration Assumption</t>
        </is>
      </c>
      <c r="E233" s="3" t="inlineStr"/>
      <c r="F233" s="3" t="n">
        <v>1</v>
      </c>
      <c r="G233" s="3" t="inlineStr">
        <is>
          <t>PKG-33</t>
        </is>
      </c>
      <c r="H233" s="3" t="n">
        <v>1</v>
      </c>
    </row>
    <row r="234">
      <c r="A234" s="3" t="inlineStr">
        <is>
          <t>UNCATEGORIZED</t>
        </is>
      </c>
      <c r="B234" s="3" t="inlineStr">
        <is>
          <t>Uncategorized</t>
        </is>
      </c>
      <c r="C234" s="3" t="inlineStr">
        <is>
          <t>UNCATEGORIZED-231</t>
        </is>
      </c>
      <c r="D234" s="3" t="inlineStr">
        <is>
          <t>Construction Duration — 24-30 Months</t>
        </is>
      </c>
      <c r="E234" s="3" t="inlineStr"/>
      <c r="F234" s="3" t="n">
        <v>1</v>
      </c>
      <c r="G234" s="3" t="inlineStr">
        <is>
          <t>PKG-34</t>
        </is>
      </c>
      <c r="H234" s="3" t="n">
        <v>1</v>
      </c>
    </row>
    <row r="235">
      <c r="A235" s="3" t="inlineStr">
        <is>
          <t>UNCATEGORIZED</t>
        </is>
      </c>
      <c r="B235" s="3" t="inlineStr">
        <is>
          <t>Uncategorized</t>
        </is>
      </c>
      <c r="C235" s="3" t="inlineStr">
        <is>
          <t>UNCATEGORIZED-232</t>
        </is>
      </c>
      <c r="D235" s="3" t="inlineStr">
        <is>
          <t>Construction Equipment Rental Rates</t>
        </is>
      </c>
      <c r="E235" s="3" t="inlineStr"/>
      <c r="F235" s="3" t="n">
        <v>1</v>
      </c>
      <c r="G235" s="3" t="inlineStr">
        <is>
          <t>PKG-22</t>
        </is>
      </c>
      <c r="H235" s="3" t="n">
        <v>1</v>
      </c>
    </row>
    <row r="236">
      <c r="A236" s="3" t="inlineStr">
        <is>
          <t>UNCATEGORIZED</t>
        </is>
      </c>
      <c r="B236" s="3" t="inlineStr">
        <is>
          <t>Uncategorized</t>
        </is>
      </c>
      <c r="C236" s="3" t="inlineStr">
        <is>
          <t>UNCATEGORIZED-233</t>
        </is>
      </c>
      <c r="D236" s="3" t="inlineStr">
        <is>
          <t>Control Cable Length</t>
        </is>
      </c>
      <c r="E236" s="3" t="inlineStr"/>
      <c r="F236" s="3" t="n">
        <v>1</v>
      </c>
      <c r="G236" s="3" t="inlineStr">
        <is>
          <t>PKG-17</t>
        </is>
      </c>
      <c r="H236" s="3" t="n">
        <v>1</v>
      </c>
    </row>
    <row r="237">
      <c r="A237" s="3" t="inlineStr">
        <is>
          <t>UNCATEGORIZED</t>
        </is>
      </c>
      <c r="B237" s="3" t="inlineStr">
        <is>
          <t>Uncategorized</t>
        </is>
      </c>
      <c r="C237" s="3" t="inlineStr">
        <is>
          <t>UNCATEGORIZED-234</t>
        </is>
      </c>
      <c r="D237" s="3" t="inlineStr">
        <is>
          <t>Control valve complexity: 50% standard globe, 30% ball/butterfly, 20% severe ser...</t>
        </is>
      </c>
      <c r="E237" s="3" t="inlineStr"/>
      <c r="F237" s="3" t="n">
        <v>1</v>
      </c>
      <c r="G237" s="3" t="inlineStr">
        <is>
          <t>PKG-16</t>
        </is>
      </c>
      <c r="H237" s="3" t="n">
        <v>1</v>
      </c>
    </row>
    <row r="238">
      <c r="A238" s="3" t="inlineStr">
        <is>
          <t>UNCATEGORIZED</t>
        </is>
      </c>
      <c r="B238" s="3" t="inlineStr">
        <is>
          <t>Uncategorized</t>
        </is>
      </c>
      <c r="C238" s="3" t="inlineStr">
        <is>
          <t>UNCATEGORIZED-235</t>
        </is>
      </c>
      <c r="D238" s="3" t="inlineStr">
        <is>
          <t>Control valve positioners use **HART protocol** (digital communication with DCS)</t>
        </is>
      </c>
      <c r="E238" s="3" t="inlineStr"/>
      <c r="F238" s="3" t="n">
        <v>1</v>
      </c>
      <c r="G238" s="3" t="inlineStr">
        <is>
          <t>PKG-16</t>
        </is>
      </c>
      <c r="H238" s="3" t="n">
        <v>1</v>
      </c>
    </row>
    <row r="239">
      <c r="A239" s="3" t="inlineStr">
        <is>
          <t>UNCATEGORIZED</t>
        </is>
      </c>
      <c r="B239" s="3" t="inlineStr">
        <is>
          <t>Uncategorized</t>
        </is>
      </c>
      <c r="C239" s="3" t="inlineStr">
        <is>
          <t>UNCATEGORIZED-236</t>
        </is>
      </c>
      <c r="D239" s="3" t="inlineStr">
        <is>
          <t>Crane</t>
        </is>
      </c>
      <c r="E239" s="3" t="inlineStr"/>
      <c r="F239" s="3" t="n">
        <v>1</v>
      </c>
      <c r="G239" s="3" t="inlineStr">
        <is>
          <t>PKG-13</t>
        </is>
      </c>
      <c r="H239" s="3" t="n">
        <v>1</v>
      </c>
    </row>
    <row r="240">
      <c r="A240" s="3" t="inlineStr">
        <is>
          <t>UNCATEGORIZED</t>
        </is>
      </c>
      <c r="B240" s="3" t="inlineStr">
        <is>
          <t>Uncategorized</t>
        </is>
      </c>
      <c r="C240" s="3" t="inlineStr">
        <is>
          <t>UNCATEGORIZED-237</t>
        </is>
      </c>
      <c r="D240" s="3" t="inlineStr">
        <is>
          <t>Data Sheet Preparation</t>
        </is>
      </c>
      <c r="E240" s="3" t="inlineStr"/>
      <c r="F240" s="3" t="n">
        <v>1</v>
      </c>
      <c r="G240" s="3" t="inlineStr">
        <is>
          <t>PKG-20</t>
        </is>
      </c>
      <c r="H240" s="3" t="n">
        <v>1</v>
      </c>
    </row>
    <row r="241">
      <c r="A241" s="3" t="inlineStr">
        <is>
          <t>UNCATEGORIZED</t>
        </is>
      </c>
      <c r="B241" s="3" t="inlineStr">
        <is>
          <t>Uncategorized</t>
        </is>
      </c>
      <c r="C241" s="3" t="inlineStr">
        <is>
          <t>UNCATEGORIZED-238</t>
        </is>
      </c>
      <c r="D241" s="3" t="inlineStr">
        <is>
          <t>Data sheets</t>
        </is>
      </c>
      <c r="E241" s="3" t="inlineStr"/>
      <c r="F241" s="3" t="n">
        <v>1</v>
      </c>
      <c r="G241" s="3" t="inlineStr">
        <is>
          <t>PKG-13</t>
        </is>
      </c>
      <c r="H241" s="3" t="n">
        <v>1</v>
      </c>
    </row>
    <row r="242">
      <c r="A242" s="3" t="inlineStr">
        <is>
          <t>UNCATEGORIZED</t>
        </is>
      </c>
      <c r="B242" s="3" t="inlineStr">
        <is>
          <t>Uncategorized</t>
        </is>
      </c>
      <c r="C242" s="3" t="inlineStr">
        <is>
          <t>UNCATEGORIZED-239</t>
        </is>
      </c>
      <c r="D242" s="3" t="inlineStr">
        <is>
          <t>Defects Liability Period (12 Months)</t>
        </is>
      </c>
      <c r="E242" s="3" t="inlineStr"/>
      <c r="F242" s="3" t="n">
        <v>1</v>
      </c>
      <c r="G242" s="3" t="inlineStr">
        <is>
          <t>PKG-35</t>
        </is>
      </c>
      <c r="H242" s="3" t="n">
        <v>1</v>
      </c>
    </row>
    <row r="243">
      <c r="A243" s="3" t="inlineStr">
        <is>
          <t>UNCATEGORIZED</t>
        </is>
      </c>
      <c r="B243" s="3" t="inlineStr">
        <is>
          <t>Uncategorized</t>
        </is>
      </c>
      <c r="C243" s="3" t="inlineStr">
        <is>
          <t>UNCATEGORIZED-240</t>
        </is>
      </c>
      <c r="D243" s="3" t="inlineStr">
        <is>
          <t>Document Management Software/Database</t>
        </is>
      </c>
      <c r="E243" s="3" t="inlineStr"/>
      <c r="F243" s="3" t="n">
        <v>1</v>
      </c>
      <c r="G243" s="3" t="inlineStr">
        <is>
          <t>PKG-31</t>
        </is>
      </c>
      <c r="H243" s="3" t="n">
        <v>1</v>
      </c>
    </row>
    <row r="244">
      <c r="A244" s="3" t="inlineStr">
        <is>
          <t>UNCATEGORIZED</t>
        </is>
      </c>
      <c r="B244" s="3" t="inlineStr">
        <is>
          <t>Uncategorized</t>
        </is>
      </c>
      <c r="C244" s="3" t="inlineStr">
        <is>
          <t>UNCATEGORIZED-241</t>
        </is>
      </c>
      <c r="D244" s="3" t="inlineStr">
        <is>
          <t>ERC is integral with loading arm supply (not separate procurement)</t>
        </is>
      </c>
      <c r="E244" s="3" t="inlineStr"/>
      <c r="F244" s="3" t="n">
        <v>1</v>
      </c>
      <c r="G244" s="3" t="inlineStr">
        <is>
          <t>PKG-11</t>
        </is>
      </c>
      <c r="H244" s="3" t="n">
        <v>1</v>
      </c>
    </row>
    <row r="245">
      <c r="A245" s="3" t="inlineStr">
        <is>
          <t>UNCATEGORIZED</t>
        </is>
      </c>
      <c r="B245" s="3" t="inlineStr">
        <is>
          <t>Uncategorized</t>
        </is>
      </c>
      <c r="C245" s="3" t="inlineStr">
        <is>
          <t>UNCATEGORIZED-242</t>
        </is>
      </c>
      <c r="D245" s="3" t="inlineStr">
        <is>
          <t>Electric motors and variable frequency drives (VFDs) estimated as:</t>
        </is>
      </c>
      <c r="E245" s="3" t="inlineStr"/>
      <c r="F245" s="3" t="n">
        <v>1</v>
      </c>
      <c r="G245" s="3" t="inlineStr">
        <is>
          <t>PKG-15</t>
        </is>
      </c>
      <c r="H245" s="3" t="n">
        <v>1</v>
      </c>
    </row>
    <row r="246">
      <c r="A246" s="3" t="inlineStr">
        <is>
          <t>UNCATEGORIZED</t>
        </is>
      </c>
      <c r="B246" s="3" t="inlineStr">
        <is>
          <t>Uncategorized</t>
        </is>
      </c>
      <c r="C246" s="3" t="inlineStr">
        <is>
          <t>UNCATEGORIZED-243</t>
        </is>
      </c>
      <c r="D246" s="3" t="inlineStr">
        <is>
          <t>Electrical</t>
        </is>
      </c>
      <c r="E246" s="3" t="inlineStr"/>
      <c r="F246" s="3" t="n">
        <v>1</v>
      </c>
      <c r="G246" s="3" t="inlineStr">
        <is>
          <t>PKG-13</t>
        </is>
      </c>
      <c r="H246" s="3" t="n">
        <v>1</v>
      </c>
    </row>
    <row r="247">
      <c r="A247" s="3" t="inlineStr">
        <is>
          <t>UNCATEGORIZED</t>
        </is>
      </c>
      <c r="B247" s="3" t="inlineStr">
        <is>
          <t>Uncategorized</t>
        </is>
      </c>
      <c r="C247" s="3" t="inlineStr">
        <is>
          <t>UNCATEGORIZED-244</t>
        </is>
      </c>
      <c r="D247" s="3" t="inlineStr">
        <is>
          <t>Emergency lighting covers code-minimum egress paths plus safety-critical operati...</t>
        </is>
      </c>
      <c r="E247" s="3" t="inlineStr"/>
      <c r="F247" s="3" t="n">
        <v>1</v>
      </c>
      <c r="G247" s="3" t="inlineStr">
        <is>
          <t>PKG-18</t>
        </is>
      </c>
      <c r="H247" s="3" t="n">
        <v>1</v>
      </c>
    </row>
    <row r="248">
      <c r="A248" s="3" t="inlineStr">
        <is>
          <t>UNCATEGORIZED</t>
        </is>
      </c>
      <c r="B248" s="3" t="inlineStr">
        <is>
          <t>Uncategorized</t>
        </is>
      </c>
      <c r="C248" s="3" t="inlineStr">
        <is>
          <t>UNCATEGORIZED-245</t>
        </is>
      </c>
      <c r="D248" s="3" t="inlineStr">
        <is>
          <t>Environmental and HSE Compliance</t>
        </is>
      </c>
      <c r="E248" s="3" t="inlineStr"/>
      <c r="F248" s="3" t="n">
        <v>1</v>
      </c>
      <c r="G248" s="3" t="inlineStr">
        <is>
          <t>PKG-22</t>
        </is>
      </c>
      <c r="H248" s="3" t="n">
        <v>1</v>
      </c>
    </row>
    <row r="249">
      <c r="A249" s="3" t="inlineStr">
        <is>
          <t>UNCATEGORIZED</t>
        </is>
      </c>
      <c r="B249" s="3" t="inlineStr">
        <is>
          <t>Uncategorized</t>
        </is>
      </c>
      <c r="C249" s="3" t="inlineStr">
        <is>
          <t>UNCATEGORIZED-246</t>
        </is>
      </c>
      <c r="D249" s="3" t="inlineStr">
        <is>
          <t>Exterior lighting poles: 30-40 ft height, steel or aluminum construction, galvan...</t>
        </is>
      </c>
      <c r="E249" s="3" t="inlineStr"/>
      <c r="F249" s="3" t="n">
        <v>1</v>
      </c>
      <c r="G249" s="3" t="inlineStr">
        <is>
          <t>PKG-18</t>
        </is>
      </c>
      <c r="H249" s="3" t="n">
        <v>1</v>
      </c>
    </row>
    <row r="250">
      <c r="A250" s="3" t="inlineStr">
        <is>
          <t>UNCATEGORIZED</t>
        </is>
      </c>
      <c r="B250" s="3" t="inlineStr">
        <is>
          <t>Uncategorized</t>
        </is>
      </c>
      <c r="C250" s="3" t="inlineStr">
        <is>
          <t>UNCATEGORIZED-247</t>
        </is>
      </c>
      <c r="D250" s="3" t="inlineStr">
        <is>
          <t>Exterior lighting poles: 30-50 poles, steel or aluminum, 30-40 ft height, marine...</t>
        </is>
      </c>
      <c r="E250" s="3" t="inlineStr"/>
      <c r="F250" s="3" t="n">
        <v>1</v>
      </c>
      <c r="G250" s="3" t="inlineStr">
        <is>
          <t>PKG-18</t>
        </is>
      </c>
      <c r="H250" s="3" t="n">
        <v>1</v>
      </c>
    </row>
    <row r="251">
      <c r="A251" s="3" t="inlineStr">
        <is>
          <t>UNCATEGORIZED</t>
        </is>
      </c>
      <c r="B251" s="3" t="inlineStr">
        <is>
          <t>Uncategorized</t>
        </is>
      </c>
      <c r="C251" s="3" t="inlineStr">
        <is>
          <t>UNCATEGORIZED-248</t>
        </is>
      </c>
      <c r="D251" s="3" t="inlineStr">
        <is>
          <t>External coating</t>
        </is>
      </c>
      <c r="E251" s="3" t="inlineStr"/>
      <c r="F251" s="3" t="n">
        <v>1</v>
      </c>
      <c r="G251" s="3" t="inlineStr">
        <is>
          <t>PKG-13</t>
        </is>
      </c>
      <c r="H251" s="3" t="n">
        <v>1</v>
      </c>
    </row>
    <row r="252">
      <c r="A252" s="3" t="inlineStr">
        <is>
          <t>UNCATEGORIZED</t>
        </is>
      </c>
      <c r="B252" s="3" t="inlineStr">
        <is>
          <t>Uncategorized</t>
        </is>
      </c>
      <c r="C252" s="3" t="inlineStr">
        <is>
          <t>UNCATEGORIZED-249</t>
        </is>
      </c>
      <c r="D252" s="3" t="inlineStr">
        <is>
          <t>Fab QA</t>
        </is>
      </c>
      <c r="E252" s="3" t="inlineStr"/>
      <c r="F252" s="3" t="n">
        <v>1</v>
      </c>
      <c r="G252" s="3" t="inlineStr">
        <is>
          <t>PKG-13</t>
        </is>
      </c>
      <c r="H252" s="3" t="n">
        <v>1</v>
      </c>
    </row>
    <row r="253">
      <c r="A253" s="3" t="inlineStr">
        <is>
          <t>UNCATEGORIZED</t>
        </is>
      </c>
      <c r="B253" s="3" t="inlineStr">
        <is>
          <t>Uncategorized</t>
        </is>
      </c>
      <c r="C253" s="3" t="inlineStr">
        <is>
          <t>UNCATEGORIZED-250</t>
        </is>
      </c>
      <c r="D253" s="3" t="inlineStr">
        <is>
          <t>Field Touch-Up Painting and Protective Coatings</t>
        </is>
      </c>
      <c r="E253" s="3" t="inlineStr"/>
      <c r="F253" s="3" t="n">
        <v>1</v>
      </c>
      <c r="G253" s="3" t="inlineStr">
        <is>
          <t>PKG-06</t>
        </is>
      </c>
      <c r="H253" s="3" t="n">
        <v>1</v>
      </c>
    </row>
    <row r="254">
      <c r="A254" s="3" t="inlineStr">
        <is>
          <t>UNCATEGORIZED</t>
        </is>
      </c>
      <c r="B254" s="3" t="inlineStr">
        <is>
          <t>Uncategorized</t>
        </is>
      </c>
      <c r="C254" s="3" t="inlineStr">
        <is>
          <t>UNCATEGORIZED-251</t>
        </is>
      </c>
      <c r="D254" s="3" t="inlineStr">
        <is>
          <t>Fire Alarm Control Panel</t>
        </is>
      </c>
      <c r="E254" s="3" t="inlineStr"/>
      <c r="F254" s="3" t="n">
        <v>1</v>
      </c>
      <c r="G254" s="3" t="inlineStr">
        <is>
          <t>PKG-23</t>
        </is>
      </c>
      <c r="H254" s="3" t="n">
        <v>1</v>
      </c>
    </row>
    <row r="255">
      <c r="A255" s="3" t="inlineStr">
        <is>
          <t>UNCATEGORIZED</t>
        </is>
      </c>
      <c r="B255" s="3" t="inlineStr">
        <is>
          <t>Uncategorized</t>
        </is>
      </c>
      <c r="C255" s="3" t="inlineStr">
        <is>
          <t>UNCATEGORIZED-252</t>
        </is>
      </c>
      <c r="D255" s="3" t="inlineStr">
        <is>
          <t>Fire Alarm Wiring and Conduit</t>
        </is>
      </c>
      <c r="E255" s="3" t="inlineStr"/>
      <c r="F255" s="3" t="n">
        <v>1</v>
      </c>
      <c r="G255" s="3" t="inlineStr">
        <is>
          <t>PKG-23</t>
        </is>
      </c>
      <c r="H255" s="3" t="n">
        <v>1</v>
      </c>
    </row>
    <row r="256">
      <c r="A256" s="3" t="inlineStr">
        <is>
          <t>UNCATEGORIZED</t>
        </is>
      </c>
      <c r="B256" s="3" t="inlineStr">
        <is>
          <t>Uncategorized</t>
        </is>
      </c>
      <c r="C256" s="3" t="inlineStr">
        <is>
          <t>UNCATEGORIZED-253</t>
        </is>
      </c>
      <c r="D256" s="3" t="inlineStr">
        <is>
          <t>Fire Detection and Notification Devices</t>
        </is>
      </c>
      <c r="E256" s="3" t="inlineStr"/>
      <c r="F256" s="3" t="n">
        <v>1</v>
      </c>
      <c r="G256" s="3" t="inlineStr">
        <is>
          <t>PKG-23</t>
        </is>
      </c>
      <c r="H256" s="3" t="n">
        <v>1</v>
      </c>
    </row>
    <row r="257">
      <c r="A257" s="3" t="inlineStr">
        <is>
          <t>UNCATEGORIZED</t>
        </is>
      </c>
      <c r="B257" s="3" t="inlineStr">
        <is>
          <t>Uncategorized</t>
        </is>
      </c>
      <c r="C257" s="3" t="inlineStr">
        <is>
          <t>UNCATEGORIZED-254</t>
        </is>
      </c>
      <c r="D257" s="3" t="inlineStr">
        <is>
          <t>Fire Sprinkler Piping and Fittings</t>
        </is>
      </c>
      <c r="E257" s="3" t="inlineStr"/>
      <c r="F257" s="3" t="n">
        <v>1</v>
      </c>
      <c r="G257" s="3" t="inlineStr">
        <is>
          <t>PKG-22</t>
        </is>
      </c>
      <c r="H257" s="3" t="n">
        <v>1</v>
      </c>
    </row>
    <row r="258">
      <c r="A258" s="3" t="inlineStr">
        <is>
          <t>UNCATEGORIZED</t>
        </is>
      </c>
      <c r="B258" s="3" t="inlineStr">
        <is>
          <t>Uncategorized</t>
        </is>
      </c>
      <c r="C258" s="3" t="inlineStr">
        <is>
          <t>UNCATEGORIZED-255</t>
        </is>
      </c>
      <c r="D258" s="3" t="inlineStr">
        <is>
          <t>Fire Suppression System (Automatic Sprinklers)</t>
        </is>
      </c>
      <c r="E258" s="3" t="inlineStr"/>
      <c r="F258" s="3" t="n">
        <v>1</v>
      </c>
      <c r="G258" s="3" t="inlineStr">
        <is>
          <t>PKG-22</t>
        </is>
      </c>
      <c r="H258" s="3" t="n">
        <v>1</v>
      </c>
    </row>
    <row r="259">
      <c r="A259" s="3" t="inlineStr">
        <is>
          <t>UNCATEGORIZED</t>
        </is>
      </c>
      <c r="B259" s="3" t="inlineStr">
        <is>
          <t>Uncategorized</t>
        </is>
      </c>
      <c r="C259" s="3" t="inlineStr">
        <is>
          <t>UNCATEGORIZED-256</t>
        </is>
      </c>
      <c r="D259" s="3" t="inlineStr">
        <is>
          <t>Fire Water Supply Source</t>
        </is>
      </c>
      <c r="E259" s="3" t="inlineStr"/>
      <c r="F259" s="3" t="n">
        <v>1</v>
      </c>
      <c r="G259" s="3" t="inlineStr">
        <is>
          <t>PKG-23</t>
        </is>
      </c>
      <c r="H259" s="3" t="n">
        <v>1</v>
      </c>
    </row>
    <row r="260">
      <c r="A260" s="3" t="inlineStr">
        <is>
          <t>UNCATEGORIZED</t>
        </is>
      </c>
      <c r="B260" s="3" t="inlineStr">
        <is>
          <t>Uncategorized</t>
        </is>
      </c>
      <c r="C260" s="3" t="inlineStr">
        <is>
          <t>UNCATEGORIZED-257</t>
        </is>
      </c>
      <c r="D260" s="3" t="inlineStr">
        <is>
          <t>Fire Water Valves and Fittings</t>
        </is>
      </c>
      <c r="E260" s="3" t="inlineStr"/>
      <c r="F260" s="3" t="n">
        <v>1</v>
      </c>
      <c r="G260" s="3" t="inlineStr">
        <is>
          <t>PKG-23</t>
        </is>
      </c>
      <c r="H260" s="3" t="n">
        <v>1</v>
      </c>
    </row>
    <row r="261">
      <c r="A261" s="3" t="inlineStr">
        <is>
          <t>UNCATEGORIZED</t>
        </is>
      </c>
      <c r="B261" s="3" t="inlineStr">
        <is>
          <t>Uncategorized</t>
        </is>
      </c>
      <c r="C261" s="3" t="inlineStr">
        <is>
          <t>UNCATEGORIZED-258</t>
        </is>
      </c>
      <c r="D261" s="3" t="inlineStr">
        <is>
          <t>Foam Concentrate Storage and Proportioning</t>
        </is>
      </c>
      <c r="E261" s="3" t="inlineStr"/>
      <c r="F261" s="3" t="n">
        <v>1</v>
      </c>
      <c r="G261" s="3" t="inlineStr">
        <is>
          <t>PKG-23</t>
        </is>
      </c>
      <c r="H261" s="3" t="n">
        <v>1</v>
      </c>
    </row>
    <row r="262">
      <c r="A262" s="3" t="inlineStr">
        <is>
          <t>UNCATEGORIZED</t>
        </is>
      </c>
      <c r="B262" s="3" t="inlineStr">
        <is>
          <t>Uncategorized</t>
        </is>
      </c>
      <c r="C262" s="3" t="inlineStr">
        <is>
          <t>UNCATEGORIZED-259</t>
        </is>
      </c>
      <c r="D262" s="3" t="inlineStr">
        <is>
          <t>HSE Staffing Model Assumption</t>
        </is>
      </c>
      <c r="E262" s="3" t="inlineStr"/>
      <c r="F262" s="3" t="n">
        <v>1</v>
      </c>
      <c r="G262" s="3" t="inlineStr">
        <is>
          <t>PKG-33</t>
        </is>
      </c>
      <c r="H262" s="3" t="n">
        <v>1</v>
      </c>
    </row>
    <row r="263">
      <c r="A263" s="3" t="inlineStr">
        <is>
          <t>UNCATEGORIZED</t>
        </is>
      </c>
      <c r="B263" s="3" t="inlineStr">
        <is>
          <t>Uncategorized</t>
        </is>
      </c>
      <c r="C263" s="3" t="inlineStr">
        <is>
          <t>UNCATEGORIZED-260</t>
        </is>
      </c>
      <c r="D263" s="3" t="inlineStr">
        <is>
          <t>HVAC Ductwork and Distribution</t>
        </is>
      </c>
      <c r="E263" s="3" t="inlineStr"/>
      <c r="F263" s="3" t="n">
        <v>1</v>
      </c>
      <c r="G263" s="3" t="inlineStr">
        <is>
          <t>PKG-22</t>
        </is>
      </c>
      <c r="H263" s="3" t="n">
        <v>1</v>
      </c>
    </row>
    <row r="264">
      <c r="A264" s="3" t="inlineStr">
        <is>
          <t>UNCATEGORIZED</t>
        </is>
      </c>
      <c r="B264" s="3" t="inlineStr">
        <is>
          <t>Uncategorized</t>
        </is>
      </c>
      <c r="C264" s="3" t="inlineStr">
        <is>
          <t>UNCATEGORIZED-261</t>
        </is>
      </c>
      <c r="D264" s="3" t="inlineStr">
        <is>
          <t>Historian configured for 400-600 process and calculated tags</t>
        </is>
      </c>
      <c r="E264" s="3" t="inlineStr"/>
      <c r="F264" s="3" t="n">
        <v>1</v>
      </c>
      <c r="G264" s="3" t="inlineStr">
        <is>
          <t>PKG-19</t>
        </is>
      </c>
      <c r="H264" s="3" t="n">
        <v>1</v>
      </c>
    </row>
    <row r="265">
      <c r="A265" s="3" t="inlineStr">
        <is>
          <t>UNCATEGORIZED</t>
        </is>
      </c>
      <c r="B265" s="3" t="inlineStr">
        <is>
          <t>Uncategorized</t>
        </is>
      </c>
      <c r="C265" s="3" t="inlineStr">
        <is>
          <t>UNCATEGORIZED-262</t>
        </is>
      </c>
      <c r="D265" s="3" t="inlineStr">
        <is>
          <t>Hydro test</t>
        </is>
      </c>
      <c r="E265" s="3" t="inlineStr"/>
      <c r="F265" s="3" t="n">
        <v>1</v>
      </c>
      <c r="G265" s="3" t="inlineStr">
        <is>
          <t>PKG-13</t>
        </is>
      </c>
      <c r="H265" s="3" t="n">
        <v>1</v>
      </c>
    </row>
    <row r="266">
      <c r="A266" s="3" t="inlineStr">
        <is>
          <t>UNCATEGORIZED</t>
        </is>
      </c>
      <c r="B266" s="3" t="inlineStr">
        <is>
          <t>Uncategorized</t>
        </is>
      </c>
      <c r="C266" s="3" t="inlineStr">
        <is>
          <t>UNCATEGORIZED-263</t>
        </is>
      </c>
      <c r="D266" s="3" t="inlineStr">
        <is>
          <t>Instrument Conduit System</t>
        </is>
      </c>
      <c r="E266" s="3" t="inlineStr"/>
      <c r="F266" s="3" t="n">
        <v>1</v>
      </c>
      <c r="G266" s="3" t="inlineStr">
        <is>
          <t>PKG-20</t>
        </is>
      </c>
      <c r="H266" s="3" t="n">
        <v>1</v>
      </c>
    </row>
    <row r="267">
      <c r="A267" s="3" t="inlineStr">
        <is>
          <t>UNCATEGORIZED</t>
        </is>
      </c>
      <c r="B267" s="3" t="inlineStr">
        <is>
          <t>Uncategorized</t>
        </is>
      </c>
      <c r="C267" s="3" t="inlineStr">
        <is>
          <t>UNCATEGORIZED-264</t>
        </is>
      </c>
      <c r="D267" s="3" t="inlineStr">
        <is>
          <t>Instrument Supports and Mounting</t>
        </is>
      </c>
      <c r="E267" s="3" t="inlineStr"/>
      <c r="F267" s="3" t="n">
        <v>1</v>
      </c>
      <c r="G267" s="3" t="inlineStr">
        <is>
          <t>PKG-20</t>
        </is>
      </c>
      <c r="H267" s="3" t="n">
        <v>1</v>
      </c>
    </row>
    <row r="268">
      <c r="A268" s="3" t="inlineStr">
        <is>
          <t>UNCATEGORIZED</t>
        </is>
      </c>
      <c r="B268" s="3" t="inlineStr">
        <is>
          <t>Uncategorized</t>
        </is>
      </c>
      <c r="C268" s="3" t="inlineStr">
        <is>
          <t>UNCATEGORIZED-265</t>
        </is>
      </c>
      <c r="D268" s="3" t="inlineStr">
        <is>
          <t>Instrument Tubing and Fittings</t>
        </is>
      </c>
      <c r="E268" s="3" t="inlineStr"/>
      <c r="F268" s="3" t="n">
        <v>1</v>
      </c>
      <c r="G268" s="3" t="inlineStr">
        <is>
          <t>PKG-20</t>
        </is>
      </c>
      <c r="H268" s="3" t="n">
        <v>1</v>
      </c>
    </row>
    <row r="269">
      <c r="A269" s="3" t="inlineStr">
        <is>
          <t>UNCATEGORIZED</t>
        </is>
      </c>
      <c r="B269" s="3" t="inlineStr">
        <is>
          <t>Uncategorized</t>
        </is>
      </c>
      <c r="C269" s="3" t="inlineStr">
        <is>
          <t>UNCATEGORIZED-266</t>
        </is>
      </c>
      <c r="D269" s="3" t="inlineStr">
        <is>
          <t>Instrumentation</t>
        </is>
      </c>
      <c r="E269" s="3" t="inlineStr"/>
      <c r="F269" s="3" t="n">
        <v>1</v>
      </c>
      <c r="G269" s="3" t="inlineStr">
        <is>
          <t>PKG-13</t>
        </is>
      </c>
      <c r="H269" s="3" t="n">
        <v>1</v>
      </c>
    </row>
    <row r="270">
      <c r="A270" s="3" t="inlineStr">
        <is>
          <t>UNCATEGORIZED</t>
        </is>
      </c>
      <c r="B270" s="3" t="inlineStr">
        <is>
          <t>Uncategorized</t>
        </is>
      </c>
      <c r="C270" s="3" t="inlineStr">
        <is>
          <t>UNCATEGORIZED-267</t>
        </is>
      </c>
      <c r="D270" s="3" t="inlineStr">
        <is>
          <t>Interior Electrical (Building Services)</t>
        </is>
      </c>
      <c r="E270" s="3" t="inlineStr"/>
      <c r="F270" s="3" t="n">
        <v>1</v>
      </c>
      <c r="G270" s="3" t="inlineStr">
        <is>
          <t>PKG-22</t>
        </is>
      </c>
      <c r="H270" s="3" t="n">
        <v>1</v>
      </c>
    </row>
    <row r="271">
      <c r="A271" s="3" t="inlineStr">
        <is>
          <t>UNCATEGORIZED</t>
        </is>
      </c>
      <c r="B271" s="3" t="inlineStr">
        <is>
          <t>Uncategorized</t>
        </is>
      </c>
      <c r="C271" s="3" t="inlineStr">
        <is>
          <t>UNCATEGORIZED-268</t>
        </is>
      </c>
      <c r="D271" s="3" t="inlineStr">
        <is>
          <t>Interior Finishes (Flooring, Walls, Ceilings)</t>
        </is>
      </c>
      <c r="E271" s="3" t="inlineStr"/>
      <c r="F271" s="3" t="n">
        <v>1</v>
      </c>
      <c r="G271" s="3" t="inlineStr">
        <is>
          <t>PKG-22</t>
        </is>
      </c>
      <c r="H271" s="3" t="n">
        <v>1</v>
      </c>
    </row>
    <row r="272">
      <c r="A272" s="3" t="inlineStr">
        <is>
          <t>UNCATEGORIZED</t>
        </is>
      </c>
      <c r="B272" s="3" t="inlineStr">
        <is>
          <t>Uncategorized</t>
        </is>
      </c>
      <c r="C272" s="3" t="inlineStr">
        <is>
          <t>UNCATEGORIZED-269</t>
        </is>
      </c>
      <c r="D272" s="3" t="inlineStr">
        <is>
          <t>Internal coating</t>
        </is>
      </c>
      <c r="E272" s="3" t="inlineStr"/>
      <c r="F272" s="3" t="n">
        <v>1</v>
      </c>
      <c r="G272" s="3" t="inlineStr">
        <is>
          <t>PKG-13</t>
        </is>
      </c>
      <c r="H272" s="3" t="n">
        <v>1</v>
      </c>
    </row>
    <row r="273">
      <c r="A273" s="3" t="inlineStr">
        <is>
          <t>UNCATEGORIZED</t>
        </is>
      </c>
      <c r="B273" s="3" t="inlineStr">
        <is>
          <t>Uncategorized</t>
        </is>
      </c>
      <c r="C273" s="3" t="inlineStr">
        <is>
          <t>UNCATEGORIZED-270</t>
        </is>
      </c>
      <c r="D273" s="3" t="inlineStr">
        <is>
          <t>Isolation valve hydrostatic testing performed as **part of piping hydrostatic te...</t>
        </is>
      </c>
      <c r="E273" s="3" t="inlineStr"/>
      <c r="F273" s="3" t="n">
        <v>1</v>
      </c>
      <c r="G273" s="3" t="inlineStr">
        <is>
          <t>PKG-16</t>
        </is>
      </c>
      <c r="H273" s="3" t="n">
        <v>1</v>
      </c>
    </row>
    <row r="274">
      <c r="A274" s="3" t="inlineStr">
        <is>
          <t>UNCATEGORIZED</t>
        </is>
      </c>
      <c r="B274" s="3" t="inlineStr">
        <is>
          <t>Uncategorized</t>
        </is>
      </c>
      <c r="C274" s="3" t="inlineStr">
        <is>
          <t>UNCATEGORIZED-271</t>
        </is>
      </c>
      <c r="D274" s="3" t="inlineStr">
        <is>
          <t>LV Power Cable Length</t>
        </is>
      </c>
      <c r="E274" s="3" t="inlineStr"/>
      <c r="F274" s="3" t="n">
        <v>1</v>
      </c>
      <c r="G274" s="3" t="inlineStr">
        <is>
          <t>PKG-17</t>
        </is>
      </c>
      <c r="H274" s="3" t="n">
        <v>1</v>
      </c>
    </row>
    <row r="275">
      <c r="A275" s="3" t="inlineStr">
        <is>
          <t>UNCATEGORIZED</t>
        </is>
      </c>
      <c r="B275" s="3" t="inlineStr">
        <is>
          <t>Uncategorized</t>
        </is>
      </c>
      <c r="C275" s="3" t="inlineStr">
        <is>
          <t>UNCATEGORIZED-272</t>
        </is>
      </c>
      <c r="D275" s="3" t="inlineStr">
        <is>
          <t>LV Switchgear Configuration</t>
        </is>
      </c>
      <c r="E275" s="3" t="inlineStr"/>
      <c r="F275" s="3" t="n">
        <v>1</v>
      </c>
      <c r="G275" s="3" t="inlineStr">
        <is>
          <t>PKG-17</t>
        </is>
      </c>
      <c r="H275" s="3" t="n">
        <v>1</v>
      </c>
    </row>
    <row r="276">
      <c r="A276" s="3" t="inlineStr">
        <is>
          <t>UNCATEGORIZED</t>
        </is>
      </c>
      <c r="B276" s="3" t="inlineStr">
        <is>
          <t>Uncategorized</t>
        </is>
      </c>
      <c r="C276" s="3" t="inlineStr">
        <is>
          <t>UNCATEGORIZED-273</t>
        </is>
      </c>
      <c r="D276" s="3" t="inlineStr">
        <is>
          <t>MV Power Cable Length</t>
        </is>
      </c>
      <c r="E276" s="3" t="inlineStr"/>
      <c r="F276" s="3" t="n">
        <v>1</v>
      </c>
      <c r="G276" s="3" t="inlineStr">
        <is>
          <t>PKG-17</t>
        </is>
      </c>
      <c r="H276" s="3" t="n">
        <v>1</v>
      </c>
    </row>
    <row r="277">
      <c r="A277" s="3" t="inlineStr">
        <is>
          <t>UNCATEGORIZED</t>
        </is>
      </c>
      <c r="B277" s="3" t="inlineStr">
        <is>
          <t>Uncategorized</t>
        </is>
      </c>
      <c r="C277" s="3" t="inlineStr">
        <is>
          <t>UNCATEGORIZED-274</t>
        </is>
      </c>
      <c r="D277" s="3" t="inlineStr">
        <is>
          <t>MV Switchgear Configuration</t>
        </is>
      </c>
      <c r="E277" s="3" t="inlineStr"/>
      <c r="F277" s="3" t="n">
        <v>1</v>
      </c>
      <c r="G277" s="3" t="inlineStr">
        <is>
          <t>PKG-17</t>
        </is>
      </c>
      <c r="H277" s="3" t="n">
        <v>1</v>
      </c>
    </row>
    <row r="278">
      <c r="A278" s="3" t="inlineStr">
        <is>
          <t>UNCATEGORIZED</t>
        </is>
      </c>
      <c r="B278" s="3" t="inlineStr">
        <is>
          <t>Uncategorized</t>
        </is>
      </c>
      <c r="C278" s="3" t="inlineStr">
        <is>
          <t>UNCATEGORIZED-275</t>
        </is>
      </c>
      <c r="D278" s="3" t="inlineStr">
        <is>
          <t>Manholes</t>
        </is>
      </c>
      <c r="E278" s="3" t="inlineStr"/>
      <c r="F278" s="3" t="n">
        <v>1</v>
      </c>
      <c r="G278" s="3" t="inlineStr">
        <is>
          <t>PKG-13</t>
        </is>
      </c>
      <c r="H278" s="3" t="n">
        <v>1</v>
      </c>
    </row>
    <row r="279">
      <c r="A279" s="3" t="inlineStr">
        <is>
          <t>UNCATEGORIZED</t>
        </is>
      </c>
      <c r="B279" s="3" t="inlineStr">
        <is>
          <t>Uncategorized</t>
        </is>
      </c>
      <c r="C279" s="3" t="inlineStr">
        <is>
          <t>UNCATEGORIZED-276</t>
        </is>
      </c>
      <c r="D279" s="3" t="inlineStr">
        <is>
          <t>Marine Loading Foam System</t>
        </is>
      </c>
      <c r="E279" s="3" t="inlineStr"/>
      <c r="F279" s="3" t="n">
        <v>1</v>
      </c>
      <c r="G279" s="3" t="inlineStr">
        <is>
          <t>PKG-23</t>
        </is>
      </c>
      <c r="H279" s="3" t="n">
        <v>1</v>
      </c>
    </row>
    <row r="280">
      <c r="A280" s="3" t="inlineStr">
        <is>
          <t>UNCATEGORIZED</t>
        </is>
      </c>
      <c r="B280" s="3" t="inlineStr">
        <is>
          <t>Uncategorized</t>
        </is>
      </c>
      <c r="C280" s="3" t="inlineStr">
        <is>
          <t>UNCATEGORIZED-277</t>
        </is>
      </c>
      <c r="D280" s="3" t="inlineStr">
        <is>
          <t>Marine Loading Instrumentation</t>
        </is>
      </c>
      <c r="E280" s="3" t="inlineStr"/>
      <c r="F280" s="3" t="n">
        <v>1</v>
      </c>
      <c r="G280" s="3" t="inlineStr">
        <is>
          <t>PKG-20</t>
        </is>
      </c>
      <c r="H280" s="3" t="n">
        <v>1</v>
      </c>
    </row>
    <row r="281">
      <c r="A281" s="3" t="inlineStr">
        <is>
          <t>UNCATEGORIZED</t>
        </is>
      </c>
      <c r="B281" s="3" t="inlineStr">
        <is>
          <t>Uncategorized</t>
        </is>
      </c>
      <c r="C281" s="3" t="inlineStr">
        <is>
          <t>UNCATEGORIZED-278</t>
        </is>
      </c>
      <c r="D281" s="3" t="inlineStr">
        <is>
          <t>Miscellaneous Switches</t>
        </is>
      </c>
      <c r="E281" s="3" t="inlineStr"/>
      <c r="F281" s="3" t="n">
        <v>1</v>
      </c>
      <c r="G281" s="3" t="inlineStr">
        <is>
          <t>PKG-20</t>
        </is>
      </c>
      <c r="H281" s="3" t="n">
        <v>1</v>
      </c>
    </row>
    <row r="282">
      <c r="A282" s="3" t="inlineStr">
        <is>
          <t>UNCATEGORIZED</t>
        </is>
      </c>
      <c r="B282" s="3" t="inlineStr">
        <is>
          <t>Uncategorized</t>
        </is>
      </c>
      <c r="C282" s="3" t="inlineStr">
        <is>
          <t>UNCATEGORIZED-279</t>
        </is>
      </c>
      <c r="D282" s="3" t="inlineStr">
        <is>
          <t>NDE</t>
        </is>
      </c>
      <c r="E282" s="3" t="inlineStr"/>
      <c r="F282" s="3" t="n">
        <v>1</v>
      </c>
      <c r="G282" s="3" t="inlineStr">
        <is>
          <t>PKG-13</t>
        </is>
      </c>
      <c r="H282" s="3" t="n">
        <v>1</v>
      </c>
    </row>
    <row r="283">
      <c r="A283" s="3" t="inlineStr">
        <is>
          <t>UNCATEGORIZED</t>
        </is>
      </c>
      <c r="B283" s="3" t="inlineStr">
        <is>
          <t>Uncategorized</t>
        </is>
      </c>
      <c r="C283" s="3" t="inlineStr">
        <is>
          <t>UNCATEGORIZED-280</t>
        </is>
      </c>
      <c r="D283" s="3" t="inlineStr">
        <is>
          <t>Nozzles</t>
        </is>
      </c>
      <c r="E283" s="3" t="inlineStr"/>
      <c r="F283" s="3" t="n">
        <v>1</v>
      </c>
      <c r="G283" s="3" t="inlineStr">
        <is>
          <t>PKG-13</t>
        </is>
      </c>
      <c r="H283" s="3" t="n">
        <v>1</v>
      </c>
    </row>
    <row r="284">
      <c r="A284" s="3" t="inlineStr">
        <is>
          <t>UNCATEGORIZED</t>
        </is>
      </c>
      <c r="B284" s="3" t="inlineStr">
        <is>
          <t>Uncategorized</t>
        </is>
      </c>
      <c r="C284" s="3" t="inlineStr">
        <is>
          <t>UNCATEGORIZED-281</t>
        </is>
      </c>
      <c r="D284" s="3" t="inlineStr">
        <is>
          <t>OEM Training for 8 Major Systems</t>
        </is>
      </c>
      <c r="E284" s="3" t="inlineStr"/>
      <c r="F284" s="3" t="n">
        <v>1</v>
      </c>
      <c r="G284" s="3" t="inlineStr">
        <is>
          <t>PKG-35</t>
        </is>
      </c>
      <c r="H284" s="3" t="n">
        <v>1</v>
      </c>
    </row>
    <row r="285">
      <c r="A285" s="3" t="inlineStr">
        <is>
          <t>UNCATEGORIZED</t>
        </is>
      </c>
      <c r="B285" s="3" t="inlineStr">
        <is>
          <t>Uncategorized</t>
        </is>
      </c>
      <c r="C285" s="3" t="inlineStr">
        <is>
          <t>UNCATEGORIZED-282</t>
        </is>
      </c>
      <c r="D285" s="3" t="inlineStr">
        <is>
          <t>Overflow</t>
        </is>
      </c>
      <c r="E285" s="3" t="inlineStr"/>
      <c r="F285" s="3" t="n">
        <v>1</v>
      </c>
      <c r="G285" s="3" t="inlineStr">
        <is>
          <t>PKG-13</t>
        </is>
      </c>
      <c r="H285" s="3" t="n">
        <v>1</v>
      </c>
    </row>
    <row r="286">
      <c r="A286" s="3" t="inlineStr">
        <is>
          <t>UNCATEGORIZED</t>
        </is>
      </c>
      <c r="B286" s="3" t="inlineStr">
        <is>
          <t>Uncategorized</t>
        </is>
      </c>
      <c r="C286" s="3" t="inlineStr">
        <is>
          <t>UNCATEGORIZED-283</t>
        </is>
      </c>
      <c r="D286" s="3" t="inlineStr">
        <is>
          <t>Phase 2</t>
        </is>
      </c>
      <c r="E286" s="3" t="inlineStr"/>
      <c r="F286" s="3" t="n">
        <v>1</v>
      </c>
      <c r="G286" s="3" t="inlineStr">
        <is>
          <t>PKG-13</t>
        </is>
      </c>
      <c r="H286" s="3" t="n">
        <v>1</v>
      </c>
    </row>
    <row r="287">
      <c r="A287" s="3" t="inlineStr">
        <is>
          <t>UNCATEGORIZED</t>
        </is>
      </c>
      <c r="B287" s="3" t="inlineStr">
        <is>
          <t>Uncategorized</t>
        </is>
      </c>
      <c r="C287" s="3" t="inlineStr">
        <is>
          <t>UNCATEGORIZED-284</t>
        </is>
      </c>
      <c r="D287" s="3" t="inlineStr">
        <is>
          <t>Pipe Supports and Racks</t>
        </is>
      </c>
      <c r="E287" s="3" t="inlineStr"/>
      <c r="F287" s="3" t="n">
        <v>1</v>
      </c>
      <c r="G287" s="3" t="inlineStr">
        <is>
          <t>PKG-06</t>
        </is>
      </c>
      <c r="H287" s="3" t="n">
        <v>1</v>
      </c>
    </row>
    <row r="288">
      <c r="A288" s="3" t="inlineStr">
        <is>
          <t>UNCATEGORIZED</t>
        </is>
      </c>
      <c r="B288" s="3" t="inlineStr">
        <is>
          <t>Uncategorized</t>
        </is>
      </c>
      <c r="C288" s="3" t="inlineStr">
        <is>
          <t>UNCATEGORIZED-285</t>
        </is>
      </c>
      <c r="D288" s="3" t="inlineStr">
        <is>
          <t>Product Classification</t>
        </is>
      </c>
      <c r="E288" s="3" t="inlineStr"/>
      <c r="F288" s="3" t="n">
        <v>1</v>
      </c>
      <c r="G288" s="3" t="inlineStr">
        <is>
          <t>PKG-23</t>
        </is>
      </c>
      <c r="H288" s="3" t="n">
        <v>1</v>
      </c>
    </row>
    <row r="289">
      <c r="A289" s="3" t="inlineStr">
        <is>
          <t>UNCATEGORIZED</t>
        </is>
      </c>
      <c r="B289" s="3" t="inlineStr">
        <is>
          <t>Uncategorized</t>
        </is>
      </c>
      <c r="C289" s="3" t="inlineStr">
        <is>
          <t>UNCATEGORIZED-286</t>
        </is>
      </c>
      <c r="D289" s="3" t="inlineStr">
        <is>
          <t>Railcar Unloading Instrumentation</t>
        </is>
      </c>
      <c r="E289" s="3" t="inlineStr"/>
      <c r="F289" s="3" t="n">
        <v>1</v>
      </c>
      <c r="G289" s="3" t="inlineStr">
        <is>
          <t>PKG-20</t>
        </is>
      </c>
      <c r="H289" s="3" t="n">
        <v>1</v>
      </c>
    </row>
    <row r="290">
      <c r="A290" s="3" t="inlineStr">
        <is>
          <t>UNCATEGORIZED</t>
        </is>
      </c>
      <c r="B290" s="3" t="inlineStr">
        <is>
          <t>Uncategorized</t>
        </is>
      </c>
      <c r="C290" s="3" t="inlineStr">
        <is>
          <t>UNCATEGORIZED-287</t>
        </is>
      </c>
      <c r="D290" s="3" t="inlineStr">
        <is>
          <t>Railcar unloading stations (32 stations) require **16 control valves** (one per ...</t>
        </is>
      </c>
      <c r="E290" s="3" t="inlineStr"/>
      <c r="F290" s="3" t="n">
        <v>1</v>
      </c>
      <c r="G290" s="3" t="inlineStr">
        <is>
          <t>PKG-16</t>
        </is>
      </c>
      <c r="H290" s="3" t="n">
        <v>1</v>
      </c>
    </row>
    <row r="291">
      <c r="A291" s="3" t="inlineStr">
        <is>
          <t>UNCATEGORIZED</t>
        </is>
      </c>
      <c r="B291" s="3" t="inlineStr">
        <is>
          <t>Uncategorized</t>
        </is>
      </c>
      <c r="C291" s="3" t="inlineStr">
        <is>
          <t>UNCATEGORIZED-288</t>
        </is>
      </c>
      <c r="D291" s="3" t="inlineStr">
        <is>
          <t>Required illuminance levels assumed based on IESNA recommendations pending ER ex...</t>
        </is>
      </c>
      <c r="E291" s="3" t="inlineStr"/>
      <c r="F291" s="3" t="n">
        <v>1</v>
      </c>
      <c r="G291" s="3" t="inlineStr">
        <is>
          <t>PKG-18</t>
        </is>
      </c>
      <c r="H291" s="3" t="n">
        <v>1</v>
      </c>
    </row>
    <row r="292">
      <c r="A292" s="3" t="inlineStr">
        <is>
          <t>UNCATEGORIZED</t>
        </is>
      </c>
      <c r="B292" s="3" t="inlineStr">
        <is>
          <t>Uncategorized</t>
        </is>
      </c>
      <c r="C292" s="3" t="inlineStr">
        <is>
          <t>UNCATEGORIZED-289</t>
        </is>
      </c>
      <c r="D292" s="3" t="inlineStr">
        <is>
          <t>Roof type</t>
        </is>
      </c>
      <c r="E292" s="3" t="inlineStr"/>
      <c r="F292" s="3" t="n">
        <v>1</v>
      </c>
      <c r="G292" s="3" t="inlineStr">
        <is>
          <t>PKG-13</t>
        </is>
      </c>
      <c r="H292" s="3" t="n">
        <v>1</v>
      </c>
    </row>
    <row r="293">
      <c r="A293" s="3" t="inlineStr">
        <is>
          <t>UNCATEGORIZED</t>
        </is>
      </c>
      <c r="B293" s="3" t="inlineStr">
        <is>
          <t>Uncategorized</t>
        </is>
      </c>
      <c r="C293" s="3" t="inlineStr">
        <is>
          <t>UNCATEGORIZED-290</t>
        </is>
      </c>
      <c r="D293" s="3" t="inlineStr">
        <is>
          <t>Security Compliance Records — DEL-34.04</t>
        </is>
      </c>
      <c r="E293" s="3" t="inlineStr"/>
      <c r="F293" s="3" t="n">
        <v>1</v>
      </c>
      <c r="G293" s="3" t="inlineStr">
        <is>
          <t>PKG-34</t>
        </is>
      </c>
      <c r="H293" s="3" t="n">
        <v>1</v>
      </c>
    </row>
    <row r="294">
      <c r="A294" s="3" t="inlineStr">
        <is>
          <t>UNCATEGORIZED</t>
        </is>
      </c>
      <c r="B294" s="3" t="inlineStr">
        <is>
          <t>Uncategorized</t>
        </is>
      </c>
      <c r="C294" s="3" t="inlineStr">
        <is>
          <t>UNCATEGORIZED-291</t>
        </is>
      </c>
      <c r="D294" s="3" t="inlineStr">
        <is>
          <t>Shell courses</t>
        </is>
      </c>
      <c r="E294" s="3" t="inlineStr"/>
      <c r="F294" s="3" t="n">
        <v>1</v>
      </c>
      <c r="G294" s="3" t="inlineStr">
        <is>
          <t>PKG-13</t>
        </is>
      </c>
      <c r="H294" s="3" t="n">
        <v>1</v>
      </c>
    </row>
    <row r="295">
      <c r="A295" s="3" t="inlineStr">
        <is>
          <t>UNCATEGORIZED</t>
        </is>
      </c>
      <c r="B295" s="3" t="inlineStr">
        <is>
          <t>Uncategorized</t>
        </is>
      </c>
      <c r="C295" s="3" t="inlineStr">
        <is>
          <t>UNCATEGORIZED-292</t>
        </is>
      </c>
      <c r="D295" s="3" t="inlineStr">
        <is>
          <t>Site Conditions</t>
        </is>
      </c>
      <c r="E295" s="3" t="inlineStr"/>
      <c r="F295" s="3" t="n">
        <v>1</v>
      </c>
      <c r="G295" s="3" t="inlineStr">
        <is>
          <t>PKG-20</t>
        </is>
      </c>
      <c r="H295" s="3" t="n">
        <v>1</v>
      </c>
    </row>
    <row r="296">
      <c r="A296" s="3" t="inlineStr">
        <is>
          <t>UNCATEGORIZED</t>
        </is>
      </c>
      <c r="B296" s="3" t="inlineStr">
        <is>
          <t>Uncategorized</t>
        </is>
      </c>
      <c r="C296" s="3" t="inlineStr">
        <is>
          <t>UNCATEGORIZED-293</t>
        </is>
      </c>
      <c r="D296" s="3" t="inlineStr">
        <is>
          <t>Site Conditions and Access</t>
        </is>
      </c>
      <c r="E296" s="3" t="inlineStr"/>
      <c r="F296" s="3" t="n">
        <v>1</v>
      </c>
      <c r="G296" s="3" t="inlineStr">
        <is>
          <t>PKG-22</t>
        </is>
      </c>
      <c r="H296" s="3" t="n">
        <v>1</v>
      </c>
    </row>
    <row r="297">
      <c r="A297" s="3" t="inlineStr">
        <is>
          <t>UNCATEGORIZED</t>
        </is>
      </c>
      <c r="B297" s="3" t="inlineStr">
        <is>
          <t>Uncategorized</t>
        </is>
      </c>
      <c r="C297" s="3" t="inlineStr">
        <is>
          <t>UNCATEGORIZED-294</t>
        </is>
      </c>
      <c r="D297" s="3" t="inlineStr">
        <is>
          <t>Stairs and Gangways (Fabricated Items)</t>
        </is>
      </c>
      <c r="E297" s="3" t="inlineStr"/>
      <c r="F297" s="3" t="n">
        <v>1</v>
      </c>
      <c r="G297" s="3" t="inlineStr">
        <is>
          <t>PKG-06</t>
        </is>
      </c>
      <c r="H297" s="3" t="n">
        <v>1</v>
      </c>
    </row>
    <row r="298">
      <c r="A298" s="3" t="inlineStr">
        <is>
          <t>UNCATEGORIZED</t>
        </is>
      </c>
      <c r="B298" s="3" t="inlineStr">
        <is>
          <t>Uncategorized</t>
        </is>
      </c>
      <c r="C298" s="3" t="inlineStr">
        <is>
          <t>UNCATEGORIZED-295</t>
        </is>
      </c>
      <c r="D298" s="3" t="inlineStr">
        <is>
          <t>Standard industrial control system complexity (typical liquid terminal)</t>
        </is>
      </c>
      <c r="E298" s="3" t="inlineStr"/>
      <c r="F298" s="3" t="n">
        <v>1</v>
      </c>
      <c r="G298" s="3" t="inlineStr">
        <is>
          <t>PKG-19</t>
        </is>
      </c>
      <c r="H298" s="3" t="n">
        <v>1</v>
      </c>
    </row>
    <row r="299">
      <c r="A299" s="3" t="inlineStr">
        <is>
          <t>UNCATEGORIZED</t>
        </is>
      </c>
      <c r="B299" s="3" t="inlineStr">
        <is>
          <t>Uncategorized</t>
        </is>
      </c>
      <c r="C299" s="3" t="inlineStr">
        <is>
          <t>UNCATEGORIZED-296</t>
        </is>
      </c>
      <c r="D299" s="3" t="inlineStr">
        <is>
          <t>Steel weight</t>
        </is>
      </c>
      <c r="E299" s="3" t="inlineStr"/>
      <c r="F299" s="3" t="n">
        <v>1</v>
      </c>
      <c r="G299" s="3" t="inlineStr">
        <is>
          <t>PKG-13</t>
        </is>
      </c>
      <c r="H299" s="3" t="n">
        <v>1</v>
      </c>
    </row>
    <row r="300">
      <c r="A300" s="3" t="inlineStr">
        <is>
          <t>UNCATEGORIZED</t>
        </is>
      </c>
      <c r="B300" s="3" t="inlineStr">
        <is>
          <t>Uncategorized</t>
        </is>
      </c>
      <c r="C300" s="3" t="inlineStr">
        <is>
          <t>UNCATEGORIZED-297</t>
        </is>
      </c>
      <c r="D300" s="3" t="inlineStr">
        <is>
          <t>Storage tanks (3 tanks) require **~36 valves total** (12 per tank)</t>
        </is>
      </c>
      <c r="E300" s="3" t="inlineStr"/>
      <c r="F300" s="3" t="n">
        <v>1</v>
      </c>
      <c r="G300" s="3" t="inlineStr">
        <is>
          <t>PKG-16</t>
        </is>
      </c>
      <c r="H300" s="3" t="n">
        <v>1</v>
      </c>
    </row>
    <row r="301">
      <c r="A301" s="3" t="inlineStr">
        <is>
          <t>UNCATEGORIZED</t>
        </is>
      </c>
      <c r="B301" s="3" t="inlineStr">
        <is>
          <t>Uncategorized</t>
        </is>
      </c>
      <c r="C301" s="3" t="inlineStr">
        <is>
          <t>UNCATEGORIZED-298</t>
        </is>
      </c>
      <c r="D301" s="3" t="inlineStr">
        <is>
          <t>Tank Foam Discharge Systems</t>
        </is>
      </c>
      <c r="E301" s="3" t="inlineStr"/>
      <c r="F301" s="3" t="n">
        <v>1</v>
      </c>
      <c r="G301" s="3" t="inlineStr">
        <is>
          <t>PKG-23</t>
        </is>
      </c>
      <c r="H301" s="3" t="n">
        <v>1</v>
      </c>
    </row>
    <row r="302">
      <c r="A302" s="3" t="inlineStr">
        <is>
          <t>UNCATEGORIZED</t>
        </is>
      </c>
      <c r="B302" s="3" t="inlineStr">
        <is>
          <t>Uncategorized</t>
        </is>
      </c>
      <c r="C302" s="3" t="inlineStr">
        <is>
          <t>UNCATEGORIZED-299</t>
        </is>
      </c>
      <c r="D302" s="3" t="inlineStr">
        <is>
          <t>Tank Instrumentation Density</t>
        </is>
      </c>
      <c r="E302" s="3" t="inlineStr"/>
      <c r="F302" s="3" t="n">
        <v>1</v>
      </c>
      <c r="G302" s="3" t="inlineStr">
        <is>
          <t>PKG-20</t>
        </is>
      </c>
      <c r="H302" s="3" t="n">
        <v>1</v>
      </c>
    </row>
    <row r="303">
      <c r="A303" s="3" t="inlineStr">
        <is>
          <t>UNCATEGORIZED</t>
        </is>
      </c>
      <c r="B303" s="3" t="inlineStr">
        <is>
          <t>Uncategorized</t>
        </is>
      </c>
      <c r="C303" s="3" t="inlineStr">
        <is>
          <t>UNCATEGORIZED-300</t>
        </is>
      </c>
      <c r="D303" s="3" t="inlineStr">
        <is>
          <t>Tank dimensions</t>
        </is>
      </c>
      <c r="E303" s="3" t="inlineStr"/>
      <c r="F303" s="3" t="n">
        <v>1</v>
      </c>
      <c r="G303" s="3" t="inlineStr">
        <is>
          <t>PKG-13</t>
        </is>
      </c>
      <c r="H303" s="3" t="n">
        <v>1</v>
      </c>
    </row>
    <row r="304">
      <c r="A304" s="3" t="inlineStr">
        <is>
          <t>UNCATEGORIZED</t>
        </is>
      </c>
      <c r="B304" s="3" t="inlineStr">
        <is>
          <t>Uncategorized</t>
        </is>
      </c>
      <c r="C304" s="3" t="inlineStr">
        <is>
          <t>UNCATEGORIZED-301</t>
        </is>
      </c>
      <c r="D304" s="3" t="inlineStr">
        <is>
          <t>Tank sizing</t>
        </is>
      </c>
      <c r="E304" s="3" t="inlineStr"/>
      <c r="F304" s="3" t="n">
        <v>1</v>
      </c>
      <c r="G304" s="3" t="inlineStr">
        <is>
          <t>PKG-13</t>
        </is>
      </c>
      <c r="H304" s="3" t="n">
        <v>1</v>
      </c>
    </row>
    <row r="305">
      <c r="A305" s="3" t="inlineStr">
        <is>
          <t>UNCATEGORIZED</t>
        </is>
      </c>
      <c r="B305" s="3" t="inlineStr">
        <is>
          <t>Uncategorized</t>
        </is>
      </c>
      <c r="C305" s="3" t="inlineStr">
        <is>
          <t>UNCATEGORIZED-302</t>
        </is>
      </c>
      <c r="D305" s="3" t="inlineStr">
        <is>
          <t>Three remote HMI panels at: railcar unloading area, tank farm, marine loading pl...</t>
        </is>
      </c>
      <c r="E305" s="3" t="inlineStr"/>
      <c r="F305" s="3" t="n">
        <v>1</v>
      </c>
      <c r="G305" s="3" t="inlineStr">
        <is>
          <t>PKG-19</t>
        </is>
      </c>
      <c r="H305" s="3" t="n">
        <v>1</v>
      </c>
    </row>
    <row r="306">
      <c r="A306" s="3" t="inlineStr">
        <is>
          <t>UNCATEGORIZED</t>
        </is>
      </c>
      <c r="B306" s="3" t="inlineStr">
        <is>
          <t>Uncategorized</t>
        </is>
      </c>
      <c r="C306" s="3" t="inlineStr">
        <is>
          <t>UNCATEGORIZED-303</t>
        </is>
      </c>
      <c r="D306" s="3" t="inlineStr">
        <is>
          <t>Training Population (30-50 Personnel)</t>
        </is>
      </c>
      <c r="E306" s="3" t="inlineStr"/>
      <c r="F306" s="3" t="n">
        <v>1</v>
      </c>
      <c r="G306" s="3" t="inlineStr">
        <is>
          <t>PKG-35</t>
        </is>
      </c>
      <c r="H306" s="3" t="n">
        <v>1</v>
      </c>
    </row>
    <row r="307">
      <c r="A307" s="3" t="inlineStr">
        <is>
          <t>UNCATEGORIZED</t>
        </is>
      </c>
      <c r="B307" s="3" t="inlineStr">
        <is>
          <t>Uncategorized</t>
        </is>
      </c>
      <c r="C307" s="3" t="inlineStr">
        <is>
          <t>UNCATEGORIZED-304</t>
        </is>
      </c>
      <c r="D307" s="3" t="inlineStr">
        <is>
          <t>Transfer Piping Instrumentation</t>
        </is>
      </c>
      <c r="E307" s="3" t="inlineStr"/>
      <c r="F307" s="3" t="n">
        <v>1</v>
      </c>
      <c r="G307" s="3" t="inlineStr">
        <is>
          <t>PKG-20</t>
        </is>
      </c>
      <c r="H307" s="3" t="n">
        <v>1</v>
      </c>
    </row>
    <row r="308">
      <c r="A308" s="3" t="inlineStr">
        <is>
          <t>UNCATEGORIZED</t>
        </is>
      </c>
      <c r="B308" s="3" t="inlineStr">
        <is>
          <t>Uncategorized</t>
        </is>
      </c>
      <c r="C308" s="3" t="inlineStr">
        <is>
          <t>UNCATEGORIZED-305</t>
        </is>
      </c>
      <c r="D308" s="3" t="inlineStr">
        <is>
          <t>Trenchless Crossing Monitoring — DEL-34.05</t>
        </is>
      </c>
      <c r="E308" s="3" t="inlineStr"/>
      <c r="F308" s="3" t="n">
        <v>1</v>
      </c>
      <c r="G308" s="3" t="inlineStr">
        <is>
          <t>PKG-34</t>
        </is>
      </c>
      <c r="H308" s="3" t="n">
        <v>1</v>
      </c>
    </row>
    <row r="309">
      <c r="A309" s="3" t="inlineStr">
        <is>
          <t>UNCATEGORIZED</t>
        </is>
      </c>
      <c r="B309" s="3" t="inlineStr">
        <is>
          <t>Uncategorized</t>
        </is>
      </c>
      <c r="C309" s="3" t="inlineStr">
        <is>
          <t>UNCATEGORIZED-306</t>
        </is>
      </c>
      <c r="D309" s="3" t="inlineStr">
        <is>
          <t>Two redundant DCS/PLC controllers (primary and standby)</t>
        </is>
      </c>
      <c r="E309" s="3" t="inlineStr"/>
      <c r="F309" s="3" t="n">
        <v>1</v>
      </c>
      <c r="G309" s="3" t="inlineStr">
        <is>
          <t>PKG-19</t>
        </is>
      </c>
      <c r="H309" s="3" t="n">
        <v>1</v>
      </c>
    </row>
    <row r="310">
      <c r="A310" s="3" t="inlineStr">
        <is>
          <t>UNCATEGORIZED</t>
        </is>
      </c>
      <c r="B310" s="3" t="inlineStr">
        <is>
          <t>Uncategorized</t>
        </is>
      </c>
      <c r="C310" s="3" t="inlineStr">
        <is>
          <t>UNCATEGORIZED-307</t>
        </is>
      </c>
      <c r="D310" s="3" t="inlineStr">
        <is>
          <t>UPS System Sizing</t>
        </is>
      </c>
      <c r="E310" s="3" t="inlineStr"/>
      <c r="F310" s="3" t="n">
        <v>1</v>
      </c>
      <c r="G310" s="3" t="inlineStr">
        <is>
          <t>PKG-17</t>
        </is>
      </c>
      <c r="H310" s="3" t="n">
        <v>1</v>
      </c>
    </row>
    <row r="311">
      <c r="A311" s="3" t="inlineStr">
        <is>
          <t>UNCATEGORIZED</t>
        </is>
      </c>
      <c r="B311" s="3" t="inlineStr">
        <is>
          <t>Uncategorized</t>
        </is>
      </c>
      <c r="C311" s="3" t="inlineStr">
        <is>
          <t>UNCATEGORIZED-308</t>
        </is>
      </c>
      <c r="D311" s="3" t="inlineStr">
        <is>
          <t>Valve size distribution: 60% small (DN50-100), 30% medium (DN150-200), 10% large...</t>
        </is>
      </c>
      <c r="E311" s="3" t="inlineStr"/>
      <c r="F311" s="3" t="n">
        <v>1</v>
      </c>
      <c r="G311" s="3" t="inlineStr">
        <is>
          <t>PKG-16</t>
        </is>
      </c>
      <c r="H311" s="3" t="n">
        <v>1</v>
      </c>
    </row>
    <row r="312">
      <c r="A312" s="3" t="inlineStr">
        <is>
          <t>UNCATEGORIZED</t>
        </is>
      </c>
      <c r="B312" s="3" t="inlineStr">
        <is>
          <t>Uncategorized</t>
        </is>
      </c>
      <c r="C312" s="3" t="inlineStr">
        <is>
          <t>UNCATEGORIZED-309</t>
        </is>
      </c>
      <c r="D312" s="3" t="inlineStr">
        <is>
          <t>Warranty and Spare Parts</t>
        </is>
      </c>
      <c r="E312" s="3" t="inlineStr"/>
      <c r="F312" s="3" t="n">
        <v>1</v>
      </c>
      <c r="G312" s="3" t="inlineStr">
        <is>
          <t>PKG-22</t>
        </is>
      </c>
      <c r="H312" s="3" t="n">
        <v>1</v>
      </c>
    </row>
    <row r="313">
      <c r="A313" s="3" t="inlineStr">
        <is>
          <t>UNCATEGORIZED</t>
        </is>
      </c>
      <c r="B313" s="3" t="inlineStr">
        <is>
          <t>Uncategorized</t>
        </is>
      </c>
      <c r="C313" s="3" t="inlineStr">
        <is>
          <t>UNCATEGORIZED-310</t>
        </is>
      </c>
      <c r="D313" s="3" t="inlineStr">
        <is>
          <t>Water draw-off</t>
        </is>
      </c>
      <c r="E313" s="3" t="inlineStr"/>
      <c r="F313" s="3" t="n">
        <v>1</v>
      </c>
      <c r="G313" s="3" t="inlineStr">
        <is>
          <t>PKG-13</t>
        </is>
      </c>
      <c r="H313" s="3" t="n">
        <v>1</v>
      </c>
    </row>
    <row r="314">
      <c r="A314" s="3" t="inlineStr">
        <is>
          <t>UNCATEGORIZED</t>
        </is>
      </c>
      <c r="B314" s="3" t="inlineStr">
        <is>
          <t>Uncategorized</t>
        </is>
      </c>
      <c r="C314" s="3" t="inlineStr">
        <is>
          <t>UNCATEGORIZED-311</t>
        </is>
      </c>
      <c r="D314" s="3" t="inlineStr">
        <is>
          <t>Weld Inspection and NDT</t>
        </is>
      </c>
      <c r="E314" s="3" t="inlineStr"/>
      <c r="F314" s="3" t="n">
        <v>1</v>
      </c>
      <c r="G314" s="3" t="inlineStr">
        <is>
          <t>PKG-06</t>
        </is>
      </c>
      <c r="H314" s="3" t="n">
        <v>1</v>
      </c>
    </row>
  </sheetData>
  <hyperlinks>
    <hyperlink xmlns:r="http://schemas.openxmlformats.org/officeDocument/2006/relationships" ref="I1" r:id="rId1"/>
  </hyperlinks>
  <pageMargins left="0.75" right="0.75" top="1" bottom="1" header="0.5" footer="0.5"/>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H591"/>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16" customWidth="1" min="3" max="3"/>
    <col width="40" customWidth="1" min="4" max="4"/>
    <col width="10" customWidth="1" min="5" max="5"/>
    <col width="14" customWidth="1" min="6" max="6"/>
    <col width="70" customWidth="1" min="7" max="7"/>
  </cols>
  <sheetData>
    <row r="1">
      <c r="A1" s="15" t="inlineStr">
        <is>
          <t>Assumptions — source items</t>
        </is>
      </c>
      <c r="H1" s="4" t="inlineStr">
        <is>
          <t>Home</t>
        </is>
      </c>
    </row>
    <row r="3">
      <c r="A3" s="16" t="inlineStr">
        <is>
          <t>CategoryCode</t>
        </is>
      </c>
      <c r="B3" s="16" t="inlineStr">
        <is>
          <t>Category</t>
        </is>
      </c>
      <c r="C3" s="16" t="inlineStr">
        <is>
          <t>GroupID</t>
        </is>
      </c>
      <c r="D3" s="16" t="inlineStr">
        <is>
          <t>GroupTitle</t>
        </is>
      </c>
      <c r="E3" s="16" t="inlineStr">
        <is>
          <t>Package</t>
        </is>
      </c>
      <c r="F3" s="16" t="inlineStr">
        <is>
          <t>AssumptionID</t>
        </is>
      </c>
      <c r="G3" s="16" t="inlineStr">
        <is>
          <t>Description</t>
        </is>
      </c>
    </row>
    <row r="4">
      <c r="A4" s="3" t="inlineStr">
        <is>
          <t>ASM-ENG</t>
        </is>
      </c>
      <c r="B4" s="3" t="inlineStr">
        <is>
          <t>Engineering Effort</t>
        </is>
      </c>
      <c r="C4" s="3" t="inlineStr">
        <is>
          <t>ASM-ENG-001</t>
        </is>
      </c>
      <c r="D4" s="3" t="inlineStr">
        <is>
          <t>Design Calculations Effort</t>
        </is>
      </c>
      <c r="E4" s="3" t="inlineStr">
        <is>
          <t>PKG-05</t>
        </is>
      </c>
      <c r="F4" s="3" t="inlineStr">
        <is>
          <t>A-003</t>
        </is>
      </c>
      <c r="G4" s="3" t="inlineStr">
        <is>
          <t>Concrete structures design calculations (foundation calcs,..</t>
        </is>
      </c>
    </row>
    <row r="5">
      <c r="A5" s="3" t="inlineStr">
        <is>
          <t>ASM-ENG</t>
        </is>
      </c>
      <c r="B5" s="3" t="inlineStr">
        <is>
          <t>Engineering Effort</t>
        </is>
      </c>
      <c r="C5" s="3" t="inlineStr">
        <is>
          <t>ASM-ENG-001</t>
        </is>
      </c>
      <c r="D5" s="3" t="inlineStr">
        <is>
          <t>Design Calculations Effort</t>
        </is>
      </c>
      <c r="E5" s="3" t="inlineStr">
        <is>
          <t>PKG-06</t>
        </is>
      </c>
      <c r="F5" s="3" t="inlineStr">
        <is>
          <t>A-003</t>
        </is>
      </c>
      <c r="G5" s="3" t="inlineStr">
        <is>
          <t>Structural Steel Design Calculations Effort</t>
        </is>
      </c>
    </row>
    <row r="6">
      <c r="A6" s="3" t="inlineStr">
        <is>
          <t>ASM-ENG</t>
        </is>
      </c>
      <c r="B6" s="3" t="inlineStr">
        <is>
          <t>Engineering Effort</t>
        </is>
      </c>
      <c r="C6" s="3" t="inlineStr">
        <is>
          <t>ASM-ENG-001</t>
        </is>
      </c>
      <c r="D6" s="3" t="inlineStr">
        <is>
          <t>Design Calculations Effort</t>
        </is>
      </c>
      <c r="E6" s="3" t="inlineStr">
        <is>
          <t>PKG-08</t>
        </is>
      </c>
      <c r="F6" s="3" t="inlineStr">
        <is>
          <t>A-803</t>
        </is>
      </c>
      <c r="G6" s="3" t="inlineStr">
        <is>
          <t>DEL-08.03 Design Calculations Allowance</t>
        </is>
      </c>
    </row>
    <row r="7">
      <c r="A7" s="3" t="inlineStr">
        <is>
          <t>ASM-ENG</t>
        </is>
      </c>
      <c r="B7" s="3" t="inlineStr">
        <is>
          <t>Engineering Effort</t>
        </is>
      </c>
      <c r="C7" s="3" t="inlineStr">
        <is>
          <t>ASM-ENG-001</t>
        </is>
      </c>
      <c r="D7" s="3" t="inlineStr">
        <is>
          <t>Design Calculations Effort</t>
        </is>
      </c>
      <c r="E7" s="3" t="inlineStr">
        <is>
          <t>PKG-10</t>
        </is>
      </c>
      <c r="F7" s="3" t="inlineStr">
        <is>
          <t>A-008</t>
        </is>
      </c>
      <c r="G7" s="3" t="inlineStr">
        <is>
          <t>DEL-10.03 Design Calculations engineering effort priced at..</t>
        </is>
      </c>
    </row>
    <row r="8">
      <c r="A8" s="3" t="inlineStr">
        <is>
          <t>ASM-ENG</t>
        </is>
      </c>
      <c r="B8" s="3" t="inlineStr">
        <is>
          <t>Engineering Effort</t>
        </is>
      </c>
      <c r="C8" s="3" t="inlineStr">
        <is>
          <t>ASM-ENG-001</t>
        </is>
      </c>
      <c r="D8" s="3" t="inlineStr">
        <is>
          <t>Design Calculations Effort</t>
        </is>
      </c>
      <c r="E8" s="3" t="inlineStr">
        <is>
          <t>PKG-11</t>
        </is>
      </c>
      <c r="F8" s="3" t="inlineStr">
        <is>
          <t>A-009</t>
        </is>
      </c>
      <c r="G8" s="3" t="inlineStr">
        <is>
          <t>Design calculations require ~80 hours at $250/hr (senior p..</t>
        </is>
      </c>
    </row>
    <row r="9">
      <c r="A9" s="3" t="inlineStr">
        <is>
          <t>ASM-ENG</t>
        </is>
      </c>
      <c r="B9" s="3" t="inlineStr">
        <is>
          <t>Engineering Effort</t>
        </is>
      </c>
      <c r="C9" s="3" t="inlineStr">
        <is>
          <t>ASM-ENG-001</t>
        </is>
      </c>
      <c r="D9" s="3" t="inlineStr">
        <is>
          <t>Design Calculations Effort</t>
        </is>
      </c>
      <c r="E9" s="3" t="inlineStr">
        <is>
          <t>PKG-17</t>
        </is>
      </c>
      <c r="F9" s="3" t="inlineStr">
        <is>
          <t>A-1703</t>
        </is>
      </c>
      <c r="G9" s="3" t="inlineStr">
        <is>
          <t>Electrical Power Design Calculations Allowance</t>
        </is>
      </c>
    </row>
    <row r="10">
      <c r="A10" s="3" t="inlineStr">
        <is>
          <t>ASM-ENG</t>
        </is>
      </c>
      <c r="B10" s="3" t="inlineStr">
        <is>
          <t>Engineering Effort</t>
        </is>
      </c>
      <c r="C10" s="3" t="inlineStr">
        <is>
          <t>ASM-ENG-001</t>
        </is>
      </c>
      <c r="D10" s="3" t="inlineStr">
        <is>
          <t>Design Calculations Effort</t>
        </is>
      </c>
      <c r="E10" s="3" t="inlineStr">
        <is>
          <t>PKG-20</t>
        </is>
      </c>
      <c r="F10" s="3" t="inlineStr">
        <is>
          <t>A-013</t>
        </is>
      </c>
      <c r="G10" s="3" t="inlineStr">
        <is>
          <t>Design Calculation Effort</t>
        </is>
      </c>
    </row>
    <row r="11">
      <c r="A11" s="3" t="inlineStr">
        <is>
          <t>ASM-ENG</t>
        </is>
      </c>
      <c r="B11" s="3" t="inlineStr">
        <is>
          <t>Engineering Effort</t>
        </is>
      </c>
      <c r="C11" s="3" t="inlineStr">
        <is>
          <t>ASM-ENG-001</t>
        </is>
      </c>
      <c r="D11" s="3" t="inlineStr">
        <is>
          <t>Design Calculations Effort</t>
        </is>
      </c>
      <c r="E11" s="3" t="inlineStr">
        <is>
          <t>PKG-21</t>
        </is>
      </c>
      <c r="F11" s="3" t="inlineStr">
        <is>
          <t>A-005</t>
        </is>
      </c>
      <c r="G11" s="3" t="inlineStr">
        <is>
          <t>Structural/foundation calculations at $45,000 allowance</t>
        </is>
      </c>
    </row>
    <row r="12">
      <c r="A12" s="3" t="inlineStr">
        <is>
          <t>ASM-ENG</t>
        </is>
      </c>
      <c r="B12" s="3" t="inlineStr">
        <is>
          <t>Engineering Effort</t>
        </is>
      </c>
      <c r="C12" s="3" t="inlineStr">
        <is>
          <t>ASM-ENG-002</t>
        </is>
      </c>
      <c r="D12" s="3" t="inlineStr">
        <is>
          <t>Calculations</t>
        </is>
      </c>
      <c r="E12" s="3" t="inlineStr">
        <is>
          <t>PKG-13</t>
        </is>
      </c>
      <c r="F12" s="3" t="inlineStr">
        <is>
          <t>A-013</t>
        </is>
      </c>
      <c r="G12" s="3" t="inlineStr">
        <is>
          <t>Calculations</t>
        </is>
      </c>
    </row>
    <row r="13">
      <c r="A13" s="3" t="inlineStr">
        <is>
          <t>ASM-ENG</t>
        </is>
      </c>
      <c r="B13" s="3" t="inlineStr">
        <is>
          <t>Engineering Effort</t>
        </is>
      </c>
      <c r="C13" s="3" t="inlineStr">
        <is>
          <t>ASM-ENG-003</t>
        </is>
      </c>
      <c r="D13" s="3" t="inlineStr">
        <is>
          <t>Design Codes and Standards</t>
        </is>
      </c>
      <c r="E13" s="3" t="inlineStr">
        <is>
          <t>PKG-23</t>
        </is>
      </c>
      <c r="F13" s="3" t="inlineStr">
        <is>
          <t>A-022</t>
        </is>
      </c>
      <c r="G13" s="3" t="inlineStr">
        <is>
          <t>Design Codes and Standards</t>
        </is>
      </c>
    </row>
    <row r="14">
      <c r="A14" s="3" t="inlineStr">
        <is>
          <t>ASM-ENG</t>
        </is>
      </c>
      <c r="B14" s="3" t="inlineStr">
        <is>
          <t>Engineering Effort</t>
        </is>
      </c>
      <c r="C14" s="3" t="inlineStr">
        <is>
          <t>ASM-ENG-004</t>
        </is>
      </c>
      <c r="D14" s="3" t="inlineStr">
        <is>
          <t>Drawings</t>
        </is>
      </c>
      <c r="E14" s="3" t="inlineStr">
        <is>
          <t>PKG-13</t>
        </is>
      </c>
      <c r="F14" s="3" t="inlineStr">
        <is>
          <t>A-011</t>
        </is>
      </c>
      <c r="G14" s="3" t="inlineStr">
        <is>
          <t>Drawings</t>
        </is>
      </c>
    </row>
    <row r="15">
      <c r="A15" s="3" t="inlineStr">
        <is>
          <t>ASM-ENG</t>
        </is>
      </c>
      <c r="B15" s="3" t="inlineStr">
        <is>
          <t>Engineering Effort</t>
        </is>
      </c>
      <c r="C15" s="3" t="inlineStr">
        <is>
          <t>ASM-ENG-005</t>
        </is>
      </c>
      <c r="D15" s="3" t="inlineStr">
        <is>
          <t>Engineering Design Effort (6 Deliverables)</t>
        </is>
      </c>
      <c r="E15" s="3" t="inlineStr">
        <is>
          <t>PKG-22</t>
        </is>
      </c>
      <c r="F15" s="3" t="inlineStr">
        <is>
          <t>A-006</t>
        </is>
      </c>
      <c r="G15" s="3" t="inlineStr">
        <is>
          <t>Engineering Design Effort (6 Deliverables)</t>
        </is>
      </c>
    </row>
    <row r="16">
      <c r="A16" s="3" t="inlineStr">
        <is>
          <t>ASM-ENG</t>
        </is>
      </c>
      <c r="B16" s="3" t="inlineStr">
        <is>
          <t>Engineering Effort</t>
        </is>
      </c>
      <c r="C16" s="3" t="inlineStr">
        <is>
          <t>ASM-ENG-006</t>
        </is>
      </c>
      <c r="D16" s="3" t="inlineStr">
        <is>
          <t>Engineering Drawing Effort</t>
        </is>
      </c>
      <c r="E16" s="3" t="inlineStr">
        <is>
          <t>PKG-20</t>
        </is>
      </c>
      <c r="F16" s="3" t="inlineStr">
        <is>
          <t>A-011</t>
        </is>
      </c>
      <c r="G16" s="3" t="inlineStr">
        <is>
          <t>Engineering Drawing Effort</t>
        </is>
      </c>
    </row>
    <row r="17">
      <c r="A17" s="3" t="inlineStr">
        <is>
          <t>ASM-ENG</t>
        </is>
      </c>
      <c r="B17" s="3" t="inlineStr">
        <is>
          <t>Engineering Effort</t>
        </is>
      </c>
      <c r="C17" s="3" t="inlineStr">
        <is>
          <t>ASM-ENG-007</t>
        </is>
      </c>
      <c r="D17" s="3" t="inlineStr">
        <is>
          <t>Engineering design at approximately 11% of construction value</t>
        </is>
      </c>
      <c r="E17" s="3" t="inlineStr">
        <is>
          <t>PKG-21</t>
        </is>
      </c>
      <c r="F17" s="3" t="inlineStr">
        <is>
          <t>A-003</t>
        </is>
      </c>
      <c r="G17" s="3" t="inlineStr">
        <is>
          <t>Engineering design at approximately 11% of construction va..</t>
        </is>
      </c>
    </row>
    <row r="18">
      <c r="A18" s="3" t="inlineStr">
        <is>
          <t>ASM-ENG</t>
        </is>
      </c>
      <c r="B18" s="3" t="inlineStr">
        <is>
          <t>Engineering Effort</t>
        </is>
      </c>
      <c r="C18" s="3" t="inlineStr">
        <is>
          <t>ASM-ENG-008</t>
        </is>
      </c>
      <c r="D18" s="3" t="inlineStr">
        <is>
          <t>Engineering effort estimated at **3,400 hours** across 5 deliverables</t>
        </is>
      </c>
      <c r="E18" s="3" t="inlineStr">
        <is>
          <t>PKG-16</t>
        </is>
      </c>
      <c r="F18" s="3" t="inlineStr">
        <is>
          <t>A-1613</t>
        </is>
      </c>
      <c r="G18" s="3" t="inlineStr">
        <is>
          <t>Engineering effort estimated at **3,400 hours** across 5 d..</t>
        </is>
      </c>
    </row>
    <row r="19">
      <c r="A19" s="3" t="inlineStr">
        <is>
          <t>ASM-ENG</t>
        </is>
      </c>
      <c r="B19" s="3" t="inlineStr">
        <is>
          <t>Engineering Effort</t>
        </is>
      </c>
      <c r="C19" s="3" t="inlineStr">
        <is>
          <t>ASM-ENG-009</t>
        </is>
      </c>
      <c r="D19" s="3" t="inlineStr">
        <is>
          <t>Lighting poles designed for NBCC 2020 seismic and wind loads for Surrey, BC loca...</t>
        </is>
      </c>
      <c r="E19" s="3" t="inlineStr">
        <is>
          <t>PKG-18</t>
        </is>
      </c>
      <c r="F19" s="3" t="inlineStr">
        <is>
          <t>A-1830</t>
        </is>
      </c>
      <c r="G19" s="3" t="inlineStr">
        <is>
          <t>Lighting poles designed for NBCC 2020 seismic and wind loa..</t>
        </is>
      </c>
    </row>
    <row r="20">
      <c r="A20" s="3" t="inlineStr">
        <is>
          <t>ASM-ENG</t>
        </is>
      </c>
      <c r="B20" s="3" t="inlineStr">
        <is>
          <t>Engineering Effort</t>
        </is>
      </c>
      <c r="C20" s="3" t="inlineStr">
        <is>
          <t>ASM-ENG-010</t>
        </is>
      </c>
      <c r="D20" s="3" t="inlineStr">
        <is>
          <t>Shop Drawings and Submittals</t>
        </is>
      </c>
      <c r="E20" s="3" t="inlineStr">
        <is>
          <t>PKG-22</t>
        </is>
      </c>
      <c r="F20" s="3" t="inlineStr">
        <is>
          <t>A-021</t>
        </is>
      </c>
      <c r="G20" s="3" t="inlineStr">
        <is>
          <t>Shop Drawings and Submittals</t>
        </is>
      </c>
    </row>
    <row r="21">
      <c r="A21" s="3" t="inlineStr">
        <is>
          <t>ASM-ENG</t>
        </is>
      </c>
      <c r="B21" s="3" t="inlineStr">
        <is>
          <t>Engineering Effort</t>
        </is>
      </c>
      <c r="C21" s="3" t="inlineStr">
        <is>
          <t>ASM-ENG-011</t>
        </is>
      </c>
      <c r="D21" s="3" t="inlineStr">
        <is>
          <t>Specifications</t>
        </is>
      </c>
      <c r="E21" s="3" t="inlineStr">
        <is>
          <t>PKG-13</t>
        </is>
      </c>
      <c r="F21" s="3" t="inlineStr">
        <is>
          <t>A-012</t>
        </is>
      </c>
      <c r="G21" s="3" t="inlineStr">
        <is>
          <t>Specifications</t>
        </is>
      </c>
    </row>
    <row r="22">
      <c r="A22" s="3" t="inlineStr">
        <is>
          <t>ASM-ENG</t>
        </is>
      </c>
      <c r="B22" s="3" t="inlineStr">
        <is>
          <t>Engineering Effort</t>
        </is>
      </c>
      <c r="C22" s="3" t="inlineStr">
        <is>
          <t>ASM-ENG-012</t>
        </is>
      </c>
      <c r="D22" s="3" t="inlineStr">
        <is>
          <t>Three HMI workstations: 2 operator stations + 1 engineering station</t>
        </is>
      </c>
      <c r="E22" s="3" t="inlineStr">
        <is>
          <t>PKG-19</t>
        </is>
      </c>
      <c r="F22" s="3" t="inlineStr">
        <is>
          <t>A-004</t>
        </is>
      </c>
      <c r="G22" s="3" t="inlineStr">
        <is>
          <t>Three HMI workstations: 2 operator stations + 1 engineerin..</t>
        </is>
      </c>
    </row>
    <row r="23">
      <c r="A23" s="3" t="inlineStr">
        <is>
          <t>ASM-INTF</t>
        </is>
      </c>
      <c r="B23" s="3" t="inlineStr">
        <is>
          <t>Interface &amp; Coordination</t>
        </is>
      </c>
      <c r="C23" s="3" t="inlineStr">
        <is>
          <t>ASM-INTF-013</t>
        </is>
      </c>
      <c r="D23" s="3" t="inlineStr">
        <is>
          <t>Interface Dependencies</t>
        </is>
      </c>
      <c r="E23" s="3" t="inlineStr">
        <is>
          <t>PKG-22</t>
        </is>
      </c>
      <c r="F23" s="3" t="inlineStr">
        <is>
          <t>A-014</t>
        </is>
      </c>
      <c r="G23" s="3" t="inlineStr">
        <is>
          <t>Control System Interfaces (Coordination with PKG-19)</t>
        </is>
      </c>
    </row>
    <row r="24">
      <c r="A24" s="3" t="inlineStr">
        <is>
          <t>ASM-INTF</t>
        </is>
      </c>
      <c r="B24" s="3" t="inlineStr">
        <is>
          <t>Interface &amp; Coordination</t>
        </is>
      </c>
      <c r="C24" s="3" t="inlineStr">
        <is>
          <t>ASM-INTF-013</t>
        </is>
      </c>
      <c r="D24" s="3" t="inlineStr">
        <is>
          <t>Interface Dependencies</t>
        </is>
      </c>
      <c r="E24" s="3" t="inlineStr">
        <is>
          <t>PKG-22</t>
        </is>
      </c>
      <c r="F24" s="3" t="inlineStr">
        <is>
          <t>A-015</t>
        </is>
      </c>
      <c r="G24" s="3" t="inlineStr">
        <is>
          <t>Electrical Power Coordination (PKG-17 Interface)</t>
        </is>
      </c>
    </row>
    <row r="25">
      <c r="A25" s="3" t="inlineStr">
        <is>
          <t>ASM-INTF</t>
        </is>
      </c>
      <c r="B25" s="3" t="inlineStr">
        <is>
          <t>Interface &amp; Coordination</t>
        </is>
      </c>
      <c r="C25" s="3" t="inlineStr">
        <is>
          <t>ASM-INTF-013</t>
        </is>
      </c>
      <c r="D25" s="3" t="inlineStr">
        <is>
          <t>Interface Dependencies</t>
        </is>
      </c>
      <c r="E25" s="3" t="inlineStr">
        <is>
          <t>PKG-22</t>
        </is>
      </c>
      <c r="F25" s="3" t="inlineStr">
        <is>
          <t>A-016</t>
        </is>
      </c>
      <c r="G25" s="3" t="inlineStr">
        <is>
          <t>Fire Water Supply (PKG-23 Interface)</t>
        </is>
      </c>
    </row>
    <row r="26">
      <c r="A26" s="3" t="inlineStr">
        <is>
          <t>ASM-INTF</t>
        </is>
      </c>
      <c r="B26" s="3" t="inlineStr">
        <is>
          <t>Interface &amp; Coordination</t>
        </is>
      </c>
      <c r="C26" s="3" t="inlineStr">
        <is>
          <t>ASM-INTF-013</t>
        </is>
      </c>
      <c r="D26" s="3" t="inlineStr">
        <is>
          <t>Interface Dependencies</t>
        </is>
      </c>
      <c r="E26" s="3" t="inlineStr">
        <is>
          <t>PKG-22</t>
        </is>
      </c>
      <c r="F26" s="3" t="inlineStr">
        <is>
          <t>A-017</t>
        </is>
      </c>
      <c r="G26" s="3" t="inlineStr">
        <is>
          <t>Building Coordination (PKG-21 Interface)</t>
        </is>
      </c>
    </row>
    <row r="27">
      <c r="A27" s="3" t="inlineStr">
        <is>
          <t>ASM-INTF</t>
        </is>
      </c>
      <c r="B27" s="3" t="inlineStr">
        <is>
          <t>Interface &amp; Coordination</t>
        </is>
      </c>
      <c r="C27" s="3" t="inlineStr">
        <is>
          <t>ASM-INTF-014</t>
        </is>
      </c>
      <c r="D27" s="3" t="inlineStr">
        <is>
          <t>PKG-27 A-2701</t>
        </is>
      </c>
      <c r="E27" s="3" t="inlineStr">
        <is>
          <t>PKG-27</t>
        </is>
      </c>
      <c r="F27" s="3" t="inlineStr">
        <is>
          <t>A-2701</t>
        </is>
      </c>
      <c r="G27" s="3" t="inlineStr">
        <is>
          <t>PKG-27 A-2701</t>
        </is>
      </c>
    </row>
    <row r="28">
      <c r="A28" s="3" t="inlineStr">
        <is>
          <t>ASM-INTF</t>
        </is>
      </c>
      <c r="B28" s="3" t="inlineStr">
        <is>
          <t>Interface &amp; Coordination</t>
        </is>
      </c>
      <c r="C28" s="3" t="inlineStr">
        <is>
          <t>ASM-INTF-014</t>
        </is>
      </c>
      <c r="D28" s="3" t="inlineStr">
        <is>
          <t>PKG-27 A-2701</t>
        </is>
      </c>
      <c r="E28" s="3" t="inlineStr">
        <is>
          <t>PKG-27</t>
        </is>
      </c>
      <c r="F28" s="3" t="inlineStr">
        <is>
          <t>A-2702</t>
        </is>
      </c>
      <c r="G28" s="3" t="inlineStr">
        <is>
          <t>PKG-27 A-2702</t>
        </is>
      </c>
    </row>
    <row r="29">
      <c r="A29" s="3" t="inlineStr">
        <is>
          <t>ASM-INTF</t>
        </is>
      </c>
      <c r="B29" s="3" t="inlineStr">
        <is>
          <t>Interface &amp; Coordination</t>
        </is>
      </c>
      <c r="C29" s="3" t="inlineStr">
        <is>
          <t>ASM-INTF-014</t>
        </is>
      </c>
      <c r="D29" s="3" t="inlineStr">
        <is>
          <t>PKG-27 A-2701</t>
        </is>
      </c>
      <c r="E29" s="3" t="inlineStr">
        <is>
          <t>PKG-27</t>
        </is>
      </c>
      <c r="F29" s="3" t="inlineStr">
        <is>
          <t>A-2703</t>
        </is>
      </c>
      <c r="G29" s="3" t="inlineStr">
        <is>
          <t>PKG-27 A-2703</t>
        </is>
      </c>
    </row>
    <row r="30">
      <c r="A30" s="3" t="inlineStr">
        <is>
          <t>ASM-INTF</t>
        </is>
      </c>
      <c r="B30" s="3" t="inlineStr">
        <is>
          <t>Interface &amp; Coordination</t>
        </is>
      </c>
      <c r="C30" s="3" t="inlineStr">
        <is>
          <t>ASM-INTF-014</t>
        </is>
      </c>
      <c r="D30" s="3" t="inlineStr">
        <is>
          <t>PKG-27 A-2701</t>
        </is>
      </c>
      <c r="E30" s="3" t="inlineStr">
        <is>
          <t>PKG-27</t>
        </is>
      </c>
      <c r="F30" s="3" t="inlineStr">
        <is>
          <t>A-2704</t>
        </is>
      </c>
      <c r="G30" s="3" t="inlineStr">
        <is>
          <t>PKG-27 A-2704</t>
        </is>
      </c>
    </row>
    <row r="31">
      <c r="A31" s="3" t="inlineStr">
        <is>
          <t>ASM-INTF</t>
        </is>
      </c>
      <c r="B31" s="3" t="inlineStr">
        <is>
          <t>Interface &amp; Coordination</t>
        </is>
      </c>
      <c r="C31" s="3" t="inlineStr">
        <is>
          <t>ASM-INTF-014</t>
        </is>
      </c>
      <c r="D31" s="3" t="inlineStr">
        <is>
          <t>PKG-27 A-2701</t>
        </is>
      </c>
      <c r="E31" s="3" t="inlineStr">
        <is>
          <t>PKG-27</t>
        </is>
      </c>
      <c r="F31" s="3" t="inlineStr">
        <is>
          <t>A-2705</t>
        </is>
      </c>
      <c r="G31" s="3" t="inlineStr">
        <is>
          <t>PKG-27 A-2705</t>
        </is>
      </c>
    </row>
    <row r="32">
      <c r="A32" s="3" t="inlineStr">
        <is>
          <t>ASM-INTF</t>
        </is>
      </c>
      <c r="B32" s="3" t="inlineStr">
        <is>
          <t>Interface &amp; Coordination</t>
        </is>
      </c>
      <c r="C32" s="3" t="inlineStr">
        <is>
          <t>ASM-INTF-014</t>
        </is>
      </c>
      <c r="D32" s="3" t="inlineStr">
        <is>
          <t>PKG-27 A-2701</t>
        </is>
      </c>
      <c r="E32" s="3" t="inlineStr">
        <is>
          <t>PKG-27</t>
        </is>
      </c>
      <c r="F32" s="3" t="inlineStr">
        <is>
          <t>A-2706</t>
        </is>
      </c>
      <c r="G32" s="3" t="inlineStr">
        <is>
          <t>PKG-27 A-2706</t>
        </is>
      </c>
    </row>
    <row r="33">
      <c r="A33" s="3" t="inlineStr">
        <is>
          <t>ASM-INTF</t>
        </is>
      </c>
      <c r="B33" s="3" t="inlineStr">
        <is>
          <t>Interface &amp; Coordination</t>
        </is>
      </c>
      <c r="C33" s="3" t="inlineStr">
        <is>
          <t>ASM-INTF-014</t>
        </is>
      </c>
      <c r="D33" s="3" t="inlineStr">
        <is>
          <t>PKG-27 A-2701</t>
        </is>
      </c>
      <c r="E33" s="3" t="inlineStr">
        <is>
          <t>PKG-27</t>
        </is>
      </c>
      <c r="F33" s="3" t="inlineStr">
        <is>
          <t>A-2707</t>
        </is>
      </c>
      <c r="G33" s="3" t="inlineStr">
        <is>
          <t>PKG-27 A-2707</t>
        </is>
      </c>
    </row>
    <row r="34">
      <c r="A34" s="3" t="inlineStr">
        <is>
          <t>ASM-INTF</t>
        </is>
      </c>
      <c r="B34" s="3" t="inlineStr">
        <is>
          <t>Interface &amp; Coordination</t>
        </is>
      </c>
      <c r="C34" s="3" t="inlineStr">
        <is>
          <t>ASM-INTF-014</t>
        </is>
      </c>
      <c r="D34" s="3" t="inlineStr">
        <is>
          <t>PKG-27 A-2701</t>
        </is>
      </c>
      <c r="E34" s="3" t="inlineStr">
        <is>
          <t>PKG-27</t>
        </is>
      </c>
      <c r="F34" s="3" t="inlineStr">
        <is>
          <t>A-2708</t>
        </is>
      </c>
      <c r="G34" s="3" t="inlineStr">
        <is>
          <t>PKG-27 A-2708</t>
        </is>
      </c>
    </row>
    <row r="35">
      <c r="A35" s="3" t="inlineStr">
        <is>
          <t>ASM-INTF</t>
        </is>
      </c>
      <c r="B35" s="3" t="inlineStr">
        <is>
          <t>Interface &amp; Coordination</t>
        </is>
      </c>
      <c r="C35" s="3" t="inlineStr">
        <is>
          <t>ASM-INTF-014</t>
        </is>
      </c>
      <c r="D35" s="3" t="inlineStr">
        <is>
          <t>PKG-27 A-2701</t>
        </is>
      </c>
      <c r="E35" s="3" t="inlineStr">
        <is>
          <t>PKG-27</t>
        </is>
      </c>
      <c r="F35" s="3" t="inlineStr">
        <is>
          <t>A-2709</t>
        </is>
      </c>
      <c r="G35" s="3" t="inlineStr">
        <is>
          <t>PKG-27 A-2709</t>
        </is>
      </c>
    </row>
    <row r="36">
      <c r="A36" s="3" t="inlineStr">
        <is>
          <t>ASM-INTF</t>
        </is>
      </c>
      <c r="B36" s="3" t="inlineStr">
        <is>
          <t>Interface &amp; Coordination</t>
        </is>
      </c>
      <c r="C36" s="3" t="inlineStr">
        <is>
          <t>ASM-INTF-014</t>
        </is>
      </c>
      <c r="D36" s="3" t="inlineStr">
        <is>
          <t>PKG-27 A-2701</t>
        </is>
      </c>
      <c r="E36" s="3" t="inlineStr">
        <is>
          <t>PKG-27</t>
        </is>
      </c>
      <c r="F36" s="3" t="inlineStr">
        <is>
          <t>A-2710</t>
        </is>
      </c>
      <c r="G36" s="3" t="inlineStr">
        <is>
          <t>PKG-27 A-2710</t>
        </is>
      </c>
    </row>
    <row r="37">
      <c r="A37" s="3" t="inlineStr">
        <is>
          <t>ASM-INTF</t>
        </is>
      </c>
      <c r="B37" s="3" t="inlineStr">
        <is>
          <t>Interface &amp; Coordination</t>
        </is>
      </c>
      <c r="C37" s="3" t="inlineStr">
        <is>
          <t>ASM-INTF-014</t>
        </is>
      </c>
      <c r="D37" s="3" t="inlineStr">
        <is>
          <t>PKG-27 A-2701</t>
        </is>
      </c>
      <c r="E37" s="3" t="inlineStr">
        <is>
          <t>PKG-27</t>
        </is>
      </c>
      <c r="F37" s="3" t="inlineStr">
        <is>
          <t>A-2711</t>
        </is>
      </c>
      <c r="G37" s="3" t="inlineStr">
        <is>
          <t>PKG-27 A-2711</t>
        </is>
      </c>
    </row>
    <row r="38">
      <c r="A38" s="3" t="inlineStr">
        <is>
          <t>ASM-INTF</t>
        </is>
      </c>
      <c r="B38" s="3" t="inlineStr">
        <is>
          <t>Interface &amp; Coordination</t>
        </is>
      </c>
      <c r="C38" s="3" t="inlineStr">
        <is>
          <t>ASM-INTF-014</t>
        </is>
      </c>
      <c r="D38" s="3" t="inlineStr">
        <is>
          <t>PKG-27 A-2701</t>
        </is>
      </c>
      <c r="E38" s="3" t="inlineStr">
        <is>
          <t>PKG-27</t>
        </is>
      </c>
      <c r="F38" s="3" t="inlineStr">
        <is>
          <t>A-2712</t>
        </is>
      </c>
      <c r="G38" s="3" t="inlineStr">
        <is>
          <t>PKG-27 A-2712</t>
        </is>
      </c>
    </row>
    <row r="39">
      <c r="A39" s="3" t="inlineStr">
        <is>
          <t>ASM-INTF</t>
        </is>
      </c>
      <c r="B39" s="3" t="inlineStr">
        <is>
          <t>Interface &amp; Coordination</t>
        </is>
      </c>
      <c r="C39" s="3" t="inlineStr">
        <is>
          <t>ASM-INTF-014</t>
        </is>
      </c>
      <c r="D39" s="3" t="inlineStr">
        <is>
          <t>PKG-27 A-2701</t>
        </is>
      </c>
      <c r="E39" s="3" t="inlineStr">
        <is>
          <t>PKG-27</t>
        </is>
      </c>
      <c r="F39" s="3" t="inlineStr">
        <is>
          <t>A-2713</t>
        </is>
      </c>
      <c r="G39" s="3" t="inlineStr">
        <is>
          <t>PKG-27 A-2713</t>
        </is>
      </c>
    </row>
    <row r="40">
      <c r="A40" s="3" t="inlineStr">
        <is>
          <t>ASM-INTF</t>
        </is>
      </c>
      <c r="B40" s="3" t="inlineStr">
        <is>
          <t>Interface &amp; Coordination</t>
        </is>
      </c>
      <c r="C40" s="3" t="inlineStr">
        <is>
          <t>ASM-INTF-014</t>
        </is>
      </c>
      <c r="D40" s="3" t="inlineStr">
        <is>
          <t>PKG-27 A-2701</t>
        </is>
      </c>
      <c r="E40" s="3" t="inlineStr">
        <is>
          <t>PKG-27</t>
        </is>
      </c>
      <c r="F40" s="3" t="inlineStr">
        <is>
          <t>A-2714</t>
        </is>
      </c>
      <c r="G40" s="3" t="inlineStr">
        <is>
          <t>PKG-27 A-2714</t>
        </is>
      </c>
    </row>
    <row r="41">
      <c r="A41" s="3" t="inlineStr">
        <is>
          <t>ASM-INTF</t>
        </is>
      </c>
      <c r="B41" s="3" t="inlineStr">
        <is>
          <t>Interface &amp; Coordination</t>
        </is>
      </c>
      <c r="C41" s="3" t="inlineStr">
        <is>
          <t>ASM-INTF-014</t>
        </is>
      </c>
      <c r="D41" s="3" t="inlineStr">
        <is>
          <t>PKG-27 A-2701</t>
        </is>
      </c>
      <c r="E41" s="3" t="inlineStr">
        <is>
          <t>PKG-27</t>
        </is>
      </c>
      <c r="F41" s="3" t="inlineStr">
        <is>
          <t>A-2715</t>
        </is>
      </c>
      <c r="G41" s="3" t="inlineStr">
        <is>
          <t>PKG-27 A-2715</t>
        </is>
      </c>
    </row>
    <row r="42">
      <c r="A42" s="3" t="inlineStr">
        <is>
          <t>ASM-INTF</t>
        </is>
      </c>
      <c r="B42" s="3" t="inlineStr">
        <is>
          <t>Interface &amp; Coordination</t>
        </is>
      </c>
      <c r="C42" s="3" t="inlineStr">
        <is>
          <t>ASM-INTF-014</t>
        </is>
      </c>
      <c r="D42" s="3" t="inlineStr">
        <is>
          <t>PKG-27 A-2701</t>
        </is>
      </c>
      <c r="E42" s="3" t="inlineStr">
        <is>
          <t>PKG-27</t>
        </is>
      </c>
      <c r="F42" s="3" t="inlineStr">
        <is>
          <t>A-2716</t>
        </is>
      </c>
      <c r="G42" s="3" t="inlineStr">
        <is>
          <t>PKG-27 A-2716</t>
        </is>
      </c>
    </row>
    <row r="43">
      <c r="A43" s="3" t="inlineStr">
        <is>
          <t>ASM-INTF</t>
        </is>
      </c>
      <c r="B43" s="3" t="inlineStr">
        <is>
          <t>Interface &amp; Coordination</t>
        </is>
      </c>
      <c r="C43" s="3" t="inlineStr">
        <is>
          <t>ASM-INTF-014</t>
        </is>
      </c>
      <c r="D43" s="3" t="inlineStr">
        <is>
          <t>PKG-27 A-2701</t>
        </is>
      </c>
      <c r="E43" s="3" t="inlineStr">
        <is>
          <t>PKG-27</t>
        </is>
      </c>
      <c r="F43" s="3" t="inlineStr">
        <is>
          <t>A-2717</t>
        </is>
      </c>
      <c r="G43" s="3" t="inlineStr">
        <is>
          <t>PKG-27 A-2717</t>
        </is>
      </c>
    </row>
    <row r="44">
      <c r="A44" s="3" t="inlineStr">
        <is>
          <t>ASM-INTF</t>
        </is>
      </c>
      <c r="B44" s="3" t="inlineStr">
        <is>
          <t>Interface &amp; Coordination</t>
        </is>
      </c>
      <c r="C44" s="3" t="inlineStr">
        <is>
          <t>ASM-INTF-014</t>
        </is>
      </c>
      <c r="D44" s="3" t="inlineStr">
        <is>
          <t>PKG-27 A-2701</t>
        </is>
      </c>
      <c r="E44" s="3" t="inlineStr">
        <is>
          <t>PKG-27</t>
        </is>
      </c>
      <c r="F44" s="3" t="inlineStr">
        <is>
          <t>A-2718</t>
        </is>
      </c>
      <c r="G44" s="3" t="inlineStr">
        <is>
          <t>PKG-27 A-2718</t>
        </is>
      </c>
    </row>
    <row r="45">
      <c r="A45" s="3" t="inlineStr">
        <is>
          <t>ASM-INTF</t>
        </is>
      </c>
      <c r="B45" s="3" t="inlineStr">
        <is>
          <t>Interface &amp; Coordination</t>
        </is>
      </c>
      <c r="C45" s="3" t="inlineStr">
        <is>
          <t>ASM-INTF-014</t>
        </is>
      </c>
      <c r="D45" s="3" t="inlineStr">
        <is>
          <t>PKG-27 A-2701</t>
        </is>
      </c>
      <c r="E45" s="3" t="inlineStr">
        <is>
          <t>PKG-27</t>
        </is>
      </c>
      <c r="F45" s="3" t="inlineStr">
        <is>
          <t>A-2719</t>
        </is>
      </c>
      <c r="G45" s="3" t="inlineStr">
        <is>
          <t>PKG-27 A-2719</t>
        </is>
      </c>
    </row>
    <row r="46">
      <c r="A46" s="3" t="inlineStr">
        <is>
          <t>ASM-INTF</t>
        </is>
      </c>
      <c r="B46" s="3" t="inlineStr">
        <is>
          <t>Interface &amp; Coordination</t>
        </is>
      </c>
      <c r="C46" s="3" t="inlineStr">
        <is>
          <t>ASM-INTF-014</t>
        </is>
      </c>
      <c r="D46" s="3" t="inlineStr">
        <is>
          <t>PKG-27 A-2701</t>
        </is>
      </c>
      <c r="E46" s="3" t="inlineStr">
        <is>
          <t>PKG-28</t>
        </is>
      </c>
      <c r="F46" s="3" t="inlineStr">
        <is>
          <t>A-2801</t>
        </is>
      </c>
      <c r="G46" s="3" t="inlineStr">
        <is>
          <t>PKG-28 A-2801</t>
        </is>
      </c>
    </row>
    <row r="47">
      <c r="A47" s="3" t="inlineStr">
        <is>
          <t>ASM-INTF</t>
        </is>
      </c>
      <c r="B47" s="3" t="inlineStr">
        <is>
          <t>Interface &amp; Coordination</t>
        </is>
      </c>
      <c r="C47" s="3" t="inlineStr">
        <is>
          <t>ASM-INTF-014</t>
        </is>
      </c>
      <c r="D47" s="3" t="inlineStr">
        <is>
          <t>PKG-27 A-2701</t>
        </is>
      </c>
      <c r="E47" s="3" t="inlineStr">
        <is>
          <t>PKG-28</t>
        </is>
      </c>
      <c r="F47" s="3" t="inlineStr">
        <is>
          <t>A-2802</t>
        </is>
      </c>
      <c r="G47" s="3" t="inlineStr">
        <is>
          <t>PKG-28 A-2802</t>
        </is>
      </c>
    </row>
    <row r="48">
      <c r="A48" s="3" t="inlineStr">
        <is>
          <t>ASM-INTF</t>
        </is>
      </c>
      <c r="B48" s="3" t="inlineStr">
        <is>
          <t>Interface &amp; Coordination</t>
        </is>
      </c>
      <c r="C48" s="3" t="inlineStr">
        <is>
          <t>ASM-INTF-014</t>
        </is>
      </c>
      <c r="D48" s="3" t="inlineStr">
        <is>
          <t>PKG-27 A-2701</t>
        </is>
      </c>
      <c r="E48" s="3" t="inlineStr">
        <is>
          <t>PKG-28</t>
        </is>
      </c>
      <c r="F48" s="3" t="inlineStr">
        <is>
          <t>A-2803</t>
        </is>
      </c>
      <c r="G48" s="3" t="inlineStr">
        <is>
          <t>PKG-28 A-2803</t>
        </is>
      </c>
    </row>
    <row r="49">
      <c r="A49" s="3" t="inlineStr">
        <is>
          <t>ASM-INTF</t>
        </is>
      </c>
      <c r="B49" s="3" t="inlineStr">
        <is>
          <t>Interface &amp; Coordination</t>
        </is>
      </c>
      <c r="C49" s="3" t="inlineStr">
        <is>
          <t>ASM-INTF-014</t>
        </is>
      </c>
      <c r="D49" s="3" t="inlineStr">
        <is>
          <t>PKG-27 A-2701</t>
        </is>
      </c>
      <c r="E49" s="3" t="inlineStr">
        <is>
          <t>PKG-28</t>
        </is>
      </c>
      <c r="F49" s="3" t="inlineStr">
        <is>
          <t>A-2804</t>
        </is>
      </c>
      <c r="G49" s="3" t="inlineStr">
        <is>
          <t>PKG-28 A-2804</t>
        </is>
      </c>
    </row>
    <row r="50">
      <c r="A50" s="3" t="inlineStr">
        <is>
          <t>ASM-INTF</t>
        </is>
      </c>
      <c r="B50" s="3" t="inlineStr">
        <is>
          <t>Interface &amp; Coordination</t>
        </is>
      </c>
      <c r="C50" s="3" t="inlineStr">
        <is>
          <t>ASM-INTF-014</t>
        </is>
      </c>
      <c r="D50" s="3" t="inlineStr">
        <is>
          <t>PKG-27 A-2701</t>
        </is>
      </c>
      <c r="E50" s="3" t="inlineStr">
        <is>
          <t>PKG-28</t>
        </is>
      </c>
      <c r="F50" s="3" t="inlineStr">
        <is>
          <t>A-2805</t>
        </is>
      </c>
      <c r="G50" s="3" t="inlineStr">
        <is>
          <t>PKG-28 A-2805</t>
        </is>
      </c>
    </row>
    <row r="51">
      <c r="A51" s="3" t="inlineStr">
        <is>
          <t>ASM-INTF</t>
        </is>
      </c>
      <c r="B51" s="3" t="inlineStr">
        <is>
          <t>Interface &amp; Coordination</t>
        </is>
      </c>
      <c r="C51" s="3" t="inlineStr">
        <is>
          <t>ASM-INTF-014</t>
        </is>
      </c>
      <c r="D51" s="3" t="inlineStr">
        <is>
          <t>PKG-27 A-2701</t>
        </is>
      </c>
      <c r="E51" s="3" t="inlineStr">
        <is>
          <t>PKG-28</t>
        </is>
      </c>
      <c r="F51" s="3" t="inlineStr">
        <is>
          <t>A-2806</t>
        </is>
      </c>
      <c r="G51" s="3" t="inlineStr">
        <is>
          <t>PKG-28 A-2806</t>
        </is>
      </c>
    </row>
    <row r="52">
      <c r="A52" s="3" t="inlineStr">
        <is>
          <t>ASM-INTF</t>
        </is>
      </c>
      <c r="B52" s="3" t="inlineStr">
        <is>
          <t>Interface &amp; Coordination</t>
        </is>
      </c>
      <c r="C52" s="3" t="inlineStr">
        <is>
          <t>ASM-INTF-014</t>
        </is>
      </c>
      <c r="D52" s="3" t="inlineStr">
        <is>
          <t>PKG-27 A-2701</t>
        </is>
      </c>
      <c r="E52" s="3" t="inlineStr">
        <is>
          <t>PKG-28</t>
        </is>
      </c>
      <c r="F52" s="3" t="inlineStr">
        <is>
          <t>A-2807</t>
        </is>
      </c>
      <c r="G52" s="3" t="inlineStr">
        <is>
          <t>PKG-28 A-2807</t>
        </is>
      </c>
    </row>
    <row r="53">
      <c r="A53" s="3" t="inlineStr">
        <is>
          <t>ASM-INTF</t>
        </is>
      </c>
      <c r="B53" s="3" t="inlineStr">
        <is>
          <t>Interface &amp; Coordination</t>
        </is>
      </c>
      <c r="C53" s="3" t="inlineStr">
        <is>
          <t>ASM-INTF-014</t>
        </is>
      </c>
      <c r="D53" s="3" t="inlineStr">
        <is>
          <t>PKG-27 A-2701</t>
        </is>
      </c>
      <c r="E53" s="3" t="inlineStr">
        <is>
          <t>PKG-28</t>
        </is>
      </c>
      <c r="F53" s="3" t="inlineStr">
        <is>
          <t>A-2808</t>
        </is>
      </c>
      <c r="G53" s="3" t="inlineStr">
        <is>
          <t>PKG-28 A-2808</t>
        </is>
      </c>
    </row>
    <row r="54">
      <c r="A54" s="3" t="inlineStr">
        <is>
          <t>ASM-INTF</t>
        </is>
      </c>
      <c r="B54" s="3" t="inlineStr">
        <is>
          <t>Interface &amp; Coordination</t>
        </is>
      </c>
      <c r="C54" s="3" t="inlineStr">
        <is>
          <t>ASM-INTF-014</t>
        </is>
      </c>
      <c r="D54" s="3" t="inlineStr">
        <is>
          <t>PKG-27 A-2701</t>
        </is>
      </c>
      <c r="E54" s="3" t="inlineStr">
        <is>
          <t>PKG-28</t>
        </is>
      </c>
      <c r="F54" s="3" t="inlineStr">
        <is>
          <t>A-2809</t>
        </is>
      </c>
      <c r="G54" s="3" t="inlineStr">
        <is>
          <t>PKG-28 A-2809</t>
        </is>
      </c>
    </row>
    <row r="55">
      <c r="A55" s="3" t="inlineStr">
        <is>
          <t>ASM-INTF</t>
        </is>
      </c>
      <c r="B55" s="3" t="inlineStr">
        <is>
          <t>Interface &amp; Coordination</t>
        </is>
      </c>
      <c r="C55" s="3" t="inlineStr">
        <is>
          <t>ASM-INTF-014</t>
        </is>
      </c>
      <c r="D55" s="3" t="inlineStr">
        <is>
          <t>PKG-27 A-2701</t>
        </is>
      </c>
      <c r="E55" s="3" t="inlineStr">
        <is>
          <t>PKG-28</t>
        </is>
      </c>
      <c r="F55" s="3" t="inlineStr">
        <is>
          <t>A-2810</t>
        </is>
      </c>
      <c r="G55" s="3" t="inlineStr">
        <is>
          <t>PKG-28 A-2810</t>
        </is>
      </c>
    </row>
    <row r="56">
      <c r="A56" s="3" t="inlineStr">
        <is>
          <t>ASM-INTF</t>
        </is>
      </c>
      <c r="B56" s="3" t="inlineStr">
        <is>
          <t>Interface &amp; Coordination</t>
        </is>
      </c>
      <c r="C56" s="3" t="inlineStr">
        <is>
          <t>ASM-INTF-014</t>
        </is>
      </c>
      <c r="D56" s="3" t="inlineStr">
        <is>
          <t>PKG-27 A-2701</t>
        </is>
      </c>
      <c r="E56" s="3" t="inlineStr">
        <is>
          <t>PKG-28</t>
        </is>
      </c>
      <c r="F56" s="3" t="inlineStr">
        <is>
          <t>A-2811</t>
        </is>
      </c>
      <c r="G56" s="3" t="inlineStr">
        <is>
          <t>PKG-28 A-2811</t>
        </is>
      </c>
    </row>
    <row r="57">
      <c r="A57" s="3" t="inlineStr">
        <is>
          <t>ASM-INTF</t>
        </is>
      </c>
      <c r="B57" s="3" t="inlineStr">
        <is>
          <t>Interface &amp; Coordination</t>
        </is>
      </c>
      <c r="C57" s="3" t="inlineStr">
        <is>
          <t>ASM-INTF-014</t>
        </is>
      </c>
      <c r="D57" s="3" t="inlineStr">
        <is>
          <t>PKG-27 A-2701</t>
        </is>
      </c>
      <c r="E57" s="3" t="inlineStr">
        <is>
          <t>PKG-28</t>
        </is>
      </c>
      <c r="F57" s="3" t="inlineStr">
        <is>
          <t>A-2812</t>
        </is>
      </c>
      <c r="G57" s="3" t="inlineStr">
        <is>
          <t>PKG-28 A-2812</t>
        </is>
      </c>
    </row>
    <row r="58">
      <c r="A58" s="3" t="inlineStr">
        <is>
          <t>ASM-INTF</t>
        </is>
      </c>
      <c r="B58" s="3" t="inlineStr">
        <is>
          <t>Interface &amp; Coordination</t>
        </is>
      </c>
      <c r="C58" s="3" t="inlineStr">
        <is>
          <t>ASM-INTF-014</t>
        </is>
      </c>
      <c r="D58" s="3" t="inlineStr">
        <is>
          <t>PKG-27 A-2701</t>
        </is>
      </c>
      <c r="E58" s="3" t="inlineStr">
        <is>
          <t>PKG-28</t>
        </is>
      </c>
      <c r="F58" s="3" t="inlineStr">
        <is>
          <t>A-2813</t>
        </is>
      </c>
      <c r="G58" s="3" t="inlineStr">
        <is>
          <t>PKG-28 A-2813</t>
        </is>
      </c>
    </row>
    <row r="59">
      <c r="A59" s="3" t="inlineStr">
        <is>
          <t>ASM-INTF</t>
        </is>
      </c>
      <c r="B59" s="3" t="inlineStr">
        <is>
          <t>Interface &amp; Coordination</t>
        </is>
      </c>
      <c r="C59" s="3" t="inlineStr">
        <is>
          <t>ASM-INTF-014</t>
        </is>
      </c>
      <c r="D59" s="3" t="inlineStr">
        <is>
          <t>PKG-27 A-2701</t>
        </is>
      </c>
      <c r="E59" s="3" t="inlineStr">
        <is>
          <t>PKG-28</t>
        </is>
      </c>
      <c r="F59" s="3" t="inlineStr">
        <is>
          <t>A-2814</t>
        </is>
      </c>
      <c r="G59" s="3" t="inlineStr">
        <is>
          <t>PKG-28 A-2814</t>
        </is>
      </c>
    </row>
    <row r="60">
      <c r="A60" s="3" t="inlineStr">
        <is>
          <t>ASM-INTF</t>
        </is>
      </c>
      <c r="B60" s="3" t="inlineStr">
        <is>
          <t>Interface &amp; Coordination</t>
        </is>
      </c>
      <c r="C60" s="3" t="inlineStr">
        <is>
          <t>ASM-INTF-014</t>
        </is>
      </c>
      <c r="D60" s="3" t="inlineStr">
        <is>
          <t>PKG-27 A-2701</t>
        </is>
      </c>
      <c r="E60" s="3" t="inlineStr">
        <is>
          <t>PKG-28</t>
        </is>
      </c>
      <c r="F60" s="3" t="inlineStr">
        <is>
          <t>A-2815</t>
        </is>
      </c>
      <c r="G60" s="3" t="inlineStr">
        <is>
          <t>PKG-28 A-2815</t>
        </is>
      </c>
    </row>
    <row r="61">
      <c r="A61" s="3" t="inlineStr">
        <is>
          <t>ASM-INTF</t>
        </is>
      </c>
      <c r="B61" s="3" t="inlineStr">
        <is>
          <t>Interface &amp; Coordination</t>
        </is>
      </c>
      <c r="C61" s="3" t="inlineStr">
        <is>
          <t>ASM-INTF-014</t>
        </is>
      </c>
      <c r="D61" s="3" t="inlineStr">
        <is>
          <t>PKG-27 A-2701</t>
        </is>
      </c>
      <c r="E61" s="3" t="inlineStr">
        <is>
          <t>PKG-29</t>
        </is>
      </c>
      <c r="F61" s="3" t="inlineStr">
        <is>
          <t>A-2901</t>
        </is>
      </c>
      <c r="G61" s="3" t="inlineStr">
        <is>
          <t>PKG-29 A-2901</t>
        </is>
      </c>
    </row>
    <row r="62">
      <c r="A62" s="3" t="inlineStr">
        <is>
          <t>ASM-INTF</t>
        </is>
      </c>
      <c r="B62" s="3" t="inlineStr">
        <is>
          <t>Interface &amp; Coordination</t>
        </is>
      </c>
      <c r="C62" s="3" t="inlineStr">
        <is>
          <t>ASM-INTF-014</t>
        </is>
      </c>
      <c r="D62" s="3" t="inlineStr">
        <is>
          <t>PKG-27 A-2701</t>
        </is>
      </c>
      <c r="E62" s="3" t="inlineStr">
        <is>
          <t>PKG-29</t>
        </is>
      </c>
      <c r="F62" s="3" t="inlineStr">
        <is>
          <t>A-2902</t>
        </is>
      </c>
      <c r="G62" s="3" t="inlineStr">
        <is>
          <t>PKG-29 A-2902</t>
        </is>
      </c>
    </row>
    <row r="63">
      <c r="A63" s="3" t="inlineStr">
        <is>
          <t>ASM-INTF</t>
        </is>
      </c>
      <c r="B63" s="3" t="inlineStr">
        <is>
          <t>Interface &amp; Coordination</t>
        </is>
      </c>
      <c r="C63" s="3" t="inlineStr">
        <is>
          <t>ASM-INTF-014</t>
        </is>
      </c>
      <c r="D63" s="3" t="inlineStr">
        <is>
          <t>PKG-27 A-2701</t>
        </is>
      </c>
      <c r="E63" s="3" t="inlineStr">
        <is>
          <t>PKG-29</t>
        </is>
      </c>
      <c r="F63" s="3" t="inlineStr">
        <is>
          <t>A-2903</t>
        </is>
      </c>
      <c r="G63" s="3" t="inlineStr">
        <is>
          <t>PKG-29 A-2903</t>
        </is>
      </c>
    </row>
    <row r="64">
      <c r="A64" s="3" t="inlineStr">
        <is>
          <t>ASM-INTF</t>
        </is>
      </c>
      <c r="B64" s="3" t="inlineStr">
        <is>
          <t>Interface &amp; Coordination</t>
        </is>
      </c>
      <c r="C64" s="3" t="inlineStr">
        <is>
          <t>ASM-INTF-014</t>
        </is>
      </c>
      <c r="D64" s="3" t="inlineStr">
        <is>
          <t>PKG-27 A-2701</t>
        </is>
      </c>
      <c r="E64" s="3" t="inlineStr">
        <is>
          <t>PKG-29</t>
        </is>
      </c>
      <c r="F64" s="3" t="inlineStr">
        <is>
          <t>A-2904</t>
        </is>
      </c>
      <c r="G64" s="3" t="inlineStr">
        <is>
          <t>PKG-29 A-2904</t>
        </is>
      </c>
    </row>
    <row r="65">
      <c r="A65" s="3" t="inlineStr">
        <is>
          <t>ASM-INTF</t>
        </is>
      </c>
      <c r="B65" s="3" t="inlineStr">
        <is>
          <t>Interface &amp; Coordination</t>
        </is>
      </c>
      <c r="C65" s="3" t="inlineStr">
        <is>
          <t>ASM-INTF-014</t>
        </is>
      </c>
      <c r="D65" s="3" t="inlineStr">
        <is>
          <t>PKG-27 A-2701</t>
        </is>
      </c>
      <c r="E65" s="3" t="inlineStr">
        <is>
          <t>PKG-29</t>
        </is>
      </c>
      <c r="F65" s="3" t="inlineStr">
        <is>
          <t>A-2905</t>
        </is>
      </c>
      <c r="G65" s="3" t="inlineStr">
        <is>
          <t>PKG-29 A-2905</t>
        </is>
      </c>
    </row>
    <row r="66">
      <c r="A66" s="3" t="inlineStr">
        <is>
          <t>ASM-INTF</t>
        </is>
      </c>
      <c r="B66" s="3" t="inlineStr">
        <is>
          <t>Interface &amp; Coordination</t>
        </is>
      </c>
      <c r="C66" s="3" t="inlineStr">
        <is>
          <t>ASM-INTF-014</t>
        </is>
      </c>
      <c r="D66" s="3" t="inlineStr">
        <is>
          <t>PKG-27 A-2701</t>
        </is>
      </c>
      <c r="E66" s="3" t="inlineStr">
        <is>
          <t>PKG-29</t>
        </is>
      </c>
      <c r="F66" s="3" t="inlineStr">
        <is>
          <t>A-2906</t>
        </is>
      </c>
      <c r="G66" s="3" t="inlineStr">
        <is>
          <t>PKG-29 A-2906</t>
        </is>
      </c>
    </row>
    <row r="67">
      <c r="A67" s="3" t="inlineStr">
        <is>
          <t>ASM-INTF</t>
        </is>
      </c>
      <c r="B67" s="3" t="inlineStr">
        <is>
          <t>Interface &amp; Coordination</t>
        </is>
      </c>
      <c r="C67" s="3" t="inlineStr">
        <is>
          <t>ASM-INTF-014</t>
        </is>
      </c>
      <c r="D67" s="3" t="inlineStr">
        <is>
          <t>PKG-27 A-2701</t>
        </is>
      </c>
      <c r="E67" s="3" t="inlineStr">
        <is>
          <t>PKG-29</t>
        </is>
      </c>
      <c r="F67" s="3" t="inlineStr">
        <is>
          <t>A-2907</t>
        </is>
      </c>
      <c r="G67" s="3" t="inlineStr">
        <is>
          <t>PKG-29 A-2907</t>
        </is>
      </c>
    </row>
    <row r="68">
      <c r="A68" s="3" t="inlineStr">
        <is>
          <t>ASM-INTF</t>
        </is>
      </c>
      <c r="B68" s="3" t="inlineStr">
        <is>
          <t>Interface &amp; Coordination</t>
        </is>
      </c>
      <c r="C68" s="3" t="inlineStr">
        <is>
          <t>ASM-INTF-014</t>
        </is>
      </c>
      <c r="D68" s="3" t="inlineStr">
        <is>
          <t>PKG-27 A-2701</t>
        </is>
      </c>
      <c r="E68" s="3" t="inlineStr">
        <is>
          <t>PKG-29</t>
        </is>
      </c>
      <c r="F68" s="3" t="inlineStr">
        <is>
          <t>A-2908</t>
        </is>
      </c>
      <c r="G68" s="3" t="inlineStr">
        <is>
          <t>PKG-29 A-2908</t>
        </is>
      </c>
    </row>
    <row r="69">
      <c r="A69" s="3" t="inlineStr">
        <is>
          <t>ASM-INTF</t>
        </is>
      </c>
      <c r="B69" s="3" t="inlineStr">
        <is>
          <t>Interface &amp; Coordination</t>
        </is>
      </c>
      <c r="C69" s="3" t="inlineStr">
        <is>
          <t>ASM-INTF-014</t>
        </is>
      </c>
      <c r="D69" s="3" t="inlineStr">
        <is>
          <t>PKG-27 A-2701</t>
        </is>
      </c>
      <c r="E69" s="3" t="inlineStr">
        <is>
          <t>PKG-29</t>
        </is>
      </c>
      <c r="F69" s="3" t="inlineStr">
        <is>
          <t>A-2909</t>
        </is>
      </c>
      <c r="G69" s="3" t="inlineStr">
        <is>
          <t>PKG-29 A-2909</t>
        </is>
      </c>
    </row>
    <row r="70">
      <c r="A70" s="3" t="inlineStr">
        <is>
          <t>ASM-INTF</t>
        </is>
      </c>
      <c r="B70" s="3" t="inlineStr">
        <is>
          <t>Interface &amp; Coordination</t>
        </is>
      </c>
      <c r="C70" s="3" t="inlineStr">
        <is>
          <t>ASM-INTF-014</t>
        </is>
      </c>
      <c r="D70" s="3" t="inlineStr">
        <is>
          <t>PKG-27 A-2701</t>
        </is>
      </c>
      <c r="E70" s="3" t="inlineStr">
        <is>
          <t>PKG-29</t>
        </is>
      </c>
      <c r="F70" s="3" t="inlineStr">
        <is>
          <t>A-2910</t>
        </is>
      </c>
      <c r="G70" s="3" t="inlineStr">
        <is>
          <t>PKG-29 A-2910</t>
        </is>
      </c>
    </row>
    <row r="71">
      <c r="A71" s="3" t="inlineStr">
        <is>
          <t>ASM-INTF</t>
        </is>
      </c>
      <c r="B71" s="3" t="inlineStr">
        <is>
          <t>Interface &amp; Coordination</t>
        </is>
      </c>
      <c r="C71" s="3" t="inlineStr">
        <is>
          <t>ASM-INTF-014</t>
        </is>
      </c>
      <c r="D71" s="3" t="inlineStr">
        <is>
          <t>PKG-27 A-2701</t>
        </is>
      </c>
      <c r="E71" s="3" t="inlineStr">
        <is>
          <t>PKG-29</t>
        </is>
      </c>
      <c r="F71" s="3" t="inlineStr">
        <is>
          <t>A-2911</t>
        </is>
      </c>
      <c r="G71" s="3" t="inlineStr">
        <is>
          <t>PKG-29 A-2911</t>
        </is>
      </c>
    </row>
    <row r="72">
      <c r="A72" s="3" t="inlineStr">
        <is>
          <t>ASM-INTF</t>
        </is>
      </c>
      <c r="B72" s="3" t="inlineStr">
        <is>
          <t>Interface &amp; Coordination</t>
        </is>
      </c>
      <c r="C72" s="3" t="inlineStr">
        <is>
          <t>ASM-INTF-014</t>
        </is>
      </c>
      <c r="D72" s="3" t="inlineStr">
        <is>
          <t>PKG-27 A-2701</t>
        </is>
      </c>
      <c r="E72" s="3" t="inlineStr">
        <is>
          <t>PKG-29</t>
        </is>
      </c>
      <c r="F72" s="3" t="inlineStr">
        <is>
          <t>A-2912</t>
        </is>
      </c>
      <c r="G72" s="3" t="inlineStr">
        <is>
          <t>PKG-29 A-2912</t>
        </is>
      </c>
    </row>
    <row r="73">
      <c r="A73" s="3" t="inlineStr">
        <is>
          <t>ASM-INTF</t>
        </is>
      </c>
      <c r="B73" s="3" t="inlineStr">
        <is>
          <t>Interface &amp; Coordination</t>
        </is>
      </c>
      <c r="C73" s="3" t="inlineStr">
        <is>
          <t>ASM-INTF-014</t>
        </is>
      </c>
      <c r="D73" s="3" t="inlineStr">
        <is>
          <t>PKG-27 A-2701</t>
        </is>
      </c>
      <c r="E73" s="3" t="inlineStr">
        <is>
          <t>PKG-29</t>
        </is>
      </c>
      <c r="F73" s="3" t="inlineStr">
        <is>
          <t>A-2913</t>
        </is>
      </c>
      <c r="G73" s="3" t="inlineStr">
        <is>
          <t>PKG-29 A-2913</t>
        </is>
      </c>
    </row>
    <row r="74">
      <c r="A74" s="3" t="inlineStr">
        <is>
          <t>ASM-INTF</t>
        </is>
      </c>
      <c r="B74" s="3" t="inlineStr">
        <is>
          <t>Interface &amp; Coordination</t>
        </is>
      </c>
      <c r="C74" s="3" t="inlineStr">
        <is>
          <t>ASM-INTF-014</t>
        </is>
      </c>
      <c r="D74" s="3" t="inlineStr">
        <is>
          <t>PKG-27 A-2701</t>
        </is>
      </c>
      <c r="E74" s="3" t="inlineStr">
        <is>
          <t>PKG-29</t>
        </is>
      </c>
      <c r="F74" s="3" t="inlineStr">
        <is>
          <t>A-2914</t>
        </is>
      </c>
      <c r="G74" s="3" t="inlineStr">
        <is>
          <t>PKG-29 A-2914</t>
        </is>
      </c>
    </row>
    <row r="75">
      <c r="A75" s="3" t="inlineStr">
        <is>
          <t>ASM-INTF</t>
        </is>
      </c>
      <c r="B75" s="3" t="inlineStr">
        <is>
          <t>Interface &amp; Coordination</t>
        </is>
      </c>
      <c r="C75" s="3" t="inlineStr">
        <is>
          <t>ASM-INTF-014</t>
        </is>
      </c>
      <c r="D75" s="3" t="inlineStr">
        <is>
          <t>PKG-27 A-2701</t>
        </is>
      </c>
      <c r="E75" s="3" t="inlineStr">
        <is>
          <t>PKG-29</t>
        </is>
      </c>
      <c r="F75" s="3" t="inlineStr">
        <is>
          <t>A-2915</t>
        </is>
      </c>
      <c r="G75" s="3" t="inlineStr">
        <is>
          <t>PKG-29 A-2915</t>
        </is>
      </c>
    </row>
    <row r="76">
      <c r="A76" s="3" t="inlineStr">
        <is>
          <t>ASM-INTF</t>
        </is>
      </c>
      <c r="B76" s="3" t="inlineStr">
        <is>
          <t>Interface &amp; Coordination</t>
        </is>
      </c>
      <c r="C76" s="3" t="inlineStr">
        <is>
          <t>ASM-INTF-014</t>
        </is>
      </c>
      <c r="D76" s="3" t="inlineStr">
        <is>
          <t>PKG-27 A-2701</t>
        </is>
      </c>
      <c r="E76" s="3" t="inlineStr">
        <is>
          <t>PKG-29</t>
        </is>
      </c>
      <c r="F76" s="3" t="inlineStr">
        <is>
          <t>A-2916</t>
        </is>
      </c>
      <c r="G76" s="3" t="inlineStr">
        <is>
          <t>PKG-29 A-2916</t>
        </is>
      </c>
    </row>
    <row r="77">
      <c r="A77" s="3" t="inlineStr">
        <is>
          <t>ASM-INTF</t>
        </is>
      </c>
      <c r="B77" s="3" t="inlineStr">
        <is>
          <t>Interface &amp; Coordination</t>
        </is>
      </c>
      <c r="C77" s="3" t="inlineStr">
        <is>
          <t>ASM-INTF-014</t>
        </is>
      </c>
      <c r="D77" s="3" t="inlineStr">
        <is>
          <t>PKG-27 A-2701</t>
        </is>
      </c>
      <c r="E77" s="3" t="inlineStr">
        <is>
          <t>PKG-29</t>
        </is>
      </c>
      <c r="F77" s="3" t="inlineStr">
        <is>
          <t>A-2917</t>
        </is>
      </c>
      <c r="G77" s="3" t="inlineStr">
        <is>
          <t>PKG-29 A-2917</t>
        </is>
      </c>
    </row>
    <row r="78">
      <c r="A78" s="3" t="inlineStr">
        <is>
          <t>ASM-INTF</t>
        </is>
      </c>
      <c r="B78" s="3" t="inlineStr">
        <is>
          <t>Interface &amp; Coordination</t>
        </is>
      </c>
      <c r="C78" s="3" t="inlineStr">
        <is>
          <t>ASM-INTF-014</t>
        </is>
      </c>
      <c r="D78" s="3" t="inlineStr">
        <is>
          <t>PKG-27 A-2701</t>
        </is>
      </c>
      <c r="E78" s="3" t="inlineStr">
        <is>
          <t>PKG-30</t>
        </is>
      </c>
      <c r="F78" s="3" t="inlineStr">
        <is>
          <t>A-3001</t>
        </is>
      </c>
      <c r="G78" s="3" t="inlineStr">
        <is>
          <t>PKG-30 A-3001</t>
        </is>
      </c>
    </row>
    <row r="79">
      <c r="A79" s="3" t="inlineStr">
        <is>
          <t>ASM-INTF</t>
        </is>
      </c>
      <c r="B79" s="3" t="inlineStr">
        <is>
          <t>Interface &amp; Coordination</t>
        </is>
      </c>
      <c r="C79" s="3" t="inlineStr">
        <is>
          <t>ASM-INTF-014</t>
        </is>
      </c>
      <c r="D79" s="3" t="inlineStr">
        <is>
          <t>PKG-27 A-2701</t>
        </is>
      </c>
      <c r="E79" s="3" t="inlineStr">
        <is>
          <t>PKG-30</t>
        </is>
      </c>
      <c r="F79" s="3" t="inlineStr">
        <is>
          <t>A-3002</t>
        </is>
      </c>
      <c r="G79" s="3" t="inlineStr">
        <is>
          <t>PKG-30 A-3002</t>
        </is>
      </c>
    </row>
    <row r="80">
      <c r="A80" s="3" t="inlineStr">
        <is>
          <t>ASM-INTF</t>
        </is>
      </c>
      <c r="B80" s="3" t="inlineStr">
        <is>
          <t>Interface &amp; Coordination</t>
        </is>
      </c>
      <c r="C80" s="3" t="inlineStr">
        <is>
          <t>ASM-INTF-014</t>
        </is>
      </c>
      <c r="D80" s="3" t="inlineStr">
        <is>
          <t>PKG-27 A-2701</t>
        </is>
      </c>
      <c r="E80" s="3" t="inlineStr">
        <is>
          <t>PKG-30</t>
        </is>
      </c>
      <c r="F80" s="3" t="inlineStr">
        <is>
          <t>A-3003</t>
        </is>
      </c>
      <c r="G80" s="3" t="inlineStr">
        <is>
          <t>PKG-30 A-3003</t>
        </is>
      </c>
    </row>
    <row r="81">
      <c r="A81" s="3" t="inlineStr">
        <is>
          <t>ASM-INTF</t>
        </is>
      </c>
      <c r="B81" s="3" t="inlineStr">
        <is>
          <t>Interface &amp; Coordination</t>
        </is>
      </c>
      <c r="C81" s="3" t="inlineStr">
        <is>
          <t>ASM-INTF-014</t>
        </is>
      </c>
      <c r="D81" s="3" t="inlineStr">
        <is>
          <t>PKG-27 A-2701</t>
        </is>
      </c>
      <c r="E81" s="3" t="inlineStr">
        <is>
          <t>PKG-30</t>
        </is>
      </c>
      <c r="F81" s="3" t="inlineStr">
        <is>
          <t>A-3004</t>
        </is>
      </c>
      <c r="G81" s="3" t="inlineStr">
        <is>
          <t>PKG-30 A-3004</t>
        </is>
      </c>
    </row>
    <row r="82">
      <c r="A82" s="3" t="inlineStr">
        <is>
          <t>ASM-INTF</t>
        </is>
      </c>
      <c r="B82" s="3" t="inlineStr">
        <is>
          <t>Interface &amp; Coordination</t>
        </is>
      </c>
      <c r="C82" s="3" t="inlineStr">
        <is>
          <t>ASM-INTF-014</t>
        </is>
      </c>
      <c r="D82" s="3" t="inlineStr">
        <is>
          <t>PKG-27 A-2701</t>
        </is>
      </c>
      <c r="E82" s="3" t="inlineStr">
        <is>
          <t>PKG-30</t>
        </is>
      </c>
      <c r="F82" s="3" t="inlineStr">
        <is>
          <t>A-3005</t>
        </is>
      </c>
      <c r="G82" s="3" t="inlineStr">
        <is>
          <t>PKG-30 A-3005</t>
        </is>
      </c>
    </row>
    <row r="83">
      <c r="A83" s="3" t="inlineStr">
        <is>
          <t>ASM-INTF</t>
        </is>
      </c>
      <c r="B83" s="3" t="inlineStr">
        <is>
          <t>Interface &amp; Coordination</t>
        </is>
      </c>
      <c r="C83" s="3" t="inlineStr">
        <is>
          <t>ASM-INTF-014</t>
        </is>
      </c>
      <c r="D83" s="3" t="inlineStr">
        <is>
          <t>PKG-27 A-2701</t>
        </is>
      </c>
      <c r="E83" s="3" t="inlineStr">
        <is>
          <t>PKG-30</t>
        </is>
      </c>
      <c r="F83" s="3" t="inlineStr">
        <is>
          <t>A-3006</t>
        </is>
      </c>
      <c r="G83" s="3" t="inlineStr">
        <is>
          <t>PKG-30 A-3006</t>
        </is>
      </c>
    </row>
    <row r="84">
      <c r="A84" s="3" t="inlineStr">
        <is>
          <t>ASM-INTF</t>
        </is>
      </c>
      <c r="B84" s="3" t="inlineStr">
        <is>
          <t>Interface &amp; Coordination</t>
        </is>
      </c>
      <c r="C84" s="3" t="inlineStr">
        <is>
          <t>ASM-INTF-014</t>
        </is>
      </c>
      <c r="D84" s="3" t="inlineStr">
        <is>
          <t>PKG-27 A-2701</t>
        </is>
      </c>
      <c r="E84" s="3" t="inlineStr">
        <is>
          <t>PKG-30</t>
        </is>
      </c>
      <c r="F84" s="3" t="inlineStr">
        <is>
          <t>A-3007</t>
        </is>
      </c>
      <c r="G84" s="3" t="inlineStr">
        <is>
          <t>PKG-30 A-3007</t>
        </is>
      </c>
    </row>
    <row r="85">
      <c r="A85" s="3" t="inlineStr">
        <is>
          <t>ASM-INTF</t>
        </is>
      </c>
      <c r="B85" s="3" t="inlineStr">
        <is>
          <t>Interface &amp; Coordination</t>
        </is>
      </c>
      <c r="C85" s="3" t="inlineStr">
        <is>
          <t>ASM-INTF-014</t>
        </is>
      </c>
      <c r="D85" s="3" t="inlineStr">
        <is>
          <t>PKG-27 A-2701</t>
        </is>
      </c>
      <c r="E85" s="3" t="inlineStr">
        <is>
          <t>PKG-30</t>
        </is>
      </c>
      <c r="F85" s="3" t="inlineStr">
        <is>
          <t>A-3008</t>
        </is>
      </c>
      <c r="G85" s="3" t="inlineStr">
        <is>
          <t>PKG-30 A-3008</t>
        </is>
      </c>
    </row>
    <row r="86">
      <c r="A86" s="3" t="inlineStr">
        <is>
          <t>ASM-INTF</t>
        </is>
      </c>
      <c r="B86" s="3" t="inlineStr">
        <is>
          <t>Interface &amp; Coordination</t>
        </is>
      </c>
      <c r="C86" s="3" t="inlineStr">
        <is>
          <t>ASM-INTF-014</t>
        </is>
      </c>
      <c r="D86" s="3" t="inlineStr">
        <is>
          <t>PKG-27 A-2701</t>
        </is>
      </c>
      <c r="E86" s="3" t="inlineStr">
        <is>
          <t>PKG-30</t>
        </is>
      </c>
      <c r="F86" s="3" t="inlineStr">
        <is>
          <t>A-3009</t>
        </is>
      </c>
      <c r="G86" s="3" t="inlineStr">
        <is>
          <t>PKG-30 A-3009</t>
        </is>
      </c>
    </row>
    <row r="87">
      <c r="A87" s="3" t="inlineStr">
        <is>
          <t>ASM-INTF</t>
        </is>
      </c>
      <c r="B87" s="3" t="inlineStr">
        <is>
          <t>Interface &amp; Coordination</t>
        </is>
      </c>
      <c r="C87" s="3" t="inlineStr">
        <is>
          <t>ASM-INTF-014</t>
        </is>
      </c>
      <c r="D87" s="3" t="inlineStr">
        <is>
          <t>PKG-27 A-2701</t>
        </is>
      </c>
      <c r="E87" s="3" t="inlineStr">
        <is>
          <t>PKG-30</t>
        </is>
      </c>
      <c r="F87" s="3" t="inlineStr">
        <is>
          <t>A-3010</t>
        </is>
      </c>
      <c r="G87" s="3" t="inlineStr">
        <is>
          <t>PKG-30 A-3010</t>
        </is>
      </c>
    </row>
    <row r="88">
      <c r="A88" s="3" t="inlineStr">
        <is>
          <t>ASM-INTF</t>
        </is>
      </c>
      <c r="B88" s="3" t="inlineStr">
        <is>
          <t>Interface &amp; Coordination</t>
        </is>
      </c>
      <c r="C88" s="3" t="inlineStr">
        <is>
          <t>ASM-INTF-014</t>
        </is>
      </c>
      <c r="D88" s="3" t="inlineStr">
        <is>
          <t>PKG-27 A-2701</t>
        </is>
      </c>
      <c r="E88" s="3" t="inlineStr">
        <is>
          <t>PKG-30</t>
        </is>
      </c>
      <c r="F88" s="3" t="inlineStr">
        <is>
          <t>A-3011</t>
        </is>
      </c>
      <c r="G88" s="3" t="inlineStr">
        <is>
          <t>PKG-30 A-3011</t>
        </is>
      </c>
    </row>
    <row r="89">
      <c r="A89" s="3" t="inlineStr">
        <is>
          <t>ASM-INTF</t>
        </is>
      </c>
      <c r="B89" s="3" t="inlineStr">
        <is>
          <t>Interface &amp; Coordination</t>
        </is>
      </c>
      <c r="C89" s="3" t="inlineStr">
        <is>
          <t>ASM-INTF-014</t>
        </is>
      </c>
      <c r="D89" s="3" t="inlineStr">
        <is>
          <t>PKG-27 A-2701</t>
        </is>
      </c>
      <c r="E89" s="3" t="inlineStr">
        <is>
          <t>PKG-30</t>
        </is>
      </c>
      <c r="F89" s="3" t="inlineStr">
        <is>
          <t>A-3012</t>
        </is>
      </c>
      <c r="G89" s="3" t="inlineStr">
        <is>
          <t>PKG-30 A-3012</t>
        </is>
      </c>
    </row>
    <row r="90">
      <c r="A90" s="3" t="inlineStr">
        <is>
          <t>ASM-INTF</t>
        </is>
      </c>
      <c r="B90" s="3" t="inlineStr">
        <is>
          <t>Interface &amp; Coordination</t>
        </is>
      </c>
      <c r="C90" s="3" t="inlineStr">
        <is>
          <t>ASM-INTF-014</t>
        </is>
      </c>
      <c r="D90" s="3" t="inlineStr">
        <is>
          <t>PKG-27 A-2701</t>
        </is>
      </c>
      <c r="E90" s="3" t="inlineStr">
        <is>
          <t>PKG-30</t>
        </is>
      </c>
      <c r="F90" s="3" t="inlineStr">
        <is>
          <t>A-3013</t>
        </is>
      </c>
      <c r="G90" s="3" t="inlineStr">
        <is>
          <t>PKG-30 A-3013</t>
        </is>
      </c>
    </row>
    <row r="91">
      <c r="A91" s="3" t="inlineStr">
        <is>
          <t>ASM-INTF</t>
        </is>
      </c>
      <c r="B91" s="3" t="inlineStr">
        <is>
          <t>Interface &amp; Coordination</t>
        </is>
      </c>
      <c r="C91" s="3" t="inlineStr">
        <is>
          <t>ASM-INTF-014</t>
        </is>
      </c>
      <c r="D91" s="3" t="inlineStr">
        <is>
          <t>PKG-27 A-2701</t>
        </is>
      </c>
      <c r="E91" s="3" t="inlineStr">
        <is>
          <t>PKG-30</t>
        </is>
      </c>
      <c r="F91" s="3" t="inlineStr">
        <is>
          <t>A-3014</t>
        </is>
      </c>
      <c r="G91" s="3" t="inlineStr">
        <is>
          <t>PKG-30 A-3014</t>
        </is>
      </c>
    </row>
    <row r="92">
      <c r="A92" s="3" t="inlineStr">
        <is>
          <t>ASM-INTF</t>
        </is>
      </c>
      <c r="B92" s="3" t="inlineStr">
        <is>
          <t>Interface &amp; Coordination</t>
        </is>
      </c>
      <c r="C92" s="3" t="inlineStr">
        <is>
          <t>ASM-INTF-014</t>
        </is>
      </c>
      <c r="D92" s="3" t="inlineStr">
        <is>
          <t>PKG-27 A-2701</t>
        </is>
      </c>
      <c r="E92" s="3" t="inlineStr">
        <is>
          <t>PKG-30</t>
        </is>
      </c>
      <c r="F92" s="3" t="inlineStr">
        <is>
          <t>A-3015</t>
        </is>
      </c>
      <c r="G92" s="3" t="inlineStr">
        <is>
          <t>PKG-30 A-3015</t>
        </is>
      </c>
    </row>
    <row r="93">
      <c r="A93" s="3" t="inlineStr">
        <is>
          <t>ASM-INTF</t>
        </is>
      </c>
      <c r="B93" s="3" t="inlineStr">
        <is>
          <t>Interface &amp; Coordination</t>
        </is>
      </c>
      <c r="C93" s="3" t="inlineStr">
        <is>
          <t>ASM-INTF-014</t>
        </is>
      </c>
      <c r="D93" s="3" t="inlineStr">
        <is>
          <t>PKG-27 A-2701</t>
        </is>
      </c>
      <c r="E93" s="3" t="inlineStr">
        <is>
          <t>PKG-30</t>
        </is>
      </c>
      <c r="F93" s="3" t="inlineStr">
        <is>
          <t>A-3016</t>
        </is>
      </c>
      <c r="G93" s="3" t="inlineStr">
        <is>
          <t>PKG-30 A-3016</t>
        </is>
      </c>
    </row>
    <row r="94">
      <c r="A94" s="3" t="inlineStr">
        <is>
          <t>ASM-INTF</t>
        </is>
      </c>
      <c r="B94" s="3" t="inlineStr">
        <is>
          <t>Interface &amp; Coordination</t>
        </is>
      </c>
      <c r="C94" s="3" t="inlineStr">
        <is>
          <t>ASM-INTF-014</t>
        </is>
      </c>
      <c r="D94" s="3" t="inlineStr">
        <is>
          <t>PKG-27 A-2701</t>
        </is>
      </c>
      <c r="E94" s="3" t="inlineStr">
        <is>
          <t>PKG-30</t>
        </is>
      </c>
      <c r="F94" s="3" t="inlineStr">
        <is>
          <t>A-3017</t>
        </is>
      </c>
      <c r="G94" s="3" t="inlineStr">
        <is>
          <t>PKG-30 A-3017</t>
        </is>
      </c>
    </row>
    <row r="95">
      <c r="A95" s="3" t="inlineStr">
        <is>
          <t>ASM-INTF</t>
        </is>
      </c>
      <c r="B95" s="3" t="inlineStr">
        <is>
          <t>Interface &amp; Coordination</t>
        </is>
      </c>
      <c r="C95" s="3" t="inlineStr">
        <is>
          <t>ASM-INTF-014</t>
        </is>
      </c>
      <c r="D95" s="3" t="inlineStr">
        <is>
          <t>PKG-27 A-2701</t>
        </is>
      </c>
      <c r="E95" s="3" t="inlineStr">
        <is>
          <t>PKG-30</t>
        </is>
      </c>
      <c r="F95" s="3" t="inlineStr">
        <is>
          <t>A-3018</t>
        </is>
      </c>
      <c r="G95" s="3" t="inlineStr">
        <is>
          <t>PKG-30 A-3018</t>
        </is>
      </c>
    </row>
    <row r="96">
      <c r="A96" s="3" t="inlineStr">
        <is>
          <t>ASM-INTF</t>
        </is>
      </c>
      <c r="B96" s="3" t="inlineStr">
        <is>
          <t>Interface &amp; Coordination</t>
        </is>
      </c>
      <c r="C96" s="3" t="inlineStr">
        <is>
          <t>ASM-INTF-014</t>
        </is>
      </c>
      <c r="D96" s="3" t="inlineStr">
        <is>
          <t>PKG-27 A-2701</t>
        </is>
      </c>
      <c r="E96" s="3" t="inlineStr">
        <is>
          <t>PKG-30</t>
        </is>
      </c>
      <c r="F96" s="3" t="inlineStr">
        <is>
          <t>A-3019</t>
        </is>
      </c>
      <c r="G96" s="3" t="inlineStr">
        <is>
          <t>PKG-30 A-3019</t>
        </is>
      </c>
    </row>
    <row r="97">
      <c r="A97" s="3" t="inlineStr">
        <is>
          <t>ASM-INTF</t>
        </is>
      </c>
      <c r="B97" s="3" t="inlineStr">
        <is>
          <t>Interface &amp; Coordination</t>
        </is>
      </c>
      <c r="C97" s="3" t="inlineStr">
        <is>
          <t>ASM-INTF-014</t>
        </is>
      </c>
      <c r="D97" s="3" t="inlineStr">
        <is>
          <t>PKG-27 A-2701</t>
        </is>
      </c>
      <c r="E97" s="3" t="inlineStr">
        <is>
          <t>PKG-30</t>
        </is>
      </c>
      <c r="F97" s="3" t="inlineStr">
        <is>
          <t>A-3020</t>
        </is>
      </c>
      <c r="G97" s="3" t="inlineStr">
        <is>
          <t>PKG-30 A-3020</t>
        </is>
      </c>
    </row>
    <row r="98">
      <c r="A98" s="3" t="inlineStr">
        <is>
          <t>ASM-INTF</t>
        </is>
      </c>
      <c r="B98" s="3" t="inlineStr">
        <is>
          <t>Interface &amp; Coordination</t>
        </is>
      </c>
      <c r="C98" s="3" t="inlineStr">
        <is>
          <t>ASM-INTF-014</t>
        </is>
      </c>
      <c r="D98" s="3" t="inlineStr">
        <is>
          <t>PKG-27 A-2701</t>
        </is>
      </c>
      <c r="E98" s="3" t="inlineStr">
        <is>
          <t>PKG-30</t>
        </is>
      </c>
      <c r="F98" s="3" t="inlineStr">
        <is>
          <t>A-3021</t>
        </is>
      </c>
      <c r="G98" s="3" t="inlineStr">
        <is>
          <t>PKG-30 A-3021</t>
        </is>
      </c>
    </row>
    <row r="99">
      <c r="A99" s="3" t="inlineStr">
        <is>
          <t>ASM-INTF</t>
        </is>
      </c>
      <c r="B99" s="3" t="inlineStr">
        <is>
          <t>Interface &amp; Coordination</t>
        </is>
      </c>
      <c r="C99" s="3" t="inlineStr">
        <is>
          <t>ASM-INTF-014</t>
        </is>
      </c>
      <c r="D99" s="3" t="inlineStr">
        <is>
          <t>PKG-27 A-2701</t>
        </is>
      </c>
      <c r="E99" s="3" t="inlineStr">
        <is>
          <t>PKG-30</t>
        </is>
      </c>
      <c r="F99" s="3" t="inlineStr">
        <is>
          <t>A-3022</t>
        </is>
      </c>
      <c r="G99" s="3" t="inlineStr">
        <is>
          <t>PKG-30 A-3022</t>
        </is>
      </c>
    </row>
    <row r="100">
      <c r="A100" s="3" t="inlineStr">
        <is>
          <t>ASM-INTF</t>
        </is>
      </c>
      <c r="B100" s="3" t="inlineStr">
        <is>
          <t>Interface &amp; Coordination</t>
        </is>
      </c>
      <c r="C100" s="3" t="inlineStr">
        <is>
          <t>ASM-INTF-015</t>
        </is>
      </c>
      <c r="D100" s="3" t="inlineStr">
        <is>
          <t>PKG-24 assumption A-001 - see source</t>
        </is>
      </c>
      <c r="E100" s="3" t="inlineStr">
        <is>
          <t>PKG-24</t>
        </is>
      </c>
      <c r="F100" s="3" t="inlineStr">
        <is>
          <t>A-001</t>
        </is>
      </c>
      <c r="G100" s="3" t="inlineStr">
        <is>
          <t>PKG-24 assumption A-001 - see source</t>
        </is>
      </c>
    </row>
    <row r="101">
      <c r="A101" s="3" t="inlineStr">
        <is>
          <t>ASM-INTF</t>
        </is>
      </c>
      <c r="B101" s="3" t="inlineStr">
        <is>
          <t>Interface &amp; Coordination</t>
        </is>
      </c>
      <c r="C101" s="3" t="inlineStr">
        <is>
          <t>ASM-INTF-015</t>
        </is>
      </c>
      <c r="D101" s="3" t="inlineStr">
        <is>
          <t>PKG-24 assumption A-001 - see source</t>
        </is>
      </c>
      <c r="E101" s="3" t="inlineStr">
        <is>
          <t>PKG-24</t>
        </is>
      </c>
      <c r="F101" s="3" t="inlineStr">
        <is>
          <t>A-002</t>
        </is>
      </c>
      <c r="G101" s="3" t="inlineStr">
        <is>
          <t>PKG-24 assumption A-002 - see source</t>
        </is>
      </c>
    </row>
    <row r="102">
      <c r="A102" s="3" t="inlineStr">
        <is>
          <t>ASM-INTF</t>
        </is>
      </c>
      <c r="B102" s="3" t="inlineStr">
        <is>
          <t>Interface &amp; Coordination</t>
        </is>
      </c>
      <c r="C102" s="3" t="inlineStr">
        <is>
          <t>ASM-INTF-015</t>
        </is>
      </c>
      <c r="D102" s="3" t="inlineStr">
        <is>
          <t>PKG-24 assumption A-001 - see source</t>
        </is>
      </c>
      <c r="E102" s="3" t="inlineStr">
        <is>
          <t>PKG-24</t>
        </is>
      </c>
      <c r="F102" s="3" t="inlineStr">
        <is>
          <t>A-003</t>
        </is>
      </c>
      <c r="G102" s="3" t="inlineStr">
        <is>
          <t>PKG-24 assumption A-003 - see source</t>
        </is>
      </c>
    </row>
    <row r="103">
      <c r="A103" s="3" t="inlineStr">
        <is>
          <t>ASM-INTF</t>
        </is>
      </c>
      <c r="B103" s="3" t="inlineStr">
        <is>
          <t>Interface &amp; Coordination</t>
        </is>
      </c>
      <c r="C103" s="3" t="inlineStr">
        <is>
          <t>ASM-INTF-015</t>
        </is>
      </c>
      <c r="D103" s="3" t="inlineStr">
        <is>
          <t>PKG-24 assumption A-001 - see source</t>
        </is>
      </c>
      <c r="E103" s="3" t="inlineStr">
        <is>
          <t>PKG-24</t>
        </is>
      </c>
      <c r="F103" s="3" t="inlineStr">
        <is>
          <t>A-004</t>
        </is>
      </c>
      <c r="G103" s="3" t="inlineStr">
        <is>
          <t>PKG-24 assumption A-004 - see source</t>
        </is>
      </c>
    </row>
    <row r="104">
      <c r="A104" s="3" t="inlineStr">
        <is>
          <t>ASM-INTF</t>
        </is>
      </c>
      <c r="B104" s="3" t="inlineStr">
        <is>
          <t>Interface &amp; Coordination</t>
        </is>
      </c>
      <c r="C104" s="3" t="inlineStr">
        <is>
          <t>ASM-INTF-015</t>
        </is>
      </c>
      <c r="D104" s="3" t="inlineStr">
        <is>
          <t>PKG-24 assumption A-001 - see source</t>
        </is>
      </c>
      <c r="E104" s="3" t="inlineStr">
        <is>
          <t>PKG-24</t>
        </is>
      </c>
      <c r="F104" s="3" t="inlineStr">
        <is>
          <t>A-005</t>
        </is>
      </c>
      <c r="G104" s="3" t="inlineStr">
        <is>
          <t>PKG-24 assumption A-005 - see source</t>
        </is>
      </c>
    </row>
    <row r="105">
      <c r="A105" s="3" t="inlineStr">
        <is>
          <t>ASM-INTF</t>
        </is>
      </c>
      <c r="B105" s="3" t="inlineStr">
        <is>
          <t>Interface &amp; Coordination</t>
        </is>
      </c>
      <c r="C105" s="3" t="inlineStr">
        <is>
          <t>ASM-INTF-015</t>
        </is>
      </c>
      <c r="D105" s="3" t="inlineStr">
        <is>
          <t>PKG-24 assumption A-001 - see source</t>
        </is>
      </c>
      <c r="E105" s="3" t="inlineStr">
        <is>
          <t>PKG-24</t>
        </is>
      </c>
      <c r="F105" s="3" t="inlineStr">
        <is>
          <t>A-006</t>
        </is>
      </c>
      <c r="G105" s="3" t="inlineStr">
        <is>
          <t>PKG-24 assumption A-006 - see source</t>
        </is>
      </c>
    </row>
    <row r="106">
      <c r="A106" s="3" t="inlineStr">
        <is>
          <t>ASM-INTF</t>
        </is>
      </c>
      <c r="B106" s="3" t="inlineStr">
        <is>
          <t>Interface &amp; Coordination</t>
        </is>
      </c>
      <c r="C106" s="3" t="inlineStr">
        <is>
          <t>ASM-INTF-015</t>
        </is>
      </c>
      <c r="D106" s="3" t="inlineStr">
        <is>
          <t>PKG-24 assumption A-001 - see source</t>
        </is>
      </c>
      <c r="E106" s="3" t="inlineStr">
        <is>
          <t>PKG-24</t>
        </is>
      </c>
      <c r="F106" s="3" t="inlineStr">
        <is>
          <t>A-007</t>
        </is>
      </c>
      <c r="G106" s="3" t="inlineStr">
        <is>
          <t>PKG-24 assumption A-007 - see source</t>
        </is>
      </c>
    </row>
    <row r="107">
      <c r="A107" s="3" t="inlineStr">
        <is>
          <t>ASM-INTF</t>
        </is>
      </c>
      <c r="B107" s="3" t="inlineStr">
        <is>
          <t>Interface &amp; Coordination</t>
        </is>
      </c>
      <c r="C107" s="3" t="inlineStr">
        <is>
          <t>ASM-INTF-015</t>
        </is>
      </c>
      <c r="D107" s="3" t="inlineStr">
        <is>
          <t>PKG-24 assumption A-001 - see source</t>
        </is>
      </c>
      <c r="E107" s="3" t="inlineStr">
        <is>
          <t>PKG-24</t>
        </is>
      </c>
      <c r="F107" s="3" t="inlineStr">
        <is>
          <t>A-008</t>
        </is>
      </c>
      <c r="G107" s="3" t="inlineStr">
        <is>
          <t>PKG-24 assumption A-008 - see source</t>
        </is>
      </c>
    </row>
    <row r="108">
      <c r="A108" s="3" t="inlineStr">
        <is>
          <t>ASM-INTF</t>
        </is>
      </c>
      <c r="B108" s="3" t="inlineStr">
        <is>
          <t>Interface &amp; Coordination</t>
        </is>
      </c>
      <c r="C108" s="3" t="inlineStr">
        <is>
          <t>ASM-INTF-015</t>
        </is>
      </c>
      <c r="D108" s="3" t="inlineStr">
        <is>
          <t>PKG-24 assumption A-001 - see source</t>
        </is>
      </c>
      <c r="E108" s="3" t="inlineStr">
        <is>
          <t>PKG-24</t>
        </is>
      </c>
      <c r="F108" s="3" t="inlineStr">
        <is>
          <t>A-009</t>
        </is>
      </c>
      <c r="G108" s="3" t="inlineStr">
        <is>
          <t>PKG-24 assumption A-009 - see source</t>
        </is>
      </c>
    </row>
    <row r="109">
      <c r="A109" s="3" t="inlineStr">
        <is>
          <t>ASM-INTF</t>
        </is>
      </c>
      <c r="B109" s="3" t="inlineStr">
        <is>
          <t>Interface &amp; Coordination</t>
        </is>
      </c>
      <c r="C109" s="3" t="inlineStr">
        <is>
          <t>ASM-INTF-015</t>
        </is>
      </c>
      <c r="D109" s="3" t="inlineStr">
        <is>
          <t>PKG-24 assumption A-001 - see source</t>
        </is>
      </c>
      <c r="E109" s="3" t="inlineStr">
        <is>
          <t>PKG-24</t>
        </is>
      </c>
      <c r="F109" s="3" t="inlineStr">
        <is>
          <t>A-010</t>
        </is>
      </c>
      <c r="G109" s="3" t="inlineStr">
        <is>
          <t>PKG-24 assumption A-010 - see source</t>
        </is>
      </c>
    </row>
    <row r="110">
      <c r="A110" s="3" t="inlineStr">
        <is>
          <t>ASM-INTF</t>
        </is>
      </c>
      <c r="B110" s="3" t="inlineStr">
        <is>
          <t>Interface &amp; Coordination</t>
        </is>
      </c>
      <c r="C110" s="3" t="inlineStr">
        <is>
          <t>ASM-INTF-015</t>
        </is>
      </c>
      <c r="D110" s="3" t="inlineStr">
        <is>
          <t>PKG-24 assumption A-001 - see source</t>
        </is>
      </c>
      <c r="E110" s="3" t="inlineStr">
        <is>
          <t>PKG-24</t>
        </is>
      </c>
      <c r="F110" s="3" t="inlineStr">
        <is>
          <t>A-011</t>
        </is>
      </c>
      <c r="G110" s="3" t="inlineStr">
        <is>
          <t>PKG-24 assumption A-011 - see source</t>
        </is>
      </c>
    </row>
    <row r="111">
      <c r="A111" s="3" t="inlineStr">
        <is>
          <t>ASM-INTF</t>
        </is>
      </c>
      <c r="B111" s="3" t="inlineStr">
        <is>
          <t>Interface &amp; Coordination</t>
        </is>
      </c>
      <c r="C111" s="3" t="inlineStr">
        <is>
          <t>ASM-INTF-015</t>
        </is>
      </c>
      <c r="D111" s="3" t="inlineStr">
        <is>
          <t>PKG-24 assumption A-001 - see source</t>
        </is>
      </c>
      <c r="E111" s="3" t="inlineStr">
        <is>
          <t>PKG-24</t>
        </is>
      </c>
      <c r="F111" s="3" t="inlineStr">
        <is>
          <t>A-012</t>
        </is>
      </c>
      <c r="G111" s="3" t="inlineStr">
        <is>
          <t>PKG-24 assumption A-012 - see source</t>
        </is>
      </c>
    </row>
    <row r="112">
      <c r="A112" s="3" t="inlineStr">
        <is>
          <t>ASM-INTF</t>
        </is>
      </c>
      <c r="B112" s="3" t="inlineStr">
        <is>
          <t>Interface &amp; Coordination</t>
        </is>
      </c>
      <c r="C112" s="3" t="inlineStr">
        <is>
          <t>ASM-INTF-015</t>
        </is>
      </c>
      <c r="D112" s="3" t="inlineStr">
        <is>
          <t>PKG-24 assumption A-001 - see source</t>
        </is>
      </c>
      <c r="E112" s="3" t="inlineStr">
        <is>
          <t>PKG-24</t>
        </is>
      </c>
      <c r="F112" s="3" t="inlineStr">
        <is>
          <t>A-013</t>
        </is>
      </c>
      <c r="G112" s="3" t="inlineStr">
        <is>
          <t>PKG-24 assumption A-013 - see source</t>
        </is>
      </c>
    </row>
    <row r="113">
      <c r="A113" s="3" t="inlineStr">
        <is>
          <t>ASM-INTF</t>
        </is>
      </c>
      <c r="B113" s="3" t="inlineStr">
        <is>
          <t>Interface &amp; Coordination</t>
        </is>
      </c>
      <c r="C113" s="3" t="inlineStr">
        <is>
          <t>ASM-INTF-015</t>
        </is>
      </c>
      <c r="D113" s="3" t="inlineStr">
        <is>
          <t>PKG-24 assumption A-001 - see source</t>
        </is>
      </c>
      <c r="E113" s="3" t="inlineStr">
        <is>
          <t>PKG-24</t>
        </is>
      </c>
      <c r="F113" s="3" t="inlineStr">
        <is>
          <t>A-014</t>
        </is>
      </c>
      <c r="G113" s="3" t="inlineStr">
        <is>
          <t>PKG-24 assumption A-014 - see source</t>
        </is>
      </c>
    </row>
    <row r="114">
      <c r="A114" s="3" t="inlineStr">
        <is>
          <t>ASM-INTF</t>
        </is>
      </c>
      <c r="B114" s="3" t="inlineStr">
        <is>
          <t>Interface &amp; Coordination</t>
        </is>
      </c>
      <c r="C114" s="3" t="inlineStr">
        <is>
          <t>ASM-INTF-015</t>
        </is>
      </c>
      <c r="D114" s="3" t="inlineStr">
        <is>
          <t>PKG-24 assumption A-001 - see source</t>
        </is>
      </c>
      <c r="E114" s="3" t="inlineStr">
        <is>
          <t>PKG-24</t>
        </is>
      </c>
      <c r="F114" s="3" t="inlineStr">
        <is>
          <t>A-015</t>
        </is>
      </c>
      <c r="G114" s="3" t="inlineStr">
        <is>
          <t>PKG-24 assumption A-015 - see source</t>
        </is>
      </c>
    </row>
    <row r="115">
      <c r="A115" s="3" t="inlineStr">
        <is>
          <t>ASM-INTF</t>
        </is>
      </c>
      <c r="B115" s="3" t="inlineStr">
        <is>
          <t>Interface &amp; Coordination</t>
        </is>
      </c>
      <c r="C115" s="3" t="inlineStr">
        <is>
          <t>ASM-INTF-015</t>
        </is>
      </c>
      <c r="D115" s="3" t="inlineStr">
        <is>
          <t>PKG-24 assumption A-001 - see source</t>
        </is>
      </c>
      <c r="E115" s="3" t="inlineStr">
        <is>
          <t>PKG-24</t>
        </is>
      </c>
      <c r="F115" s="3" t="inlineStr">
        <is>
          <t>A-016</t>
        </is>
      </c>
      <c r="G115" s="3" t="inlineStr">
        <is>
          <t>PKG-24 assumption A-016 - see source</t>
        </is>
      </c>
    </row>
    <row r="116">
      <c r="A116" s="3" t="inlineStr">
        <is>
          <t>ASM-INTF</t>
        </is>
      </c>
      <c r="B116" s="3" t="inlineStr">
        <is>
          <t>Interface &amp; Coordination</t>
        </is>
      </c>
      <c r="C116" s="3" t="inlineStr">
        <is>
          <t>ASM-INTF-015</t>
        </is>
      </c>
      <c r="D116" s="3" t="inlineStr">
        <is>
          <t>PKG-24 assumption A-001 - see source</t>
        </is>
      </c>
      <c r="E116" s="3" t="inlineStr">
        <is>
          <t>PKG-24</t>
        </is>
      </c>
      <c r="F116" s="3" t="inlineStr">
        <is>
          <t>A-017</t>
        </is>
      </c>
      <c r="G116" s="3" t="inlineStr">
        <is>
          <t>PKG-24 assumption A-017 - see source</t>
        </is>
      </c>
    </row>
    <row r="117">
      <c r="A117" s="3" t="inlineStr">
        <is>
          <t>ASM-INTF</t>
        </is>
      </c>
      <c r="B117" s="3" t="inlineStr">
        <is>
          <t>Interface &amp; Coordination</t>
        </is>
      </c>
      <c r="C117" s="3" t="inlineStr">
        <is>
          <t>ASM-INTF-015</t>
        </is>
      </c>
      <c r="D117" s="3" t="inlineStr">
        <is>
          <t>PKG-24 assumption A-001 - see source</t>
        </is>
      </c>
      <c r="E117" s="3" t="inlineStr">
        <is>
          <t>PKG-24</t>
        </is>
      </c>
      <c r="F117" s="3" t="inlineStr">
        <is>
          <t>A-018</t>
        </is>
      </c>
      <c r="G117" s="3" t="inlineStr">
        <is>
          <t>PKG-24 assumption A-018 - see source</t>
        </is>
      </c>
    </row>
    <row r="118">
      <c r="A118" s="3" t="inlineStr">
        <is>
          <t>ASM-INTF</t>
        </is>
      </c>
      <c r="B118" s="3" t="inlineStr">
        <is>
          <t>Interface &amp; Coordination</t>
        </is>
      </c>
      <c r="C118" s="3" t="inlineStr">
        <is>
          <t>ASM-INTF-015</t>
        </is>
      </c>
      <c r="D118" s="3" t="inlineStr">
        <is>
          <t>PKG-24 assumption A-001 - see source</t>
        </is>
      </c>
      <c r="E118" s="3" t="inlineStr">
        <is>
          <t>PKG-24</t>
        </is>
      </c>
      <c r="F118" s="3" t="inlineStr">
        <is>
          <t>A-019</t>
        </is>
      </c>
      <c r="G118" s="3" t="inlineStr">
        <is>
          <t>PKG-24 assumption A-019 - see source</t>
        </is>
      </c>
    </row>
    <row r="119">
      <c r="A119" s="3" t="inlineStr">
        <is>
          <t>ASM-INTF</t>
        </is>
      </c>
      <c r="B119" s="3" t="inlineStr">
        <is>
          <t>Interface &amp; Coordination</t>
        </is>
      </c>
      <c r="C119" s="3" t="inlineStr">
        <is>
          <t>ASM-INTF-015</t>
        </is>
      </c>
      <c r="D119" s="3" t="inlineStr">
        <is>
          <t>PKG-24 assumption A-001 - see source</t>
        </is>
      </c>
      <c r="E119" s="3" t="inlineStr">
        <is>
          <t>PKG-24</t>
        </is>
      </c>
      <c r="F119" s="3" t="inlineStr">
        <is>
          <t>A-020</t>
        </is>
      </c>
      <c r="G119" s="3" t="inlineStr">
        <is>
          <t>PKG-24 assumption A-020 - see source</t>
        </is>
      </c>
    </row>
    <row r="120">
      <c r="A120" s="3" t="inlineStr">
        <is>
          <t>ASM-INTF</t>
        </is>
      </c>
      <c r="B120" s="3" t="inlineStr">
        <is>
          <t>Interface &amp; Coordination</t>
        </is>
      </c>
      <c r="C120" s="3" t="inlineStr">
        <is>
          <t>ASM-INTF-015</t>
        </is>
      </c>
      <c r="D120" s="3" t="inlineStr">
        <is>
          <t>PKG-24 assumption A-001 - see source</t>
        </is>
      </c>
      <c r="E120" s="3" t="inlineStr">
        <is>
          <t>PKG-24</t>
        </is>
      </c>
      <c r="F120" s="3" t="inlineStr">
        <is>
          <t>A-021</t>
        </is>
      </c>
      <c r="G120" s="3" t="inlineStr">
        <is>
          <t>PKG-24 assumption A-021 - see source</t>
        </is>
      </c>
    </row>
    <row r="121">
      <c r="A121" s="3" t="inlineStr">
        <is>
          <t>ASM-INTF</t>
        </is>
      </c>
      <c r="B121" s="3" t="inlineStr">
        <is>
          <t>Interface &amp; Coordination</t>
        </is>
      </c>
      <c r="C121" s="3" t="inlineStr">
        <is>
          <t>ASM-INTF-015</t>
        </is>
      </c>
      <c r="D121" s="3" t="inlineStr">
        <is>
          <t>PKG-24 assumption A-001 - see source</t>
        </is>
      </c>
      <c r="E121" s="3" t="inlineStr">
        <is>
          <t>PKG-24</t>
        </is>
      </c>
      <c r="F121" s="3" t="inlineStr">
        <is>
          <t>A-022</t>
        </is>
      </c>
      <c r="G121" s="3" t="inlineStr">
        <is>
          <t>PKG-24 assumption A-022 - see source</t>
        </is>
      </c>
    </row>
    <row r="122">
      <c r="A122" s="3" t="inlineStr">
        <is>
          <t>ASM-INTF</t>
        </is>
      </c>
      <c r="B122" s="3" t="inlineStr">
        <is>
          <t>Interface &amp; Coordination</t>
        </is>
      </c>
      <c r="C122" s="3" t="inlineStr">
        <is>
          <t>ASM-INTF-015</t>
        </is>
      </c>
      <c r="D122" s="3" t="inlineStr">
        <is>
          <t>PKG-24 assumption A-001 - see source</t>
        </is>
      </c>
      <c r="E122" s="3" t="inlineStr">
        <is>
          <t>PKG-24</t>
        </is>
      </c>
      <c r="F122" s="3" t="inlineStr">
        <is>
          <t>A-023</t>
        </is>
      </c>
      <c r="G122" s="3" t="inlineStr">
        <is>
          <t>PKG-24 assumption A-023 - see source</t>
        </is>
      </c>
    </row>
    <row r="123">
      <c r="A123" s="3" t="inlineStr">
        <is>
          <t>ASM-INTF</t>
        </is>
      </c>
      <c r="B123" s="3" t="inlineStr">
        <is>
          <t>Interface &amp; Coordination</t>
        </is>
      </c>
      <c r="C123" s="3" t="inlineStr">
        <is>
          <t>ASM-INTF-015</t>
        </is>
      </c>
      <c r="D123" s="3" t="inlineStr">
        <is>
          <t>PKG-24 assumption A-001 - see source</t>
        </is>
      </c>
      <c r="E123" s="3" t="inlineStr">
        <is>
          <t>PKG-25</t>
        </is>
      </c>
      <c r="F123" s="3" t="inlineStr">
        <is>
          <t>A-2501</t>
        </is>
      </c>
      <c r="G123" s="3" t="inlineStr">
        <is>
          <t>PKG-25 assumption A-2501 - see source</t>
        </is>
      </c>
    </row>
    <row r="124">
      <c r="A124" s="3" t="inlineStr">
        <is>
          <t>ASM-INTF</t>
        </is>
      </c>
      <c r="B124" s="3" t="inlineStr">
        <is>
          <t>Interface &amp; Coordination</t>
        </is>
      </c>
      <c r="C124" s="3" t="inlineStr">
        <is>
          <t>ASM-INTF-015</t>
        </is>
      </c>
      <c r="D124" s="3" t="inlineStr">
        <is>
          <t>PKG-24 assumption A-001 - see source</t>
        </is>
      </c>
      <c r="E124" s="3" t="inlineStr">
        <is>
          <t>PKG-25</t>
        </is>
      </c>
      <c r="F124" s="3" t="inlineStr">
        <is>
          <t>A-2502</t>
        </is>
      </c>
      <c r="G124" s="3" t="inlineStr">
        <is>
          <t>PKG-25 assumption A-2502 - see source</t>
        </is>
      </c>
    </row>
    <row r="125">
      <c r="A125" s="3" t="inlineStr">
        <is>
          <t>ASM-INTF</t>
        </is>
      </c>
      <c r="B125" s="3" t="inlineStr">
        <is>
          <t>Interface &amp; Coordination</t>
        </is>
      </c>
      <c r="C125" s="3" t="inlineStr">
        <is>
          <t>ASM-INTF-015</t>
        </is>
      </c>
      <c r="D125" s="3" t="inlineStr">
        <is>
          <t>PKG-24 assumption A-001 - see source</t>
        </is>
      </c>
      <c r="E125" s="3" t="inlineStr">
        <is>
          <t>PKG-25</t>
        </is>
      </c>
      <c r="F125" s="3" t="inlineStr">
        <is>
          <t>A-2503</t>
        </is>
      </c>
      <c r="G125" s="3" t="inlineStr">
        <is>
          <t>PKG-25 assumption A-2503 - see source</t>
        </is>
      </c>
    </row>
    <row r="126">
      <c r="A126" s="3" t="inlineStr">
        <is>
          <t>ASM-INTF</t>
        </is>
      </c>
      <c r="B126" s="3" t="inlineStr">
        <is>
          <t>Interface &amp; Coordination</t>
        </is>
      </c>
      <c r="C126" s="3" t="inlineStr">
        <is>
          <t>ASM-INTF-015</t>
        </is>
      </c>
      <c r="D126" s="3" t="inlineStr">
        <is>
          <t>PKG-24 assumption A-001 - see source</t>
        </is>
      </c>
      <c r="E126" s="3" t="inlineStr">
        <is>
          <t>PKG-25</t>
        </is>
      </c>
      <c r="F126" s="3" t="inlineStr">
        <is>
          <t>A-2504</t>
        </is>
      </c>
      <c r="G126" s="3" t="inlineStr">
        <is>
          <t>PKG-25 assumption A-2504 - see source</t>
        </is>
      </c>
    </row>
    <row r="127">
      <c r="A127" s="3" t="inlineStr">
        <is>
          <t>ASM-INTF</t>
        </is>
      </c>
      <c r="B127" s="3" t="inlineStr">
        <is>
          <t>Interface &amp; Coordination</t>
        </is>
      </c>
      <c r="C127" s="3" t="inlineStr">
        <is>
          <t>ASM-INTF-015</t>
        </is>
      </c>
      <c r="D127" s="3" t="inlineStr">
        <is>
          <t>PKG-24 assumption A-001 - see source</t>
        </is>
      </c>
      <c r="E127" s="3" t="inlineStr">
        <is>
          <t>PKG-25</t>
        </is>
      </c>
      <c r="F127" s="3" t="inlineStr">
        <is>
          <t>A-2505</t>
        </is>
      </c>
      <c r="G127" s="3" t="inlineStr">
        <is>
          <t>PKG-25 assumption A-2505 - see source</t>
        </is>
      </c>
    </row>
    <row r="128">
      <c r="A128" s="3" t="inlineStr">
        <is>
          <t>ASM-INTF</t>
        </is>
      </c>
      <c r="B128" s="3" t="inlineStr">
        <is>
          <t>Interface &amp; Coordination</t>
        </is>
      </c>
      <c r="C128" s="3" t="inlineStr">
        <is>
          <t>ASM-INTF-015</t>
        </is>
      </c>
      <c r="D128" s="3" t="inlineStr">
        <is>
          <t>PKG-24 assumption A-001 - see source</t>
        </is>
      </c>
      <c r="E128" s="3" t="inlineStr">
        <is>
          <t>PKG-25</t>
        </is>
      </c>
      <c r="F128" s="3" t="inlineStr">
        <is>
          <t>A-2506</t>
        </is>
      </c>
      <c r="G128" s="3" t="inlineStr">
        <is>
          <t>PKG-25 assumption A-2506 - see source</t>
        </is>
      </c>
    </row>
    <row r="129">
      <c r="A129" s="3" t="inlineStr">
        <is>
          <t>ASM-INTF</t>
        </is>
      </c>
      <c r="B129" s="3" t="inlineStr">
        <is>
          <t>Interface &amp; Coordination</t>
        </is>
      </c>
      <c r="C129" s="3" t="inlineStr">
        <is>
          <t>ASM-INTF-015</t>
        </is>
      </c>
      <c r="D129" s="3" t="inlineStr">
        <is>
          <t>PKG-24 assumption A-001 - see source</t>
        </is>
      </c>
      <c r="E129" s="3" t="inlineStr">
        <is>
          <t>PKG-25</t>
        </is>
      </c>
      <c r="F129" s="3" t="inlineStr">
        <is>
          <t>A-2507</t>
        </is>
      </c>
      <c r="G129" s="3" t="inlineStr">
        <is>
          <t>PKG-25 assumption A-2507 - see source</t>
        </is>
      </c>
    </row>
    <row r="130">
      <c r="A130" s="3" t="inlineStr">
        <is>
          <t>ASM-INTF</t>
        </is>
      </c>
      <c r="B130" s="3" t="inlineStr">
        <is>
          <t>Interface &amp; Coordination</t>
        </is>
      </c>
      <c r="C130" s="3" t="inlineStr">
        <is>
          <t>ASM-INTF-015</t>
        </is>
      </c>
      <c r="D130" s="3" t="inlineStr">
        <is>
          <t>PKG-24 assumption A-001 - see source</t>
        </is>
      </c>
      <c r="E130" s="3" t="inlineStr">
        <is>
          <t>PKG-25</t>
        </is>
      </c>
      <c r="F130" s="3" t="inlineStr">
        <is>
          <t>A-2508</t>
        </is>
      </c>
      <c r="G130" s="3" t="inlineStr">
        <is>
          <t>PKG-25 assumption A-2508 - see source</t>
        </is>
      </c>
    </row>
    <row r="131">
      <c r="A131" s="3" t="inlineStr">
        <is>
          <t>ASM-INTF</t>
        </is>
      </c>
      <c r="B131" s="3" t="inlineStr">
        <is>
          <t>Interface &amp; Coordination</t>
        </is>
      </c>
      <c r="C131" s="3" t="inlineStr">
        <is>
          <t>ASM-INTF-015</t>
        </is>
      </c>
      <c r="D131" s="3" t="inlineStr">
        <is>
          <t>PKG-24 assumption A-001 - see source</t>
        </is>
      </c>
      <c r="E131" s="3" t="inlineStr">
        <is>
          <t>PKG-25</t>
        </is>
      </c>
      <c r="F131" s="3" t="inlineStr">
        <is>
          <t>A-2509</t>
        </is>
      </c>
      <c r="G131" s="3" t="inlineStr">
        <is>
          <t>PKG-25 assumption A-2509 - see source</t>
        </is>
      </c>
    </row>
    <row r="132">
      <c r="A132" s="3" t="inlineStr">
        <is>
          <t>ASM-INTF</t>
        </is>
      </c>
      <c r="B132" s="3" t="inlineStr">
        <is>
          <t>Interface &amp; Coordination</t>
        </is>
      </c>
      <c r="C132" s="3" t="inlineStr">
        <is>
          <t>ASM-INTF-015</t>
        </is>
      </c>
      <c r="D132" s="3" t="inlineStr">
        <is>
          <t>PKG-24 assumption A-001 - see source</t>
        </is>
      </c>
      <c r="E132" s="3" t="inlineStr">
        <is>
          <t>PKG-25</t>
        </is>
      </c>
      <c r="F132" s="3" t="inlineStr">
        <is>
          <t>A-2510</t>
        </is>
      </c>
      <c r="G132" s="3" t="inlineStr">
        <is>
          <t>PKG-25 assumption A-2510 - see source</t>
        </is>
      </c>
    </row>
    <row r="133">
      <c r="A133" s="3" t="inlineStr">
        <is>
          <t>ASM-INTF</t>
        </is>
      </c>
      <c r="B133" s="3" t="inlineStr">
        <is>
          <t>Interface &amp; Coordination</t>
        </is>
      </c>
      <c r="C133" s="3" t="inlineStr">
        <is>
          <t>ASM-INTF-015</t>
        </is>
      </c>
      <c r="D133" s="3" t="inlineStr">
        <is>
          <t>PKG-24 assumption A-001 - see source</t>
        </is>
      </c>
      <c r="E133" s="3" t="inlineStr">
        <is>
          <t>PKG-25</t>
        </is>
      </c>
      <c r="F133" s="3" t="inlineStr">
        <is>
          <t>A-2511</t>
        </is>
      </c>
      <c r="G133" s="3" t="inlineStr">
        <is>
          <t>PKG-25 assumption A-2511 - see source</t>
        </is>
      </c>
    </row>
    <row r="134">
      <c r="A134" s="3" t="inlineStr">
        <is>
          <t>ASM-INTF</t>
        </is>
      </c>
      <c r="B134" s="3" t="inlineStr">
        <is>
          <t>Interface &amp; Coordination</t>
        </is>
      </c>
      <c r="C134" s="3" t="inlineStr">
        <is>
          <t>ASM-INTF-015</t>
        </is>
      </c>
      <c r="D134" s="3" t="inlineStr">
        <is>
          <t>PKG-24 assumption A-001 - see source</t>
        </is>
      </c>
      <c r="E134" s="3" t="inlineStr">
        <is>
          <t>PKG-25</t>
        </is>
      </c>
      <c r="F134" s="3" t="inlineStr">
        <is>
          <t>A-2512</t>
        </is>
      </c>
      <c r="G134" s="3" t="inlineStr">
        <is>
          <t>PKG-25 assumption A-2512 - see source</t>
        </is>
      </c>
    </row>
    <row r="135">
      <c r="A135" s="3" t="inlineStr">
        <is>
          <t>ASM-INTF</t>
        </is>
      </c>
      <c r="B135" s="3" t="inlineStr">
        <is>
          <t>Interface &amp; Coordination</t>
        </is>
      </c>
      <c r="C135" s="3" t="inlineStr">
        <is>
          <t>ASM-INTF-015</t>
        </is>
      </c>
      <c r="D135" s="3" t="inlineStr">
        <is>
          <t>PKG-24 assumption A-001 - see source</t>
        </is>
      </c>
      <c r="E135" s="3" t="inlineStr">
        <is>
          <t>PKG-25</t>
        </is>
      </c>
      <c r="F135" s="3" t="inlineStr">
        <is>
          <t>A-2513</t>
        </is>
      </c>
      <c r="G135" s="3" t="inlineStr">
        <is>
          <t>PKG-25 assumption A-2513 - see source</t>
        </is>
      </c>
    </row>
    <row r="136">
      <c r="A136" s="3" t="inlineStr">
        <is>
          <t>ASM-INTF</t>
        </is>
      </c>
      <c r="B136" s="3" t="inlineStr">
        <is>
          <t>Interface &amp; Coordination</t>
        </is>
      </c>
      <c r="C136" s="3" t="inlineStr">
        <is>
          <t>ASM-INTF-015</t>
        </is>
      </c>
      <c r="D136" s="3" t="inlineStr">
        <is>
          <t>PKG-24 assumption A-001 - see source</t>
        </is>
      </c>
      <c r="E136" s="3" t="inlineStr">
        <is>
          <t>PKG-25</t>
        </is>
      </c>
      <c r="F136" s="3" t="inlineStr">
        <is>
          <t>A-2514</t>
        </is>
      </c>
      <c r="G136" s="3" t="inlineStr">
        <is>
          <t>PKG-25 assumption A-2514 - see source</t>
        </is>
      </c>
    </row>
    <row r="137">
      <c r="A137" s="3" t="inlineStr">
        <is>
          <t>ASM-INTF</t>
        </is>
      </c>
      <c r="B137" s="3" t="inlineStr">
        <is>
          <t>Interface &amp; Coordination</t>
        </is>
      </c>
      <c r="C137" s="3" t="inlineStr">
        <is>
          <t>ASM-INTF-015</t>
        </is>
      </c>
      <c r="D137" s="3" t="inlineStr">
        <is>
          <t>PKG-24 assumption A-001 - see source</t>
        </is>
      </c>
      <c r="E137" s="3" t="inlineStr">
        <is>
          <t>PKG-25</t>
        </is>
      </c>
      <c r="F137" s="3" t="inlineStr">
        <is>
          <t>A-2515</t>
        </is>
      </c>
      <c r="G137" s="3" t="inlineStr">
        <is>
          <t>PKG-25 assumption A-2515 - see source</t>
        </is>
      </c>
    </row>
    <row r="138">
      <c r="A138" s="3" t="inlineStr">
        <is>
          <t>ASM-INTF</t>
        </is>
      </c>
      <c r="B138" s="3" t="inlineStr">
        <is>
          <t>Interface &amp; Coordination</t>
        </is>
      </c>
      <c r="C138" s="3" t="inlineStr">
        <is>
          <t>ASM-INTF-015</t>
        </is>
      </c>
      <c r="D138" s="3" t="inlineStr">
        <is>
          <t>PKG-24 assumption A-001 - see source</t>
        </is>
      </c>
      <c r="E138" s="3" t="inlineStr">
        <is>
          <t>PKG-25</t>
        </is>
      </c>
      <c r="F138" s="3" t="inlineStr">
        <is>
          <t>A-2516</t>
        </is>
      </c>
      <c r="G138" s="3" t="inlineStr">
        <is>
          <t>PKG-25 assumption A-2516 - see source</t>
        </is>
      </c>
    </row>
    <row r="139">
      <c r="A139" s="3" t="inlineStr">
        <is>
          <t>ASM-INTF</t>
        </is>
      </c>
      <c r="B139" s="3" t="inlineStr">
        <is>
          <t>Interface &amp; Coordination</t>
        </is>
      </c>
      <c r="C139" s="3" t="inlineStr">
        <is>
          <t>ASM-INTF-015</t>
        </is>
      </c>
      <c r="D139" s="3" t="inlineStr">
        <is>
          <t>PKG-24 assumption A-001 - see source</t>
        </is>
      </c>
      <c r="E139" s="3" t="inlineStr">
        <is>
          <t>PKG-25</t>
        </is>
      </c>
      <c r="F139" s="3" t="inlineStr">
        <is>
          <t>A-2517</t>
        </is>
      </c>
      <c r="G139" s="3" t="inlineStr">
        <is>
          <t>PKG-25 assumption A-2517 - see source</t>
        </is>
      </c>
    </row>
    <row r="140">
      <c r="A140" s="3" t="inlineStr">
        <is>
          <t>ASM-INTF</t>
        </is>
      </c>
      <c r="B140" s="3" t="inlineStr">
        <is>
          <t>Interface &amp; Coordination</t>
        </is>
      </c>
      <c r="C140" s="3" t="inlineStr">
        <is>
          <t>ASM-INTF-015</t>
        </is>
      </c>
      <c r="D140" s="3" t="inlineStr">
        <is>
          <t>PKG-24 assumption A-001 - see source</t>
        </is>
      </c>
      <c r="E140" s="3" t="inlineStr">
        <is>
          <t>PKG-25</t>
        </is>
      </c>
      <c r="F140" s="3" t="inlineStr">
        <is>
          <t>A-2518</t>
        </is>
      </c>
      <c r="G140" s="3" t="inlineStr">
        <is>
          <t>PKG-25 assumption A-2518 - see source</t>
        </is>
      </c>
    </row>
    <row r="141">
      <c r="A141" s="3" t="inlineStr">
        <is>
          <t>ASM-INTF</t>
        </is>
      </c>
      <c r="B141" s="3" t="inlineStr">
        <is>
          <t>Interface &amp; Coordination</t>
        </is>
      </c>
      <c r="C141" s="3" t="inlineStr">
        <is>
          <t>ASM-INTF-016</t>
        </is>
      </c>
      <c r="D141" s="3" t="inlineStr">
        <is>
          <t>PKG-26 assumption A-2601</t>
        </is>
      </c>
      <c r="E141" s="3" t="inlineStr">
        <is>
          <t>PKG-26</t>
        </is>
      </c>
      <c r="F141" s="3" t="inlineStr">
        <is>
          <t>A-2601</t>
        </is>
      </c>
      <c r="G141" s="3" t="inlineStr">
        <is>
          <t>PKG-26 assumption A-2601</t>
        </is>
      </c>
    </row>
    <row r="142">
      <c r="A142" s="3" t="inlineStr">
        <is>
          <t>ASM-INTF</t>
        </is>
      </c>
      <c r="B142" s="3" t="inlineStr">
        <is>
          <t>Interface &amp; Coordination</t>
        </is>
      </c>
      <c r="C142" s="3" t="inlineStr">
        <is>
          <t>ASM-INTF-016</t>
        </is>
      </c>
      <c r="D142" s="3" t="inlineStr">
        <is>
          <t>PKG-26 assumption A-2601</t>
        </is>
      </c>
      <c r="E142" s="3" t="inlineStr">
        <is>
          <t>PKG-26</t>
        </is>
      </c>
      <c r="F142" s="3" t="inlineStr">
        <is>
          <t>A-2602</t>
        </is>
      </c>
      <c r="G142" s="3" t="inlineStr">
        <is>
          <t>PKG-26 assumption A-2602</t>
        </is>
      </c>
    </row>
    <row r="143">
      <c r="A143" s="3" t="inlineStr">
        <is>
          <t>ASM-INTF</t>
        </is>
      </c>
      <c r="B143" s="3" t="inlineStr">
        <is>
          <t>Interface &amp; Coordination</t>
        </is>
      </c>
      <c r="C143" s="3" t="inlineStr">
        <is>
          <t>ASM-INTF-016</t>
        </is>
      </c>
      <c r="D143" s="3" t="inlineStr">
        <is>
          <t>PKG-26 assumption A-2601</t>
        </is>
      </c>
      <c r="E143" s="3" t="inlineStr">
        <is>
          <t>PKG-26</t>
        </is>
      </c>
      <c r="F143" s="3" t="inlineStr">
        <is>
          <t>A-2603</t>
        </is>
      </c>
      <c r="G143" s="3" t="inlineStr">
        <is>
          <t>PKG-26 assumption A-2603</t>
        </is>
      </c>
    </row>
    <row r="144">
      <c r="A144" s="3" t="inlineStr">
        <is>
          <t>ASM-INTF</t>
        </is>
      </c>
      <c r="B144" s="3" t="inlineStr">
        <is>
          <t>Interface &amp; Coordination</t>
        </is>
      </c>
      <c r="C144" s="3" t="inlineStr">
        <is>
          <t>ASM-INTF-016</t>
        </is>
      </c>
      <c r="D144" s="3" t="inlineStr">
        <is>
          <t>PKG-26 assumption A-2601</t>
        </is>
      </c>
      <c r="E144" s="3" t="inlineStr">
        <is>
          <t>PKG-26</t>
        </is>
      </c>
      <c r="F144" s="3" t="inlineStr">
        <is>
          <t>A-2604</t>
        </is>
      </c>
      <c r="G144" s="3" t="inlineStr">
        <is>
          <t>PKG-26 assumption A-2604</t>
        </is>
      </c>
    </row>
    <row r="145">
      <c r="A145" s="3" t="inlineStr">
        <is>
          <t>ASM-INTF</t>
        </is>
      </c>
      <c r="B145" s="3" t="inlineStr">
        <is>
          <t>Interface &amp; Coordination</t>
        </is>
      </c>
      <c r="C145" s="3" t="inlineStr">
        <is>
          <t>ASM-INTF-016</t>
        </is>
      </c>
      <c r="D145" s="3" t="inlineStr">
        <is>
          <t>PKG-26 assumption A-2601</t>
        </is>
      </c>
      <c r="E145" s="3" t="inlineStr">
        <is>
          <t>PKG-26</t>
        </is>
      </c>
      <c r="F145" s="3" t="inlineStr">
        <is>
          <t>A-2605</t>
        </is>
      </c>
      <c r="G145" s="3" t="inlineStr">
        <is>
          <t>PKG-26 assumption A-2605</t>
        </is>
      </c>
    </row>
    <row r="146">
      <c r="A146" s="3" t="inlineStr">
        <is>
          <t>ASM-INTF</t>
        </is>
      </c>
      <c r="B146" s="3" t="inlineStr">
        <is>
          <t>Interface &amp; Coordination</t>
        </is>
      </c>
      <c r="C146" s="3" t="inlineStr">
        <is>
          <t>ASM-INTF-016</t>
        </is>
      </c>
      <c r="D146" s="3" t="inlineStr">
        <is>
          <t>PKG-26 assumption A-2601</t>
        </is>
      </c>
      <c r="E146" s="3" t="inlineStr">
        <is>
          <t>PKG-26</t>
        </is>
      </c>
      <c r="F146" s="3" t="inlineStr">
        <is>
          <t>A-2606</t>
        </is>
      </c>
      <c r="G146" s="3" t="inlineStr">
        <is>
          <t>PKG-26 assumption A-2606</t>
        </is>
      </c>
    </row>
    <row r="147">
      <c r="A147" s="3" t="inlineStr">
        <is>
          <t>ASM-INTF</t>
        </is>
      </c>
      <c r="B147" s="3" t="inlineStr">
        <is>
          <t>Interface &amp; Coordination</t>
        </is>
      </c>
      <c r="C147" s="3" t="inlineStr">
        <is>
          <t>ASM-INTF-016</t>
        </is>
      </c>
      <c r="D147" s="3" t="inlineStr">
        <is>
          <t>PKG-26 assumption A-2601</t>
        </is>
      </c>
      <c r="E147" s="3" t="inlineStr">
        <is>
          <t>PKG-26</t>
        </is>
      </c>
      <c r="F147" s="3" t="inlineStr">
        <is>
          <t>A-2607</t>
        </is>
      </c>
      <c r="G147" s="3" t="inlineStr">
        <is>
          <t>PKG-26 assumption A-2607</t>
        </is>
      </c>
    </row>
    <row r="148">
      <c r="A148" s="3" t="inlineStr">
        <is>
          <t>ASM-INTF</t>
        </is>
      </c>
      <c r="B148" s="3" t="inlineStr">
        <is>
          <t>Interface &amp; Coordination</t>
        </is>
      </c>
      <c r="C148" s="3" t="inlineStr">
        <is>
          <t>ASM-INTF-016</t>
        </is>
      </c>
      <c r="D148" s="3" t="inlineStr">
        <is>
          <t>PKG-26 assumption A-2601</t>
        </is>
      </c>
      <c r="E148" s="3" t="inlineStr">
        <is>
          <t>PKG-26</t>
        </is>
      </c>
      <c r="F148" s="3" t="inlineStr">
        <is>
          <t>A-2608</t>
        </is>
      </c>
      <c r="G148" s="3" t="inlineStr">
        <is>
          <t>PKG-26 assumption A-2608</t>
        </is>
      </c>
    </row>
    <row r="149">
      <c r="A149" s="3" t="inlineStr">
        <is>
          <t>ASM-INTF</t>
        </is>
      </c>
      <c r="B149" s="3" t="inlineStr">
        <is>
          <t>Interface &amp; Coordination</t>
        </is>
      </c>
      <c r="C149" s="3" t="inlineStr">
        <is>
          <t>ASM-INTF-016</t>
        </is>
      </c>
      <c r="D149" s="3" t="inlineStr">
        <is>
          <t>PKG-26 assumption A-2601</t>
        </is>
      </c>
      <c r="E149" s="3" t="inlineStr">
        <is>
          <t>PKG-26</t>
        </is>
      </c>
      <c r="F149" s="3" t="inlineStr">
        <is>
          <t>A-2609</t>
        </is>
      </c>
      <c r="G149" s="3" t="inlineStr">
        <is>
          <t>PKG-26 assumption A-2609</t>
        </is>
      </c>
    </row>
    <row r="150">
      <c r="A150" s="3" t="inlineStr">
        <is>
          <t>ASM-INTF</t>
        </is>
      </c>
      <c r="B150" s="3" t="inlineStr">
        <is>
          <t>Interface &amp; Coordination</t>
        </is>
      </c>
      <c r="C150" s="3" t="inlineStr">
        <is>
          <t>ASM-INTF-016</t>
        </is>
      </c>
      <c r="D150" s="3" t="inlineStr">
        <is>
          <t>PKG-26 assumption A-2601</t>
        </is>
      </c>
      <c r="E150" s="3" t="inlineStr">
        <is>
          <t>PKG-26</t>
        </is>
      </c>
      <c r="F150" s="3" t="inlineStr">
        <is>
          <t>A-2610</t>
        </is>
      </c>
      <c r="G150" s="3" t="inlineStr">
        <is>
          <t>PKG-26 assumption A-2610</t>
        </is>
      </c>
    </row>
    <row r="151">
      <c r="A151" s="3" t="inlineStr">
        <is>
          <t>ASM-INTF</t>
        </is>
      </c>
      <c r="B151" s="3" t="inlineStr">
        <is>
          <t>Interface &amp; Coordination</t>
        </is>
      </c>
      <c r="C151" s="3" t="inlineStr">
        <is>
          <t>ASM-INTF-016</t>
        </is>
      </c>
      <c r="D151" s="3" t="inlineStr">
        <is>
          <t>PKG-26 assumption A-2601</t>
        </is>
      </c>
      <c r="E151" s="3" t="inlineStr">
        <is>
          <t>PKG-26</t>
        </is>
      </c>
      <c r="F151" s="3" t="inlineStr">
        <is>
          <t>A-2611</t>
        </is>
      </c>
      <c r="G151" s="3" t="inlineStr">
        <is>
          <t>PKG-26 assumption A-2611</t>
        </is>
      </c>
    </row>
    <row r="152">
      <c r="A152" s="3" t="inlineStr">
        <is>
          <t>ASM-INTF</t>
        </is>
      </c>
      <c r="B152" s="3" t="inlineStr">
        <is>
          <t>Interface &amp; Coordination</t>
        </is>
      </c>
      <c r="C152" s="3" t="inlineStr">
        <is>
          <t>ASM-INTF-016</t>
        </is>
      </c>
      <c r="D152" s="3" t="inlineStr">
        <is>
          <t>PKG-26 assumption A-2601</t>
        </is>
      </c>
      <c r="E152" s="3" t="inlineStr">
        <is>
          <t>PKG-26</t>
        </is>
      </c>
      <c r="F152" s="3" t="inlineStr">
        <is>
          <t>A-2612</t>
        </is>
      </c>
      <c r="G152" s="3" t="inlineStr">
        <is>
          <t>PKG-26 assumption A-2612</t>
        </is>
      </c>
    </row>
    <row r="153">
      <c r="A153" s="3" t="inlineStr">
        <is>
          <t>ASM-INTF</t>
        </is>
      </c>
      <c r="B153" s="3" t="inlineStr">
        <is>
          <t>Interface &amp; Coordination</t>
        </is>
      </c>
      <c r="C153" s="3" t="inlineStr">
        <is>
          <t>ASM-INTF-016</t>
        </is>
      </c>
      <c r="D153" s="3" t="inlineStr">
        <is>
          <t>PKG-26 assumption A-2601</t>
        </is>
      </c>
      <c r="E153" s="3" t="inlineStr">
        <is>
          <t>PKG-26</t>
        </is>
      </c>
      <c r="F153" s="3" t="inlineStr">
        <is>
          <t>A-2613</t>
        </is>
      </c>
      <c r="G153" s="3" t="inlineStr">
        <is>
          <t>PKG-26 assumption A-2613</t>
        </is>
      </c>
    </row>
    <row r="154">
      <c r="A154" s="3" t="inlineStr">
        <is>
          <t>ASM-INTF</t>
        </is>
      </c>
      <c r="B154" s="3" t="inlineStr">
        <is>
          <t>Interface &amp; Coordination</t>
        </is>
      </c>
      <c r="C154" s="3" t="inlineStr">
        <is>
          <t>ASM-INTF-016</t>
        </is>
      </c>
      <c r="D154" s="3" t="inlineStr">
        <is>
          <t>PKG-26 assumption A-2601</t>
        </is>
      </c>
      <c r="E154" s="3" t="inlineStr">
        <is>
          <t>PKG-26</t>
        </is>
      </c>
      <c r="F154" s="3" t="inlineStr">
        <is>
          <t>A-2614</t>
        </is>
      </c>
      <c r="G154" s="3" t="inlineStr">
        <is>
          <t>PKG-26 assumption A-2614</t>
        </is>
      </c>
    </row>
    <row r="155">
      <c r="A155" s="3" t="inlineStr">
        <is>
          <t>ASM-INTF</t>
        </is>
      </c>
      <c r="B155" s="3" t="inlineStr">
        <is>
          <t>Interface &amp; Coordination</t>
        </is>
      </c>
      <c r="C155" s="3" t="inlineStr">
        <is>
          <t>ASM-INTF-016</t>
        </is>
      </c>
      <c r="D155" s="3" t="inlineStr">
        <is>
          <t>PKG-26 assumption A-2601</t>
        </is>
      </c>
      <c r="E155" s="3" t="inlineStr">
        <is>
          <t>PKG-26</t>
        </is>
      </c>
      <c r="F155" s="3" t="inlineStr">
        <is>
          <t>A-2615</t>
        </is>
      </c>
      <c r="G155" s="3" t="inlineStr">
        <is>
          <t>PKG-26 assumption A-2615</t>
        </is>
      </c>
    </row>
    <row r="156">
      <c r="A156" s="3" t="inlineStr">
        <is>
          <t>ASM-INTF</t>
        </is>
      </c>
      <c r="B156" s="3" t="inlineStr">
        <is>
          <t>Interface &amp; Coordination</t>
        </is>
      </c>
      <c r="C156" s="3" t="inlineStr">
        <is>
          <t>ASM-INTF-016</t>
        </is>
      </c>
      <c r="D156" s="3" t="inlineStr">
        <is>
          <t>PKG-26 assumption A-2601</t>
        </is>
      </c>
      <c r="E156" s="3" t="inlineStr">
        <is>
          <t>PKG-26</t>
        </is>
      </c>
      <c r="F156" s="3" t="inlineStr">
        <is>
          <t>A-2616</t>
        </is>
      </c>
      <c r="G156" s="3" t="inlineStr">
        <is>
          <t>PKG-26 assumption A-2616</t>
        </is>
      </c>
    </row>
    <row r="157">
      <c r="A157" s="3" t="inlineStr">
        <is>
          <t>ASM-INTF</t>
        </is>
      </c>
      <c r="B157" s="3" t="inlineStr">
        <is>
          <t>Interface &amp; Coordination</t>
        </is>
      </c>
      <c r="C157" s="3" t="inlineStr">
        <is>
          <t>ASM-INTF-016</t>
        </is>
      </c>
      <c r="D157" s="3" t="inlineStr">
        <is>
          <t>PKG-26 assumption A-2601</t>
        </is>
      </c>
      <c r="E157" s="3" t="inlineStr">
        <is>
          <t>PKG-26</t>
        </is>
      </c>
      <c r="F157" s="3" t="inlineStr">
        <is>
          <t>A-2617</t>
        </is>
      </c>
      <c r="G157" s="3" t="inlineStr">
        <is>
          <t>PKG-26 assumption A-2617</t>
        </is>
      </c>
    </row>
    <row r="158">
      <c r="A158" s="3" t="inlineStr">
        <is>
          <t>ASM-INTF</t>
        </is>
      </c>
      <c r="B158" s="3" t="inlineStr">
        <is>
          <t>Interface &amp; Coordination</t>
        </is>
      </c>
      <c r="C158" s="3" t="inlineStr">
        <is>
          <t>ASM-INTF-016</t>
        </is>
      </c>
      <c r="D158" s="3" t="inlineStr">
        <is>
          <t>PKG-26 assumption A-2601</t>
        </is>
      </c>
      <c r="E158" s="3" t="inlineStr">
        <is>
          <t>PKG-26</t>
        </is>
      </c>
      <c r="F158" s="3" t="inlineStr">
        <is>
          <t>A-2618</t>
        </is>
      </c>
      <c r="G158" s="3" t="inlineStr">
        <is>
          <t>PKG-26 assumption A-2618</t>
        </is>
      </c>
    </row>
    <row r="159">
      <c r="A159" s="3" t="inlineStr">
        <is>
          <t>ASM-INTF</t>
        </is>
      </c>
      <c r="B159" s="3" t="inlineStr">
        <is>
          <t>Interface &amp; Coordination</t>
        </is>
      </c>
      <c r="C159" s="3" t="inlineStr">
        <is>
          <t>ASM-INTF-016</t>
        </is>
      </c>
      <c r="D159" s="3" t="inlineStr">
        <is>
          <t>PKG-26 assumption A-2601</t>
        </is>
      </c>
      <c r="E159" s="3" t="inlineStr">
        <is>
          <t>PKG-26</t>
        </is>
      </c>
      <c r="F159" s="3" t="inlineStr">
        <is>
          <t>A-2619</t>
        </is>
      </c>
      <c r="G159" s="3" t="inlineStr">
        <is>
          <t>PKG-26 assumption A-2619</t>
        </is>
      </c>
    </row>
    <row r="160">
      <c r="A160" s="3" t="inlineStr">
        <is>
          <t>ASM-INTF</t>
        </is>
      </c>
      <c r="B160" s="3" t="inlineStr">
        <is>
          <t>Interface &amp; Coordination</t>
        </is>
      </c>
      <c r="C160" s="3" t="inlineStr">
        <is>
          <t>ASM-INTF-016</t>
        </is>
      </c>
      <c r="D160" s="3" t="inlineStr">
        <is>
          <t>PKG-26 assumption A-2601</t>
        </is>
      </c>
      <c r="E160" s="3" t="inlineStr">
        <is>
          <t>PKG-26</t>
        </is>
      </c>
      <c r="F160" s="3" t="inlineStr">
        <is>
          <t>A-2620</t>
        </is>
      </c>
      <c r="G160" s="3" t="inlineStr">
        <is>
          <t>PKG-26 assumption A-2620</t>
        </is>
      </c>
    </row>
    <row r="161">
      <c r="A161" s="3" t="inlineStr">
        <is>
          <t>ASM-INTF</t>
        </is>
      </c>
      <c r="B161" s="3" t="inlineStr">
        <is>
          <t>Interface &amp; Coordination</t>
        </is>
      </c>
      <c r="C161" s="3" t="inlineStr">
        <is>
          <t>ASM-INTF-016</t>
        </is>
      </c>
      <c r="D161" s="3" t="inlineStr">
        <is>
          <t>PKG-26 assumption A-2601</t>
        </is>
      </c>
      <c r="E161" s="3" t="inlineStr">
        <is>
          <t>PKG-26</t>
        </is>
      </c>
      <c r="F161" s="3" t="inlineStr">
        <is>
          <t>A-2621</t>
        </is>
      </c>
      <c r="G161" s="3" t="inlineStr">
        <is>
          <t>PKG-26 assumption A-2621</t>
        </is>
      </c>
    </row>
    <row r="162">
      <c r="A162" s="3" t="inlineStr">
        <is>
          <t>ASM-INTF</t>
        </is>
      </c>
      <c r="B162" s="3" t="inlineStr">
        <is>
          <t>Interface &amp; Coordination</t>
        </is>
      </c>
      <c r="C162" s="3" t="inlineStr">
        <is>
          <t>ASM-INTF-016</t>
        </is>
      </c>
      <c r="D162" s="3" t="inlineStr">
        <is>
          <t>PKG-26 assumption A-2601</t>
        </is>
      </c>
      <c r="E162" s="3" t="inlineStr">
        <is>
          <t>PKG-26</t>
        </is>
      </c>
      <c r="F162" s="3" t="inlineStr">
        <is>
          <t>A-2622</t>
        </is>
      </c>
      <c r="G162" s="3" t="inlineStr">
        <is>
          <t>PKG-26 assumption A-2622</t>
        </is>
      </c>
    </row>
    <row r="163">
      <c r="A163" s="3" t="inlineStr">
        <is>
          <t>ASM-INTF</t>
        </is>
      </c>
      <c r="B163" s="3" t="inlineStr">
        <is>
          <t>Interface &amp; Coordination</t>
        </is>
      </c>
      <c r="C163" s="3" t="inlineStr">
        <is>
          <t>ASM-INTF-016</t>
        </is>
      </c>
      <c r="D163" s="3" t="inlineStr">
        <is>
          <t>PKG-26 assumption A-2601</t>
        </is>
      </c>
      <c r="E163" s="3" t="inlineStr">
        <is>
          <t>PKG-26</t>
        </is>
      </c>
      <c r="F163" s="3" t="inlineStr">
        <is>
          <t>A-2623</t>
        </is>
      </c>
      <c r="G163" s="3" t="inlineStr">
        <is>
          <t>PKG-26 assumption A-2623</t>
        </is>
      </c>
    </row>
    <row r="164">
      <c r="A164" s="3" t="inlineStr">
        <is>
          <t>ASM-INTF</t>
        </is>
      </c>
      <c r="B164" s="3" t="inlineStr">
        <is>
          <t>Interface &amp; Coordination</t>
        </is>
      </c>
      <c r="C164" s="3" t="inlineStr">
        <is>
          <t>ASM-INTF-016</t>
        </is>
      </c>
      <c r="D164" s="3" t="inlineStr">
        <is>
          <t>PKG-26 assumption A-2601</t>
        </is>
      </c>
      <c r="E164" s="3" t="inlineStr">
        <is>
          <t>PKG-26</t>
        </is>
      </c>
      <c r="F164" s="3" t="inlineStr">
        <is>
          <t>A-2624</t>
        </is>
      </c>
      <c r="G164" s="3" t="inlineStr">
        <is>
          <t>PKG-26 assumption A-2624</t>
        </is>
      </c>
    </row>
    <row r="165">
      <c r="A165" s="3" t="inlineStr">
        <is>
          <t>ASM-INTF</t>
        </is>
      </c>
      <c r="B165" s="3" t="inlineStr">
        <is>
          <t>Interface &amp; Coordination</t>
        </is>
      </c>
      <c r="C165" s="3" t="inlineStr">
        <is>
          <t>ASM-INTF-016</t>
        </is>
      </c>
      <c r="D165" s="3" t="inlineStr">
        <is>
          <t>PKG-26 assumption A-2601</t>
        </is>
      </c>
      <c r="E165" s="3" t="inlineStr">
        <is>
          <t>PKG-26</t>
        </is>
      </c>
      <c r="F165" s="3" t="inlineStr">
        <is>
          <t>A-2625</t>
        </is>
      </c>
      <c r="G165" s="3" t="inlineStr">
        <is>
          <t>PKG-26 assumption A-2625</t>
        </is>
      </c>
    </row>
    <row r="166">
      <c r="A166" s="3" t="inlineStr">
        <is>
          <t>ASM-INTF</t>
        </is>
      </c>
      <c r="B166" s="3" t="inlineStr">
        <is>
          <t>Interface &amp; Coordination</t>
        </is>
      </c>
      <c r="C166" s="3" t="inlineStr">
        <is>
          <t>ASM-INTF-017</t>
        </is>
      </c>
      <c r="D166" s="3" t="inlineStr">
        <is>
          <t>40-60 HMI graphics screens for operator interface</t>
        </is>
      </c>
      <c r="E166" s="3" t="inlineStr">
        <is>
          <t>PKG-19</t>
        </is>
      </c>
      <c r="F166" s="3" t="inlineStr">
        <is>
          <t>A-012</t>
        </is>
      </c>
      <c r="G166" s="3" t="inlineStr">
        <is>
          <t>40-60 HMI graphics screens for operator interface</t>
        </is>
      </c>
    </row>
    <row r="167">
      <c r="A167" s="3" t="inlineStr">
        <is>
          <t>ASM-INTF</t>
        </is>
      </c>
      <c r="B167" s="3" t="inlineStr">
        <is>
          <t>Interface &amp; Coordination</t>
        </is>
      </c>
      <c r="C167" s="3" t="inlineStr">
        <is>
          <t>ASM-INTF-018</t>
        </is>
      </c>
      <c r="D167" s="3" t="inlineStr">
        <is>
          <t>Control system equipment installed in MCC building per PKG-21/22</t>
        </is>
      </c>
      <c r="E167" s="3" t="inlineStr">
        <is>
          <t>PKG-19</t>
        </is>
      </c>
      <c r="F167" s="3" t="inlineStr">
        <is>
          <t>A-001</t>
        </is>
      </c>
      <c r="G167" s="3" t="inlineStr">
        <is>
          <t>Control system equipment installed in MCC building per PKG..</t>
        </is>
      </c>
    </row>
    <row r="168">
      <c r="A168" s="3" t="inlineStr">
        <is>
          <t>ASM-INTF</t>
        </is>
      </c>
      <c r="B168" s="3" t="inlineStr">
        <is>
          <t>Interface &amp; Coordination</t>
        </is>
      </c>
      <c r="C168" s="3" t="inlineStr">
        <is>
          <t>ASM-INTF-019</t>
        </is>
      </c>
      <c r="D168" s="3" t="inlineStr">
        <is>
          <t>Coordination Meeting Records — DEL-34.01</t>
        </is>
      </c>
      <c r="E168" s="3" t="inlineStr">
        <is>
          <t>PKG-34</t>
        </is>
      </c>
      <c r="F168" s="3" t="inlineStr">
        <is>
          <t>A-003</t>
        </is>
      </c>
      <c r="G168" s="3" t="inlineStr">
        <is>
          <t>Coordination Meeting Records — DEL-34.01</t>
        </is>
      </c>
    </row>
    <row r="169">
      <c r="A169" s="3" t="inlineStr">
        <is>
          <t>ASM-INTF</t>
        </is>
      </c>
      <c r="B169" s="3" t="inlineStr">
        <is>
          <t>Interface &amp; Coordination</t>
        </is>
      </c>
      <c r="C169" s="3" t="inlineStr">
        <is>
          <t>ASM-INTF-020</t>
        </is>
      </c>
      <c r="D169" s="3" t="inlineStr">
        <is>
          <t>Interface Agreements — DEL-34.02</t>
        </is>
      </c>
      <c r="E169" s="3" t="inlineStr">
        <is>
          <t>PKG-34</t>
        </is>
      </c>
      <c r="F169" s="3" t="inlineStr">
        <is>
          <t>A-002</t>
        </is>
      </c>
      <c r="G169" s="3" t="inlineStr">
        <is>
          <t>Interface Agreements — DEL-34.02</t>
        </is>
      </c>
    </row>
    <row r="170">
      <c r="A170" s="3" t="inlineStr">
        <is>
          <t>ASM-INTF</t>
        </is>
      </c>
      <c r="B170" s="3" t="inlineStr">
        <is>
          <t>Interface &amp; Coordination</t>
        </is>
      </c>
      <c r="C170" s="3" t="inlineStr">
        <is>
          <t>ASM-INTF-021</t>
        </is>
      </c>
      <c r="D170" s="3" t="inlineStr">
        <is>
          <t>Marine Coordination Records — DEL-34.03</t>
        </is>
      </c>
      <c r="E170" s="3" t="inlineStr">
        <is>
          <t>PKG-34</t>
        </is>
      </c>
      <c r="F170" s="3" t="inlineStr">
        <is>
          <t>A-004</t>
        </is>
      </c>
      <c r="G170" s="3" t="inlineStr">
        <is>
          <t>Marine Coordination Records — DEL-34.03</t>
        </is>
      </c>
    </row>
    <row r="171">
      <c r="A171" s="3" t="inlineStr">
        <is>
          <t>ASM-INTF</t>
        </is>
      </c>
      <c r="B171" s="3" t="inlineStr">
        <is>
          <t>Interface &amp; Coordination</t>
        </is>
      </c>
      <c r="C171" s="3" t="inlineStr">
        <is>
          <t>ASM-INTF-022</t>
        </is>
      </c>
      <c r="D171" s="3" t="inlineStr">
        <is>
          <t>Marine loading system (PKG-11) requires **~25 valves** (loading arm isolation, f...</t>
        </is>
      </c>
      <c r="E171" s="3" t="inlineStr">
        <is>
          <t>PKG-16</t>
        </is>
      </c>
      <c r="F171" s="3" t="inlineStr">
        <is>
          <t>A-1618</t>
        </is>
      </c>
      <c r="G171" s="3" t="inlineStr">
        <is>
          <t>Marine loading system (PKG-11) requires **~25 valves** (lo..</t>
        </is>
      </c>
    </row>
    <row r="172">
      <c r="A172" s="3" t="inlineStr">
        <is>
          <t>ASM-INTF</t>
        </is>
      </c>
      <c r="B172" s="3" t="inlineStr">
        <is>
          <t>Interface &amp; Coordination</t>
        </is>
      </c>
      <c r="C172" s="3" t="inlineStr">
        <is>
          <t>ASM-INTF-023</t>
        </is>
      </c>
      <c r="D172" s="3" t="inlineStr">
        <is>
          <t>Product transfer and metering (PKG-12) requires **~30 valves**</t>
        </is>
      </c>
      <c r="E172" s="3" t="inlineStr">
        <is>
          <t>PKG-16</t>
        </is>
      </c>
      <c r="F172" s="3" t="inlineStr">
        <is>
          <t>A-1619</t>
        </is>
      </c>
      <c r="G172" s="3" t="inlineStr">
        <is>
          <t>Product transfer and metering (PKG-12) requires **~30 valv..</t>
        </is>
      </c>
    </row>
    <row r="173">
      <c r="A173" s="3" t="inlineStr">
        <is>
          <t>ASM-INTF</t>
        </is>
      </c>
      <c r="B173" s="3" t="inlineStr">
        <is>
          <t>Interface &amp; Coordination</t>
        </is>
      </c>
      <c r="C173" s="3" t="inlineStr">
        <is>
          <t>ASM-INTF-024</t>
        </is>
      </c>
      <c r="D173" s="3" t="inlineStr">
        <is>
          <t>Site Access and Temporary Works (PKG-06 Allocation)</t>
        </is>
      </c>
      <c r="E173" s="3" t="inlineStr">
        <is>
          <t>PKG-06</t>
        </is>
      </c>
      <c r="F173" s="3" t="inlineStr">
        <is>
          <t>A-014</t>
        </is>
      </c>
      <c r="G173" s="3" t="inlineStr">
        <is>
          <t>Site Access and Temporary Works (PKG-06 Allocation)</t>
        </is>
      </c>
    </row>
    <row r="174">
      <c r="A174" s="3" t="inlineStr">
        <is>
          <t>ASM-INTF</t>
        </is>
      </c>
      <c r="B174" s="3" t="inlineStr">
        <is>
          <t>Interface &amp; Coordination</t>
        </is>
      </c>
      <c r="C174" s="3" t="inlineStr">
        <is>
          <t>ASM-INTF-025</t>
        </is>
      </c>
      <c r="D174" s="3" t="inlineStr">
        <is>
          <t>Terminal Operations Coordination</t>
        </is>
      </c>
      <c r="E174" s="3" t="inlineStr">
        <is>
          <t>PKG-23</t>
        </is>
      </c>
      <c r="F174" s="3" t="inlineStr">
        <is>
          <t>A-019</t>
        </is>
      </c>
      <c r="G174" s="3" t="inlineStr">
        <is>
          <t>Terminal Operations Coordination</t>
        </is>
      </c>
    </row>
    <row r="175">
      <c r="A175" s="3" t="inlineStr">
        <is>
          <t>ASM-LABOR</t>
        </is>
      </c>
      <c r="B175" s="3" t="inlineStr">
        <is>
          <t>Labor &amp; Installation</t>
        </is>
      </c>
      <c r="C175" s="3" t="inlineStr">
        <is>
          <t>ASM-LABOR-026</t>
        </is>
      </c>
      <c r="D175" s="3" t="inlineStr">
        <is>
          <t>Installation Labor Rates</t>
        </is>
      </c>
      <c r="E175" s="3" t="inlineStr">
        <is>
          <t>PKG-11</t>
        </is>
      </c>
      <c r="F175" s="3" t="inlineStr">
        <is>
          <t>A-012</t>
        </is>
      </c>
      <c r="G175" s="3" t="inlineStr">
        <is>
          <t>OEM qualification package requires ~60 hours at $200/hr</t>
        </is>
      </c>
    </row>
    <row r="176">
      <c r="A176" s="3" t="inlineStr">
        <is>
          <t>ASM-LABOR</t>
        </is>
      </c>
      <c r="B176" s="3" t="inlineStr">
        <is>
          <t>Labor &amp; Installation</t>
        </is>
      </c>
      <c r="C176" s="3" t="inlineStr">
        <is>
          <t>ASM-LABOR-026</t>
        </is>
      </c>
      <c r="D176" s="3" t="inlineStr">
        <is>
          <t>Installation Labor Rates</t>
        </is>
      </c>
      <c r="E176" s="3" t="inlineStr">
        <is>
          <t>PKG-14</t>
        </is>
      </c>
      <c r="F176" s="3" t="inlineStr">
        <is>
          <t>A-011</t>
        </is>
      </c>
      <c r="G176" s="3" t="inlineStr">
        <is>
          <t>Stress analysis requires ~340 hours at $250/hr including C..</t>
        </is>
      </c>
    </row>
    <row r="177">
      <c r="A177" s="3" t="inlineStr">
        <is>
          <t>ASM-LABOR</t>
        </is>
      </c>
      <c r="B177" s="3" t="inlineStr">
        <is>
          <t>Labor &amp; Installation</t>
        </is>
      </c>
      <c r="C177" s="3" t="inlineStr">
        <is>
          <t>ASM-LABOR-026</t>
        </is>
      </c>
      <c r="D177" s="3" t="inlineStr">
        <is>
          <t>Installation Labor Rates</t>
        </is>
      </c>
      <c r="E177" s="3" t="inlineStr">
        <is>
          <t>PKG-14</t>
        </is>
      </c>
      <c r="F177" s="3" t="inlineStr">
        <is>
          <t>A-012</t>
        </is>
      </c>
      <c r="G177" s="3" t="inlineStr">
        <is>
          <t>Line list requires ~100 hours at $250/hr for 50+ lines</t>
        </is>
      </c>
    </row>
    <row r="178">
      <c r="A178" s="3" t="inlineStr">
        <is>
          <t>ASM-LABOR</t>
        </is>
      </c>
      <c r="B178" s="3" t="inlineStr">
        <is>
          <t>Labor &amp; Installation</t>
        </is>
      </c>
      <c r="C178" s="3" t="inlineStr">
        <is>
          <t>ASM-LABOR-026</t>
        </is>
      </c>
      <c r="D178" s="3" t="inlineStr">
        <is>
          <t>Installation Labor Rates</t>
        </is>
      </c>
      <c r="E178" s="3" t="inlineStr">
        <is>
          <t>PKG-14</t>
        </is>
      </c>
      <c r="F178" s="3" t="inlineStr">
        <is>
          <t>A-016</t>
        </is>
      </c>
      <c r="G178" s="3" t="inlineStr">
        <is>
          <t>Valve closing time verification requires ~80 hours at $250..</t>
        </is>
      </c>
    </row>
    <row r="179">
      <c r="A179" s="3" t="inlineStr">
        <is>
          <t>ASM-LABOR</t>
        </is>
      </c>
      <c r="B179" s="3" t="inlineStr">
        <is>
          <t>Labor &amp; Installation</t>
        </is>
      </c>
      <c r="C179" s="3" t="inlineStr">
        <is>
          <t>ASM-LABOR-026</t>
        </is>
      </c>
      <c r="D179" s="3" t="inlineStr">
        <is>
          <t>Installation Labor Rates</t>
        </is>
      </c>
      <c r="E179" s="3" t="inlineStr">
        <is>
          <t>PKG-15</t>
        </is>
      </c>
      <c r="F179" s="3" t="inlineStr">
        <is>
          <t>A-003</t>
        </is>
      </c>
      <c r="G179" s="3" t="inlineStr">
        <is>
          <t>Installation labor assumed as:</t>
        </is>
      </c>
    </row>
    <row r="180">
      <c r="A180" s="3" t="inlineStr">
        <is>
          <t>ASM-LABOR</t>
        </is>
      </c>
      <c r="B180" s="3" t="inlineStr">
        <is>
          <t>Labor &amp; Installation</t>
        </is>
      </c>
      <c r="C180" s="3" t="inlineStr">
        <is>
          <t>ASM-LABOR-026</t>
        </is>
      </c>
      <c r="D180" s="3" t="inlineStr">
        <is>
          <t>Installation Labor Rates</t>
        </is>
      </c>
      <c r="E180" s="3" t="inlineStr">
        <is>
          <t>PKG-15</t>
        </is>
      </c>
      <c r="F180" s="3" t="inlineStr">
        <is>
          <t>A-009</t>
        </is>
      </c>
      <c r="G180" s="3" t="inlineStr">
        <is>
          <t>Commissioning estimated at 16 manhours per pump unit (14 p..</t>
        </is>
      </c>
    </row>
    <row r="181">
      <c r="A181" s="3" t="inlineStr">
        <is>
          <t>ASM-LABOR</t>
        </is>
      </c>
      <c r="B181" s="3" t="inlineStr">
        <is>
          <t>Labor &amp; Installation</t>
        </is>
      </c>
      <c r="C181" s="3" t="inlineStr">
        <is>
          <t>ASM-LABOR-026</t>
        </is>
      </c>
      <c r="D181" s="3" t="inlineStr">
        <is>
          <t>Installation Labor Rates</t>
        </is>
      </c>
      <c r="E181" s="3" t="inlineStr">
        <is>
          <t>PKG-15</t>
        </is>
      </c>
      <c r="F181" s="3" t="inlineStr">
        <is>
          <t>A-010</t>
        </is>
      </c>
      <c r="G181" s="3" t="inlineStr">
        <is>
          <t>Engineering effort estimated at 480 total hours ($100,000 ..</t>
        </is>
      </c>
    </row>
    <row r="182">
      <c r="A182" s="3" t="inlineStr">
        <is>
          <t>ASM-LABOR</t>
        </is>
      </c>
      <c r="B182" s="3" t="inlineStr">
        <is>
          <t>Labor &amp; Installation</t>
        </is>
      </c>
      <c r="C182" s="3" t="inlineStr">
        <is>
          <t>ASM-LABOR-026</t>
        </is>
      </c>
      <c r="D182" s="3" t="inlineStr">
        <is>
          <t>Installation Labor Rates</t>
        </is>
      </c>
      <c r="E182" s="3" t="inlineStr">
        <is>
          <t>PKG-16</t>
        </is>
      </c>
      <c r="F182" s="3" t="inlineStr">
        <is>
          <t>A-1607</t>
        </is>
      </c>
      <c r="G182" s="3" t="inlineStr">
        <is>
          <t>Valve installation labor hours: 4-24 hours per valve (size..</t>
        </is>
      </c>
    </row>
    <row r="183">
      <c r="A183" s="3" t="inlineStr">
        <is>
          <t>ASM-LABOR</t>
        </is>
      </c>
      <c r="B183" s="3" t="inlineStr">
        <is>
          <t>Labor &amp; Installation</t>
        </is>
      </c>
      <c r="C183" s="3" t="inlineStr">
        <is>
          <t>ASM-LABOR-026</t>
        </is>
      </c>
      <c r="D183" s="3" t="inlineStr">
        <is>
          <t>Installation Labor Rates</t>
        </is>
      </c>
      <c r="E183" s="3" t="inlineStr">
        <is>
          <t>PKG-16</t>
        </is>
      </c>
      <c r="F183" s="3" t="inlineStr">
        <is>
          <t>A-1612</t>
        </is>
      </c>
      <c r="G183" s="3" t="inlineStr">
        <is>
          <t>Installation labor rate **$95/hr all-in** (blended pipefit..</t>
        </is>
      </c>
    </row>
    <row r="184">
      <c r="A184" s="3" t="inlineStr">
        <is>
          <t>ASM-LABOR</t>
        </is>
      </c>
      <c r="B184" s="3" t="inlineStr">
        <is>
          <t>Labor &amp; Installation</t>
        </is>
      </c>
      <c r="C184" s="3" t="inlineStr">
        <is>
          <t>ASM-LABOR-026</t>
        </is>
      </c>
      <c r="D184" s="3" t="inlineStr">
        <is>
          <t>Installation Labor Rates</t>
        </is>
      </c>
      <c r="E184" s="3" t="inlineStr">
        <is>
          <t>PKG-16</t>
        </is>
      </c>
      <c r="F184" s="3" t="inlineStr">
        <is>
          <t>A-1614</t>
        </is>
      </c>
      <c r="G184" s="3" t="inlineStr">
        <is>
          <t>Mechanical engineering rate **$155/hr blended** (P.Eng., E..</t>
        </is>
      </c>
    </row>
    <row r="185">
      <c r="A185" s="3" t="inlineStr">
        <is>
          <t>ASM-LABOR</t>
        </is>
      </c>
      <c r="B185" s="3" t="inlineStr">
        <is>
          <t>Labor &amp; Installation</t>
        </is>
      </c>
      <c r="C185" s="3" t="inlineStr">
        <is>
          <t>ASM-LABOR-026</t>
        </is>
      </c>
      <c r="D185" s="3" t="inlineStr">
        <is>
          <t>Installation Labor Rates</t>
        </is>
      </c>
      <c r="E185" s="3" t="inlineStr">
        <is>
          <t>PKG-21</t>
        </is>
      </c>
      <c r="F185" s="3" t="inlineStr">
        <is>
          <t>A-015</t>
        </is>
      </c>
      <c r="G185" s="3" t="inlineStr">
        <is>
          <t>Foundation installation labor/equipment at $65,000</t>
        </is>
      </c>
    </row>
    <row r="186">
      <c r="A186" s="3" t="inlineStr">
        <is>
          <t>ASM-LABOR</t>
        </is>
      </c>
      <c r="B186" s="3" t="inlineStr">
        <is>
          <t>Labor &amp; Installation</t>
        </is>
      </c>
      <c r="C186" s="3" t="inlineStr">
        <is>
          <t>ASM-LABOR-027</t>
        </is>
      </c>
      <c r="D186" s="3" t="inlineStr">
        <is>
          <t>Actuator hookup (pneumatic/electrical) adds **2-4 hours per actuated valve**</t>
        </is>
      </c>
      <c r="E186" s="3" t="inlineStr">
        <is>
          <t>PKG-16</t>
        </is>
      </c>
      <c r="F186" s="3" t="inlineStr">
        <is>
          <t>A-1621</t>
        </is>
      </c>
      <c r="G186" s="3" t="inlineStr">
        <is>
          <t>Actuator hookup (pneumatic/electrical) adds **2-4 hours pe..</t>
        </is>
      </c>
    </row>
    <row r="187">
      <c r="A187" s="3" t="inlineStr">
        <is>
          <t>ASM-LABOR</t>
        </is>
      </c>
      <c r="B187" s="3" t="inlineStr">
        <is>
          <t>Labor &amp; Installation</t>
        </is>
      </c>
      <c r="C187" s="3" t="inlineStr">
        <is>
          <t>ASM-LABOR-028</t>
        </is>
      </c>
      <c r="D187" s="3" t="inlineStr">
        <is>
          <t>Cable Tray and Conduit Installation Scope</t>
        </is>
      </c>
      <c r="E187" s="3" t="inlineStr">
        <is>
          <t>PKG-17</t>
        </is>
      </c>
      <c r="F187" s="3" t="inlineStr">
        <is>
          <t>A-1727</t>
        </is>
      </c>
      <c r="G187" s="3" t="inlineStr">
        <is>
          <t>Cable Tray and Conduit Installation Scope</t>
        </is>
      </c>
    </row>
    <row r="188">
      <c r="A188" s="3" t="inlineStr">
        <is>
          <t>ASM-LABOR</t>
        </is>
      </c>
      <c r="B188" s="3" t="inlineStr">
        <is>
          <t>Labor &amp; Installation</t>
        </is>
      </c>
      <c r="C188" s="3" t="inlineStr">
        <is>
          <t>ASM-LABOR-029</t>
        </is>
      </c>
      <c r="D188" s="3" t="inlineStr">
        <is>
          <t>Construction Labor Productivity</t>
        </is>
      </c>
      <c r="E188" s="3" t="inlineStr">
        <is>
          <t>PKG-23</t>
        </is>
      </c>
      <c r="F188" s="3" t="inlineStr">
        <is>
          <t>A-018</t>
        </is>
      </c>
      <c r="G188" s="3" t="inlineStr">
        <is>
          <t>Construction Labor Productivity</t>
        </is>
      </c>
    </row>
    <row r="189">
      <c r="A189" s="3" t="inlineStr">
        <is>
          <t>ASM-LABOR</t>
        </is>
      </c>
      <c r="B189" s="3" t="inlineStr">
        <is>
          <t>Labor &amp; Installation</t>
        </is>
      </c>
      <c r="C189" s="3" t="inlineStr">
        <is>
          <t>ASM-LABOR-030</t>
        </is>
      </c>
      <c r="D189" s="3" t="inlineStr">
        <is>
          <t>Construction Labor Rates (BC Lower Mainland)</t>
        </is>
      </c>
      <c r="E189" s="3" t="inlineStr">
        <is>
          <t>PKG-22</t>
        </is>
      </c>
      <c r="F189" s="3" t="inlineStr">
        <is>
          <t>A-010</t>
        </is>
      </c>
      <c r="G189" s="3" t="inlineStr">
        <is>
          <t>Construction Labor Rates (BC Lower Mainland)</t>
        </is>
      </c>
    </row>
    <row r="190">
      <c r="A190" s="3" t="inlineStr">
        <is>
          <t>ASM-LABOR</t>
        </is>
      </c>
      <c r="B190" s="3" t="inlineStr">
        <is>
          <t>Labor &amp; Installation</t>
        </is>
      </c>
      <c r="C190" s="3" t="inlineStr">
        <is>
          <t>ASM-LABOR-031</t>
        </is>
      </c>
      <c r="D190" s="3" t="inlineStr">
        <is>
          <t>Control valve calibration and loop check (30 valves) estimated at **4 hours per ...</t>
        </is>
      </c>
      <c r="E190" s="3" t="inlineStr">
        <is>
          <t>PKG-16</t>
        </is>
      </c>
      <c r="F190" s="3" t="inlineStr">
        <is>
          <t>A-1629</t>
        </is>
      </c>
      <c r="G190" s="3" t="inlineStr">
        <is>
          <t>Control valve calibration and loop check (30 valves) estim..</t>
        </is>
      </c>
    </row>
    <row r="191">
      <c r="A191" s="3" t="inlineStr">
        <is>
          <t>ASM-LABOR</t>
        </is>
      </c>
      <c r="B191" s="3" t="inlineStr">
        <is>
          <t>Labor &amp; Installation</t>
        </is>
      </c>
      <c r="C191" s="3" t="inlineStr">
        <is>
          <t>ASM-LABOR-032</t>
        </is>
      </c>
      <c r="D191" s="3" t="inlineStr">
        <is>
          <t>Crane and Equipment for Steel Erection</t>
        </is>
      </c>
      <c r="E191" s="3" t="inlineStr">
        <is>
          <t>PKG-06</t>
        </is>
      </c>
      <c r="F191" s="3" t="inlineStr">
        <is>
          <t>A-008</t>
        </is>
      </c>
      <c r="G191" s="3" t="inlineStr">
        <is>
          <t>Crane and Equipment for Steel Erection</t>
        </is>
      </c>
    </row>
    <row r="192">
      <c r="A192" s="3" t="inlineStr">
        <is>
          <t>ASM-LABOR</t>
        </is>
      </c>
      <c r="B192" s="3" t="inlineStr">
        <is>
          <t>Labor &amp; Installation</t>
        </is>
      </c>
      <c r="C192" s="3" t="inlineStr">
        <is>
          <t>ASM-LABOR-033</t>
        </is>
      </c>
      <c r="D192" s="3" t="inlineStr">
        <is>
          <t>Distribution Panel Installation Scope</t>
        </is>
      </c>
      <c r="E192" s="3" t="inlineStr">
        <is>
          <t>PKG-17</t>
        </is>
      </c>
      <c r="F192" s="3" t="inlineStr">
        <is>
          <t>A-1724</t>
        </is>
      </c>
      <c r="G192" s="3" t="inlineStr">
        <is>
          <t>Distribution Panel Installation Scope</t>
        </is>
      </c>
    </row>
    <row r="193">
      <c r="A193" s="3" t="inlineStr">
        <is>
          <t>ASM-LABOR</t>
        </is>
      </c>
      <c r="B193" s="3" t="inlineStr">
        <is>
          <t>Labor &amp; Installation</t>
        </is>
      </c>
      <c r="C193" s="3" t="inlineStr">
        <is>
          <t>ASM-LABOR-034</t>
        </is>
      </c>
      <c r="D193" s="3" t="inlineStr">
        <is>
          <t>Engineering Labor Hours</t>
        </is>
      </c>
      <c r="E193" s="3" t="inlineStr">
        <is>
          <t>PKG-23</t>
        </is>
      </c>
      <c r="F193" s="3" t="inlineStr">
        <is>
          <t>A-012</t>
        </is>
      </c>
      <c r="G193" s="3" t="inlineStr">
        <is>
          <t>Engineering Labor Hours</t>
        </is>
      </c>
    </row>
    <row r="194">
      <c r="A194" s="3" t="inlineStr">
        <is>
          <t>ASM-LABOR</t>
        </is>
      </c>
      <c r="B194" s="3" t="inlineStr">
        <is>
          <t>Labor &amp; Installation</t>
        </is>
      </c>
      <c r="C194" s="3" t="inlineStr">
        <is>
          <t>ASM-LABOR-035</t>
        </is>
      </c>
      <c r="D194" s="3" t="inlineStr">
        <is>
          <t>Fire Water Loop Installation Productivity</t>
        </is>
      </c>
      <c r="E194" s="3" t="inlineStr">
        <is>
          <t>PKG-23</t>
        </is>
      </c>
      <c r="F194" s="3" t="inlineStr">
        <is>
          <t>A-013</t>
        </is>
      </c>
      <c r="G194" s="3" t="inlineStr">
        <is>
          <t>Fire Water Loop Installation Productivity</t>
        </is>
      </c>
    </row>
    <row r="195">
      <c r="A195" s="3" t="inlineStr">
        <is>
          <t>ASM-LABOR</t>
        </is>
      </c>
      <c r="B195" s="3" t="inlineStr">
        <is>
          <t>Labor &amp; Installation</t>
        </is>
      </c>
      <c r="C195" s="3" t="inlineStr">
        <is>
          <t>ASM-LABOR-036</t>
        </is>
      </c>
      <c r="D195" s="3" t="inlineStr">
        <is>
          <t>Grating Supply and Installation</t>
        </is>
      </c>
      <c r="E195" s="3" t="inlineStr">
        <is>
          <t>PKG-06</t>
        </is>
      </c>
      <c r="F195" s="3" t="inlineStr">
        <is>
          <t>A-010</t>
        </is>
      </c>
      <c r="G195" s="3" t="inlineStr">
        <is>
          <t>Grating Supply and Installation</t>
        </is>
      </c>
    </row>
    <row r="196">
      <c r="A196" s="3" t="inlineStr">
        <is>
          <t>ASM-LABOR</t>
        </is>
      </c>
      <c r="B196" s="3" t="inlineStr">
        <is>
          <t>Labor &amp; Installation</t>
        </is>
      </c>
      <c r="C196" s="3" t="inlineStr">
        <is>
          <t>ASM-LABOR-037</t>
        </is>
      </c>
      <c r="D196" s="3" t="inlineStr">
        <is>
          <t>Grounding System Installation Scope</t>
        </is>
      </c>
      <c r="E196" s="3" t="inlineStr">
        <is>
          <t>PKG-17</t>
        </is>
      </c>
      <c r="F196" s="3" t="inlineStr">
        <is>
          <t>A-1726</t>
        </is>
      </c>
      <c r="G196" s="3" t="inlineStr">
        <is>
          <t>Grounding System Installation Scope</t>
        </is>
      </c>
    </row>
    <row r="197">
      <c r="A197" s="3" t="inlineStr">
        <is>
          <t>ASM-LABOR</t>
        </is>
      </c>
      <c r="B197" s="3" t="inlineStr">
        <is>
          <t>Labor &amp; Installation</t>
        </is>
      </c>
      <c r="C197" s="3" t="inlineStr">
        <is>
          <t>ASM-LABOR-038</t>
        </is>
      </c>
      <c r="D197" s="3" t="inlineStr">
        <is>
          <t>Handrail Supply and Installation</t>
        </is>
      </c>
      <c r="E197" s="3" t="inlineStr">
        <is>
          <t>PKG-06</t>
        </is>
      </c>
      <c r="F197" s="3" t="inlineStr">
        <is>
          <t>A-009</t>
        </is>
      </c>
      <c r="G197" s="3" t="inlineStr">
        <is>
          <t>Handrail Supply and Installation</t>
        </is>
      </c>
    </row>
    <row r="198">
      <c r="A198" s="3" t="inlineStr">
        <is>
          <t>ASM-LABOR</t>
        </is>
      </c>
      <c r="B198" s="3" t="inlineStr">
        <is>
          <t>Labor &amp; Installation</t>
        </is>
      </c>
      <c r="C198" s="3" t="inlineStr">
        <is>
          <t>ASM-LABOR-039</t>
        </is>
      </c>
      <c r="D198" s="3" t="inlineStr">
        <is>
          <t>Instrument Installation Rate</t>
        </is>
      </c>
      <c r="E198" s="3" t="inlineStr">
        <is>
          <t>PKG-20</t>
        </is>
      </c>
      <c r="F198" s="3" t="inlineStr">
        <is>
          <t>A-019</t>
        </is>
      </c>
      <c r="G198" s="3" t="inlineStr">
        <is>
          <t>Instrument Installation Rate</t>
        </is>
      </c>
    </row>
    <row r="199">
      <c r="A199" s="3" t="inlineStr">
        <is>
          <t>ASM-LABOR</t>
        </is>
      </c>
      <c r="B199" s="3" t="inlineStr">
        <is>
          <t>Labor &amp; Installation</t>
        </is>
      </c>
      <c r="C199" s="3" t="inlineStr">
        <is>
          <t>ASM-LABOR-040</t>
        </is>
      </c>
      <c r="D199" s="3" t="inlineStr">
        <is>
          <t>LV Switchgear Installation Scope</t>
        </is>
      </c>
      <c r="E199" s="3" t="inlineStr">
        <is>
          <t>PKG-17</t>
        </is>
      </c>
      <c r="F199" s="3" t="inlineStr">
        <is>
          <t>A-1722</t>
        </is>
      </c>
      <c r="G199" s="3" t="inlineStr">
        <is>
          <t>LV Switchgear Installation Scope</t>
        </is>
      </c>
    </row>
    <row r="200">
      <c r="A200" s="3" t="inlineStr">
        <is>
          <t>ASM-LABOR</t>
        </is>
      </c>
      <c r="B200" s="3" t="inlineStr">
        <is>
          <t>Labor &amp; Installation</t>
        </is>
      </c>
      <c r="C200" s="3" t="inlineStr">
        <is>
          <t>ASM-LABOR-041</t>
        </is>
      </c>
      <c r="D200" s="3" t="inlineStr">
        <is>
          <t>MCC Installation Scope</t>
        </is>
      </c>
      <c r="E200" s="3" t="inlineStr">
        <is>
          <t>PKG-17</t>
        </is>
      </c>
      <c r="F200" s="3" t="inlineStr">
        <is>
          <t>A-1723</t>
        </is>
      </c>
      <c r="G200" s="3" t="inlineStr">
        <is>
          <t>MCC Installation Scope</t>
        </is>
      </c>
    </row>
    <row r="201">
      <c r="A201" s="3" t="inlineStr">
        <is>
          <t>ASM-LABOR</t>
        </is>
      </c>
      <c r="B201" s="3" t="inlineStr">
        <is>
          <t>Labor &amp; Installation</t>
        </is>
      </c>
      <c r="C201" s="3" t="inlineStr">
        <is>
          <t>ASM-LABOR-042</t>
        </is>
      </c>
      <c r="D201" s="3" t="inlineStr">
        <is>
          <t>MEP Installation Productivity</t>
        </is>
      </c>
      <c r="E201" s="3" t="inlineStr">
        <is>
          <t>PKG-22</t>
        </is>
      </c>
      <c r="F201" s="3" t="inlineStr">
        <is>
          <t>A-012</t>
        </is>
      </c>
      <c r="G201" s="3" t="inlineStr">
        <is>
          <t>MEP Installation Productivity</t>
        </is>
      </c>
    </row>
    <row r="202">
      <c r="A202" s="3" t="inlineStr">
        <is>
          <t>ASM-LABOR</t>
        </is>
      </c>
      <c r="B202" s="3" t="inlineStr">
        <is>
          <t>Labor &amp; Installation</t>
        </is>
      </c>
      <c r="C202" s="3" t="inlineStr">
        <is>
          <t>ASM-LABOR-043</t>
        </is>
      </c>
      <c r="D202" s="3" t="inlineStr">
        <is>
          <t>MV Switchgear Installation Scope</t>
        </is>
      </c>
      <c r="E202" s="3" t="inlineStr">
        <is>
          <t>PKG-17</t>
        </is>
      </c>
      <c r="F202" s="3" t="inlineStr">
        <is>
          <t>A-1721</t>
        </is>
      </c>
      <c r="G202" s="3" t="inlineStr">
        <is>
          <t>MV Switchgear Installation Scope</t>
        </is>
      </c>
    </row>
    <row r="203">
      <c r="A203" s="3" t="inlineStr">
        <is>
          <t>ASM-LABOR</t>
        </is>
      </c>
      <c r="B203" s="3" t="inlineStr">
        <is>
          <t>Labor &amp; Installation</t>
        </is>
      </c>
      <c r="C203" s="3" t="inlineStr">
        <is>
          <t>ASM-LABOR-044</t>
        </is>
      </c>
      <c r="D203" s="3" t="inlineStr">
        <is>
          <t>Marine loading transient study requires ~180 hours specialist work</t>
        </is>
      </c>
      <c r="E203" s="3" t="inlineStr">
        <is>
          <t>PKG-14</t>
        </is>
      </c>
      <c r="F203" s="3" t="inlineStr">
        <is>
          <t>A-015</t>
        </is>
      </c>
      <c r="G203" s="3" t="inlineStr">
        <is>
          <t>Marine loading transient study requires ~180 hours special..</t>
        </is>
      </c>
    </row>
    <row r="204">
      <c r="A204" s="3" t="inlineStr">
        <is>
          <t>ASM-LABOR</t>
        </is>
      </c>
      <c r="B204" s="3" t="inlineStr">
        <is>
          <t>Labor &amp; Installation</t>
        </is>
      </c>
      <c r="C204" s="3" t="inlineStr">
        <is>
          <t>ASM-LABOR-045</t>
        </is>
      </c>
      <c r="D204" s="3" t="inlineStr">
        <is>
          <t>Normal industrial site access; no special access constraints for control system ...</t>
        </is>
      </c>
      <c r="E204" s="3" t="inlineStr">
        <is>
          <t>PKG-19</t>
        </is>
      </c>
      <c r="F204" s="3" t="inlineStr">
        <is>
          <t>A-002</t>
        </is>
      </c>
      <c r="G204" s="3" t="inlineStr">
        <is>
          <t>Normal industrial site access; no special access constrain..</t>
        </is>
      </c>
    </row>
    <row r="205">
      <c r="A205" s="3" t="inlineStr">
        <is>
          <t>ASM-LABOR</t>
        </is>
      </c>
      <c r="B205" s="3" t="inlineStr">
        <is>
          <t>Labor &amp; Installation</t>
        </is>
      </c>
      <c r="C205" s="3" t="inlineStr">
        <is>
          <t>ASM-LABOR-046</t>
        </is>
      </c>
      <c r="D205" s="3" t="inlineStr">
        <is>
          <t>Railcar unloading transient study requires ~200+ hours specialist work</t>
        </is>
      </c>
      <c r="E205" s="3" t="inlineStr">
        <is>
          <t>PKG-14</t>
        </is>
      </c>
      <c r="F205" s="3" t="inlineStr">
        <is>
          <t>A-014</t>
        </is>
      </c>
      <c r="G205" s="3" t="inlineStr">
        <is>
          <t>Railcar unloading transient study requires ~200+ hours spe..</t>
        </is>
      </c>
    </row>
    <row r="206">
      <c r="A206" s="3" t="inlineStr">
        <is>
          <t>ASM-LABOR</t>
        </is>
      </c>
      <c r="B206" s="3" t="inlineStr">
        <is>
          <t>Labor &amp; Installation</t>
        </is>
      </c>
      <c r="C206" s="3" t="inlineStr">
        <is>
          <t>ASM-LABOR-047</t>
        </is>
      </c>
      <c r="D206" s="3" t="inlineStr">
        <is>
          <t>Relief valve field verification (20 valves) estimated at **2 hours per valve**</t>
        </is>
      </c>
      <c r="E206" s="3" t="inlineStr">
        <is>
          <t>PKG-16</t>
        </is>
      </c>
      <c r="F206" s="3" t="inlineStr">
        <is>
          <t>A-1630</t>
        </is>
      </c>
      <c r="G206" s="3" t="inlineStr">
        <is>
          <t>Relief valve field verification (20 valves) estimated at *..</t>
        </is>
      </c>
    </row>
    <row r="207">
      <c r="A207" s="3" t="inlineStr">
        <is>
          <t>ASM-LABOR</t>
        </is>
      </c>
      <c r="B207" s="3" t="inlineStr">
        <is>
          <t>Labor &amp; Installation</t>
        </is>
      </c>
      <c r="C207" s="3" t="inlineStr">
        <is>
          <t>ASM-LABOR-048</t>
        </is>
      </c>
      <c r="D207" s="3" t="inlineStr">
        <is>
          <t>Structural Steel Erection Labor</t>
        </is>
      </c>
      <c r="E207" s="3" t="inlineStr">
        <is>
          <t>PKG-06</t>
        </is>
      </c>
      <c r="F207" s="3" t="inlineStr">
        <is>
          <t>A-007</t>
        </is>
      </c>
      <c r="G207" s="3" t="inlineStr">
        <is>
          <t>Structural Steel Erection Labor</t>
        </is>
      </c>
    </row>
    <row r="208">
      <c r="A208" s="3" t="inlineStr">
        <is>
          <t>ASM-LABOR</t>
        </is>
      </c>
      <c r="B208" s="3" t="inlineStr">
        <is>
          <t>Labor &amp; Installation</t>
        </is>
      </c>
      <c r="C208" s="3" t="inlineStr">
        <is>
          <t>ASM-LABOR-049</t>
        </is>
      </c>
      <c r="D208" s="3" t="inlineStr">
        <is>
          <t>Transformer Installation Scope</t>
        </is>
      </c>
      <c r="E208" s="3" t="inlineStr">
        <is>
          <t>PKG-17</t>
        </is>
      </c>
      <c r="F208" s="3" t="inlineStr">
        <is>
          <t>A-1720</t>
        </is>
      </c>
      <c r="G208" s="3" t="inlineStr">
        <is>
          <t>Transformer Installation Scope</t>
        </is>
      </c>
    </row>
    <row r="209">
      <c r="A209" s="3" t="inlineStr">
        <is>
          <t>ASM-LABOR</t>
        </is>
      </c>
      <c r="B209" s="3" t="inlineStr">
        <is>
          <t>Labor &amp; Installation</t>
        </is>
      </c>
      <c r="C209" s="3" t="inlineStr">
        <is>
          <t>ASM-LABOR-050</t>
        </is>
      </c>
      <c r="D209" s="3" t="inlineStr">
        <is>
          <t>UPS Installation Scope</t>
        </is>
      </c>
      <c r="E209" s="3" t="inlineStr">
        <is>
          <t>PKG-17</t>
        </is>
      </c>
      <c r="F209" s="3" t="inlineStr">
        <is>
          <t>A-1725</t>
        </is>
      </c>
      <c r="G209" s="3" t="inlineStr">
        <is>
          <t>UPS Installation Scope</t>
        </is>
      </c>
    </row>
    <row r="210">
      <c r="A210" s="3" t="inlineStr">
        <is>
          <t>ASM-LABOR</t>
        </is>
      </c>
      <c r="B210" s="3" t="inlineStr">
        <is>
          <t>Labor &amp; Installation</t>
        </is>
      </c>
      <c r="C210" s="3" t="inlineStr">
        <is>
          <t>ASM-LABOR-051</t>
        </is>
      </c>
      <c r="D210" s="3" t="inlineStr">
        <is>
          <t>Valve installation assumes **standard site access** (no major rigging constraint...</t>
        </is>
      </c>
      <c r="E210" s="3" t="inlineStr">
        <is>
          <t>PKG-16</t>
        </is>
      </c>
      <c r="F210" s="3" t="inlineStr">
        <is>
          <t>A-1640</t>
        </is>
      </c>
      <c r="G210" s="3" t="inlineStr">
        <is>
          <t>Valve installation assumes **standard site access** (no ma..</t>
        </is>
      </c>
    </row>
    <row r="211">
      <c r="A211" s="3" t="inlineStr">
        <is>
          <t>ASM-LABOR</t>
        </is>
      </c>
      <c r="B211" s="3" t="inlineStr">
        <is>
          <t>Labor &amp; Installation</t>
        </is>
      </c>
      <c r="C211" s="3" t="inlineStr">
        <is>
          <t>ASM-LABOR-052</t>
        </is>
      </c>
      <c r="D211" s="3" t="inlineStr">
        <is>
          <t>Valve installation duration estimated at **8-12 weeks** (field installation phas...</t>
        </is>
      </c>
      <c r="E211" s="3" t="inlineStr">
        <is>
          <t>PKG-16</t>
        </is>
      </c>
      <c r="F211" s="3" t="inlineStr">
        <is>
          <t>A-1632</t>
        </is>
      </c>
      <c r="G211" s="3" t="inlineStr">
        <is>
          <t>Valve installation duration estimated at **8-12 weeks** (f..</t>
        </is>
      </c>
    </row>
    <row r="212">
      <c r="A212" s="3" t="inlineStr">
        <is>
          <t>ASM-LABOR</t>
        </is>
      </c>
      <c r="B212" s="3" t="inlineStr">
        <is>
          <t>Labor &amp; Installation</t>
        </is>
      </c>
      <c r="C212" s="3" t="inlineStr">
        <is>
          <t>ASM-LABOR-053</t>
        </is>
      </c>
      <c r="D212" s="3" t="inlineStr">
        <is>
          <t>Valve installation includes rigging, bolting, gasket installation, alignment, hy...</t>
        </is>
      </c>
      <c r="E212" s="3" t="inlineStr">
        <is>
          <t>PKG-16</t>
        </is>
      </c>
      <c r="F212" s="3" t="inlineStr">
        <is>
          <t>A-1620</t>
        </is>
      </c>
      <c r="G212" s="3" t="inlineStr">
        <is>
          <t>Valve installation includes rigging, bolting, gasket insta..</t>
        </is>
      </c>
    </row>
    <row r="213">
      <c r="A213" s="3" t="inlineStr">
        <is>
          <t>ASM-PRICE</t>
        </is>
      </c>
      <c r="B213" s="3" t="inlineStr">
        <is>
          <t>Pricing Allowances</t>
        </is>
      </c>
      <c r="C213" s="3" t="inlineStr">
        <is>
          <t>ASM-PRICE-054</t>
        </is>
      </c>
      <c r="D213" s="3" t="inlineStr">
        <is>
          <t>Material Quantities</t>
        </is>
      </c>
      <c r="E213" s="3" t="inlineStr">
        <is>
          <t>PKG-05</t>
        </is>
      </c>
      <c r="F213" s="3" t="inlineStr">
        <is>
          <t>A-005</t>
        </is>
      </c>
      <c r="G213" s="3" t="inlineStr">
        <is>
          <t>Ring wall foundations for 3 tanks estimated at 450 m³ conc..</t>
        </is>
      </c>
    </row>
    <row r="214">
      <c r="A214" s="3" t="inlineStr">
        <is>
          <t>ASM-PRICE</t>
        </is>
      </c>
      <c r="B214" s="3" t="inlineStr">
        <is>
          <t>Pricing Allowances</t>
        </is>
      </c>
      <c r="C214" s="3" t="inlineStr">
        <is>
          <t>ASM-PRICE-054</t>
        </is>
      </c>
      <c r="D214" s="3" t="inlineStr">
        <is>
          <t>Material Quantities</t>
        </is>
      </c>
      <c r="E214" s="3" t="inlineStr">
        <is>
          <t>PKG-05</t>
        </is>
      </c>
      <c r="F214" s="3" t="inlineStr">
        <is>
          <t>A-006</t>
        </is>
      </c>
      <c r="G214" s="3" t="inlineStr">
        <is>
          <t>Tank farm containment walls estimated at 600 m³ concrete t..</t>
        </is>
      </c>
    </row>
    <row r="215">
      <c r="A215" s="3" t="inlineStr">
        <is>
          <t>ASM-PRICE</t>
        </is>
      </c>
      <c r="B215" s="3" t="inlineStr">
        <is>
          <t>Pricing Allowances</t>
        </is>
      </c>
      <c r="C215" s="3" t="inlineStr">
        <is>
          <t>ASM-PRICE-054</t>
        </is>
      </c>
      <c r="D215" s="3" t="inlineStr">
        <is>
          <t>Material Quantities</t>
        </is>
      </c>
      <c r="E215" s="3" t="inlineStr">
        <is>
          <t>PKG-05</t>
        </is>
      </c>
      <c r="F215" s="3" t="inlineStr">
        <is>
          <t>A-007</t>
        </is>
      </c>
      <c r="G215" s="3" t="inlineStr">
        <is>
          <t>Equipment pads for pumps, metering, railcar unloading equi..</t>
        </is>
      </c>
    </row>
    <row r="216">
      <c r="A216" s="3" t="inlineStr">
        <is>
          <t>ASM-PRICE</t>
        </is>
      </c>
      <c r="B216" s="3" t="inlineStr">
        <is>
          <t>Pricing Allowances</t>
        </is>
      </c>
      <c r="C216" s="3" t="inlineStr">
        <is>
          <t>ASM-PRICE-054</t>
        </is>
      </c>
      <c r="D216" s="3" t="inlineStr">
        <is>
          <t>Material Quantities</t>
        </is>
      </c>
      <c r="E216" s="3" t="inlineStr">
        <is>
          <t>PKG-05</t>
        </is>
      </c>
      <c r="F216" s="3" t="inlineStr">
        <is>
          <t>A-008</t>
        </is>
      </c>
      <c r="G216" s="3" t="inlineStr">
        <is>
          <t>Thrust blocks for underground piping estimated at 80 m³ co..</t>
        </is>
      </c>
    </row>
    <row r="217">
      <c r="A217" s="3" t="inlineStr">
        <is>
          <t>ASM-PRICE</t>
        </is>
      </c>
      <c r="B217" s="3" t="inlineStr">
        <is>
          <t>Pricing Allowances</t>
        </is>
      </c>
      <c r="C217" s="3" t="inlineStr">
        <is>
          <t>ASM-PRICE-054</t>
        </is>
      </c>
      <c r="D217" s="3" t="inlineStr">
        <is>
          <t>Material Quantities</t>
        </is>
      </c>
      <c r="E217" s="3" t="inlineStr">
        <is>
          <t>PKG-05</t>
        </is>
      </c>
      <c r="F217" s="3" t="inlineStr">
        <is>
          <t>A-009</t>
        </is>
      </c>
      <c r="G217" s="3" t="inlineStr">
        <is>
          <t>Reinforcing steel for all concrete structures estimated at..</t>
        </is>
      </c>
    </row>
    <row r="218">
      <c r="A218" s="3" t="inlineStr">
        <is>
          <t>ASM-PRICE</t>
        </is>
      </c>
      <c r="B218" s="3" t="inlineStr">
        <is>
          <t>Pricing Allowances</t>
        </is>
      </c>
      <c r="C218" s="3" t="inlineStr">
        <is>
          <t>ASM-PRICE-054</t>
        </is>
      </c>
      <c r="D218" s="3" t="inlineStr">
        <is>
          <t>Material Quantities</t>
        </is>
      </c>
      <c r="E218" s="3" t="inlineStr">
        <is>
          <t>PKG-05</t>
        </is>
      </c>
      <c r="F218" s="3" t="inlineStr">
        <is>
          <t>A-010</t>
        </is>
      </c>
      <c r="G218" s="3" t="inlineStr">
        <is>
          <t>Formwork for containment walls estimated at 1,500 m² conta..</t>
        </is>
      </c>
    </row>
    <row r="219">
      <c r="A219" s="3" t="inlineStr">
        <is>
          <t>ASM-PRICE</t>
        </is>
      </c>
      <c r="B219" s="3" t="inlineStr">
        <is>
          <t>Pricing Allowances</t>
        </is>
      </c>
      <c r="C219" s="3" t="inlineStr">
        <is>
          <t>ASM-PRICE-054</t>
        </is>
      </c>
      <c r="D219" s="3" t="inlineStr">
        <is>
          <t>Material Quantities</t>
        </is>
      </c>
      <c r="E219" s="3" t="inlineStr">
        <is>
          <t>PKG-10</t>
        </is>
      </c>
      <c r="F219" s="3" t="inlineStr">
        <is>
          <t>A-003</t>
        </is>
      </c>
      <c r="G219" s="3" t="inlineStr">
        <is>
          <t>Gravity flow header piping length estimated at 400 linear ..</t>
        </is>
      </c>
    </row>
    <row r="220">
      <c r="A220" s="3" t="inlineStr">
        <is>
          <t>ASM-PRICE</t>
        </is>
      </c>
      <c r="B220" s="3" t="inlineStr">
        <is>
          <t>Pricing Allowances</t>
        </is>
      </c>
      <c r="C220" s="3" t="inlineStr">
        <is>
          <t>ASM-PRICE-054</t>
        </is>
      </c>
      <c r="D220" s="3" t="inlineStr">
        <is>
          <t>Material Quantities</t>
        </is>
      </c>
      <c r="E220" s="3" t="inlineStr">
        <is>
          <t>PKG-11</t>
        </is>
      </c>
      <c r="F220" s="3" t="inlineStr">
        <is>
          <t>A-002</t>
        </is>
      </c>
      <c r="G220" s="3" t="inlineStr">
        <is>
          <t>Double-walled export pipe at 150 lm, $1,500/lm supply + $1..</t>
        </is>
      </c>
    </row>
    <row r="221">
      <c r="A221" s="3" t="inlineStr">
        <is>
          <t>ASM-PRICE</t>
        </is>
      </c>
      <c r="B221" s="3" t="inlineStr">
        <is>
          <t>Pricing Allowances</t>
        </is>
      </c>
      <c r="C221" s="3" t="inlineStr">
        <is>
          <t>ASM-PRICE-054</t>
        </is>
      </c>
      <c r="D221" s="3" t="inlineStr">
        <is>
          <t>Material Quantities</t>
        </is>
      </c>
      <c r="E221" s="3" t="inlineStr">
        <is>
          <t>PKG-11</t>
        </is>
      </c>
      <c r="F221" s="3" t="inlineStr">
        <is>
          <t>A-005</t>
        </is>
      </c>
      <c r="G221" s="3" t="inlineStr">
        <is>
          <t>Operator shelter at $75,000 supply + $25,000 install for 1..</t>
        </is>
      </c>
    </row>
    <row r="222">
      <c r="A222" s="3" t="inlineStr">
        <is>
          <t>ASM-PRICE</t>
        </is>
      </c>
      <c r="B222" s="3" t="inlineStr">
        <is>
          <t>Pricing Allowances</t>
        </is>
      </c>
      <c r="C222" s="3" t="inlineStr">
        <is>
          <t>ASM-PRICE-054</t>
        </is>
      </c>
      <c r="D222" s="3" t="inlineStr">
        <is>
          <t>Material Quantities</t>
        </is>
      </c>
      <c r="E222" s="3" t="inlineStr">
        <is>
          <t>PKG-11</t>
        </is>
      </c>
      <c r="F222" s="3" t="inlineStr">
        <is>
          <t>A-013</t>
        </is>
      </c>
      <c r="G222" s="3" t="inlineStr">
        <is>
          <t>Pipe supports at $45,000 supply + $35,000 install (~$300/l..</t>
        </is>
      </c>
    </row>
    <row r="223">
      <c r="A223" s="3" t="inlineStr">
        <is>
          <t>ASM-PRICE</t>
        </is>
      </c>
      <c r="B223" s="3" t="inlineStr">
        <is>
          <t>Pricing Allowances</t>
        </is>
      </c>
      <c r="C223" s="3" t="inlineStr">
        <is>
          <t>ASM-PRICE-054</t>
        </is>
      </c>
      <c r="D223" s="3" t="inlineStr">
        <is>
          <t>Material Quantities</t>
        </is>
      </c>
      <c r="E223" s="3" t="inlineStr">
        <is>
          <t>PKG-14</t>
        </is>
      </c>
      <c r="F223" s="3" t="inlineStr">
        <is>
          <t>A-008</t>
        </is>
      </c>
      <c r="G223" s="3" t="inlineStr">
        <is>
          <t>Insulation and heat trace for ~1,200 lm at $200/lm supply ..</t>
        </is>
      </c>
    </row>
    <row r="224">
      <c r="A224" s="3" t="inlineStr">
        <is>
          <t>ASM-PRICE</t>
        </is>
      </c>
      <c r="B224" s="3" t="inlineStr">
        <is>
          <t>Pricing Allowances</t>
        </is>
      </c>
      <c r="C224" s="3" t="inlineStr">
        <is>
          <t>ASM-PRICE-054</t>
        </is>
      </c>
      <c r="D224" s="3" t="inlineStr">
        <is>
          <t>Material Quantities</t>
        </is>
      </c>
      <c r="E224" s="3" t="inlineStr">
        <is>
          <t>PKG-14</t>
        </is>
      </c>
      <c r="F224" s="3" t="inlineStr">
        <is>
          <t>A-025</t>
        </is>
      </c>
      <c r="G224" s="3" t="inlineStr">
        <is>
          <t>Pipe racks assumed in PKG-06 Structural Steelwork; support..</t>
        </is>
      </c>
    </row>
    <row r="225">
      <c r="A225" s="3" t="inlineStr">
        <is>
          <t>ASM-PRICE</t>
        </is>
      </c>
      <c r="B225" s="3" t="inlineStr">
        <is>
          <t>Pricing Allowances</t>
        </is>
      </c>
      <c r="C225" s="3" t="inlineStr">
        <is>
          <t>ASM-PRICE-054</t>
        </is>
      </c>
      <c r="D225" s="3" t="inlineStr">
        <is>
          <t>Material Quantities</t>
        </is>
      </c>
      <c r="E225" s="3" t="inlineStr">
        <is>
          <t>PKG-15</t>
        </is>
      </c>
      <c r="F225" s="3" t="inlineStr">
        <is>
          <t>A-001</t>
        </is>
      </c>
      <c r="G225" s="3" t="inlineStr">
        <is>
          <t>Total of 14 pump units for the facility (4 railcar unloadi..</t>
        </is>
      </c>
    </row>
    <row r="226">
      <c r="A226" s="3" t="inlineStr">
        <is>
          <t>ASM-PRICE</t>
        </is>
      </c>
      <c r="B226" s="3" t="inlineStr">
        <is>
          <t>Pricing Allowances</t>
        </is>
      </c>
      <c r="C226" s="3" t="inlineStr">
        <is>
          <t>ASM-PRICE-054</t>
        </is>
      </c>
      <c r="D226" s="3" t="inlineStr">
        <is>
          <t>Material Quantities</t>
        </is>
      </c>
      <c r="E226" s="3" t="inlineStr">
        <is>
          <t>PKG-16</t>
        </is>
      </c>
      <c r="F226" s="3" t="inlineStr">
        <is>
          <t>A-1609</t>
        </is>
      </c>
      <c r="G226" s="3" t="inlineStr">
        <is>
          <t>Relief valve count estimated at **20 units** (3 tank, 8 pu..</t>
        </is>
      </c>
    </row>
    <row r="227">
      <c r="A227" s="3" t="inlineStr">
        <is>
          <t>ASM-PRICE</t>
        </is>
      </c>
      <c r="B227" s="3" t="inlineStr">
        <is>
          <t>Pricing Allowances</t>
        </is>
      </c>
      <c r="C227" s="3" t="inlineStr">
        <is>
          <t>ASM-PRICE-054</t>
        </is>
      </c>
      <c r="D227" s="3" t="inlineStr">
        <is>
          <t>Material Quantities</t>
        </is>
      </c>
      <c r="E227" s="3" t="inlineStr">
        <is>
          <t>PKG-16</t>
        </is>
      </c>
      <c r="F227" s="3" t="inlineStr">
        <is>
          <t>A-1610</t>
        </is>
      </c>
      <c r="G227" s="3" t="inlineStr">
        <is>
          <t>Strainer count estimated at **20 units** (8 pump suction, ..</t>
        </is>
      </c>
    </row>
    <row r="228">
      <c r="A228" s="3" t="inlineStr">
        <is>
          <t>ASM-PRICE</t>
        </is>
      </c>
      <c r="B228" s="3" t="inlineStr">
        <is>
          <t>Pricing Allowances</t>
        </is>
      </c>
      <c r="C228" s="3" t="inlineStr">
        <is>
          <t>ASM-PRICE-054</t>
        </is>
      </c>
      <c r="D228" s="3" t="inlineStr">
        <is>
          <t>Material Quantities</t>
        </is>
      </c>
      <c r="E228" s="3" t="inlineStr">
        <is>
          <t>PKG-16</t>
        </is>
      </c>
      <c r="F228" s="3" t="inlineStr">
        <is>
          <t>A-1622</t>
        </is>
      </c>
      <c r="G228" s="3" t="inlineStr">
        <is>
          <t>Control valves (30 units) include **smart positioners** ($..</t>
        </is>
      </c>
    </row>
    <row r="229">
      <c r="A229" s="3" t="inlineStr">
        <is>
          <t>ASM-PRICE</t>
        </is>
      </c>
      <c r="B229" s="3" t="inlineStr">
        <is>
          <t>Pricing Allowances</t>
        </is>
      </c>
      <c r="C229" s="3" t="inlineStr">
        <is>
          <t>ASM-PRICE-054</t>
        </is>
      </c>
      <c r="D229" s="3" t="inlineStr">
        <is>
          <t>Material Quantities</t>
        </is>
      </c>
      <c r="E229" s="3" t="inlineStr">
        <is>
          <t>PKG-16</t>
        </is>
      </c>
      <c r="F229" s="3" t="inlineStr">
        <is>
          <t>A-1635</t>
        </is>
      </c>
      <c r="G229" s="3" t="inlineStr">
        <is>
          <t>External valve coating/painting **excluded** from PKG-16 (..</t>
        </is>
      </c>
    </row>
    <row r="230">
      <c r="A230" s="3" t="inlineStr">
        <is>
          <t>ASM-PRICE</t>
        </is>
      </c>
      <c r="B230" s="3" t="inlineStr">
        <is>
          <t>Pricing Allowances</t>
        </is>
      </c>
      <c r="C230" s="3" t="inlineStr">
        <is>
          <t>ASM-PRICE-054</t>
        </is>
      </c>
      <c r="D230" s="3" t="inlineStr">
        <is>
          <t>Material Quantities</t>
        </is>
      </c>
      <c r="E230" s="3" t="inlineStr">
        <is>
          <t>PKG-16</t>
        </is>
      </c>
      <c r="F230" s="3" t="inlineStr">
        <is>
          <t>A-1644</t>
        </is>
      </c>
      <c r="G230" s="3" t="inlineStr">
        <is>
          <t>Valve winterization (heat trace, insulation) **excluded** ..</t>
        </is>
      </c>
    </row>
    <row r="231">
      <c r="A231" s="3" t="inlineStr">
        <is>
          <t>ASM-PRICE</t>
        </is>
      </c>
      <c r="B231" s="3" t="inlineStr">
        <is>
          <t>Pricing Allowances</t>
        </is>
      </c>
      <c r="C231" s="3" t="inlineStr">
        <is>
          <t>ASM-PRICE-054</t>
        </is>
      </c>
      <c r="D231" s="3" t="inlineStr">
        <is>
          <t>Material Quantities</t>
        </is>
      </c>
      <c r="E231" s="3" t="inlineStr">
        <is>
          <t>PKG-16</t>
        </is>
      </c>
      <c r="F231" s="3" t="inlineStr">
        <is>
          <t>A-1646</t>
        </is>
      </c>
      <c r="G231" s="3" t="inlineStr">
        <is>
          <t>Valve warranty (typically 12-24 months) and defects liabil..</t>
        </is>
      </c>
    </row>
    <row r="232">
      <c r="A232" s="3" t="inlineStr">
        <is>
          <t>ASM-PRICE</t>
        </is>
      </c>
      <c r="B232" s="3" t="inlineStr">
        <is>
          <t>Pricing Allowances</t>
        </is>
      </c>
      <c r="C232" s="3" t="inlineStr">
        <is>
          <t>ASM-PRICE-054</t>
        </is>
      </c>
      <c r="D232" s="3" t="inlineStr">
        <is>
          <t>Material Quantities</t>
        </is>
      </c>
      <c r="E232" s="3" t="inlineStr">
        <is>
          <t>PKG-18</t>
        </is>
      </c>
      <c r="F232" s="3" t="inlineStr">
        <is>
          <t>A-1801</t>
        </is>
      </c>
      <c r="G232" s="3" t="inlineStr">
        <is>
          <t>Exterior pole-mounted LED area lights: 30-50 fixtures.</t>
        </is>
      </c>
    </row>
    <row r="233">
      <c r="A233" s="3" t="inlineStr">
        <is>
          <t>ASM-PRICE</t>
        </is>
      </c>
      <c r="B233" s="3" t="inlineStr">
        <is>
          <t>Pricing Allowances</t>
        </is>
      </c>
      <c r="C233" s="3" t="inlineStr">
        <is>
          <t>ASM-PRICE-054</t>
        </is>
      </c>
      <c r="D233" s="3" t="inlineStr">
        <is>
          <t>Material Quantities</t>
        </is>
      </c>
      <c r="E233" s="3" t="inlineStr">
        <is>
          <t>PKG-18</t>
        </is>
      </c>
      <c r="F233" s="3" t="inlineStr">
        <is>
          <t>A-1802</t>
        </is>
      </c>
      <c r="G233" s="3" t="inlineStr">
        <is>
          <t>Building-mounted exterior LED wall packs: 20-30 fixtures.</t>
        </is>
      </c>
    </row>
    <row r="234">
      <c r="A234" s="3" t="inlineStr">
        <is>
          <t>ASM-PRICE</t>
        </is>
      </c>
      <c r="B234" s="3" t="inlineStr">
        <is>
          <t>Pricing Allowances</t>
        </is>
      </c>
      <c r="C234" s="3" t="inlineStr">
        <is>
          <t>ASM-PRICE-054</t>
        </is>
      </c>
      <c r="D234" s="3" t="inlineStr">
        <is>
          <t>Material Quantities</t>
        </is>
      </c>
      <c r="E234" s="3" t="inlineStr">
        <is>
          <t>PKG-18</t>
        </is>
      </c>
      <c r="F234" s="3" t="inlineStr">
        <is>
          <t>A-1803</t>
        </is>
      </c>
      <c r="G234" s="3" t="inlineStr">
        <is>
          <t>Interior high-bay or linear LED fixtures for warehouse/pro..</t>
        </is>
      </c>
    </row>
    <row r="235">
      <c r="A235" s="3" t="inlineStr">
        <is>
          <t>ASM-PRICE</t>
        </is>
      </c>
      <c r="B235" s="3" t="inlineStr">
        <is>
          <t>Pricing Allowances</t>
        </is>
      </c>
      <c r="C235" s="3" t="inlineStr">
        <is>
          <t>ASM-PRICE-054</t>
        </is>
      </c>
      <c r="D235" s="3" t="inlineStr">
        <is>
          <t>Material Quantities</t>
        </is>
      </c>
      <c r="E235" s="3" t="inlineStr">
        <is>
          <t>PKG-18</t>
        </is>
      </c>
      <c r="F235" s="3" t="inlineStr">
        <is>
          <t>A-1804</t>
        </is>
      </c>
      <c r="G235" s="3" t="inlineStr">
        <is>
          <t>Interior LED fixtures for offices, control rooms, utility ..</t>
        </is>
      </c>
    </row>
    <row r="236">
      <c r="A236" s="3" t="inlineStr">
        <is>
          <t>ASM-PRICE</t>
        </is>
      </c>
      <c r="B236" s="3" t="inlineStr">
        <is>
          <t>Pricing Allowances</t>
        </is>
      </c>
      <c r="C236" s="3" t="inlineStr">
        <is>
          <t>ASM-PRICE-054</t>
        </is>
      </c>
      <c r="D236" s="3" t="inlineStr">
        <is>
          <t>Material Quantities</t>
        </is>
      </c>
      <c r="E236" s="3" t="inlineStr">
        <is>
          <t>PKG-18</t>
        </is>
      </c>
      <c r="F236" s="3" t="inlineStr">
        <is>
          <t>A-1805</t>
        </is>
      </c>
      <c r="G236" s="3" t="inlineStr">
        <is>
          <t>Emergency battery-backed LED fixtures for egress lighting:..</t>
        </is>
      </c>
    </row>
    <row r="237">
      <c r="A237" s="3" t="inlineStr">
        <is>
          <t>ASM-PRICE</t>
        </is>
      </c>
      <c r="B237" s="3" t="inlineStr">
        <is>
          <t>Pricing Allowances</t>
        </is>
      </c>
      <c r="C237" s="3" t="inlineStr">
        <is>
          <t>ASM-PRICE-054</t>
        </is>
      </c>
      <c r="D237" s="3" t="inlineStr">
        <is>
          <t>Material Quantities</t>
        </is>
      </c>
      <c r="E237" s="3" t="inlineStr">
        <is>
          <t>PKG-18</t>
        </is>
      </c>
      <c r="F237" s="3" t="inlineStr">
        <is>
          <t>A-1806</t>
        </is>
      </c>
      <c r="G237" s="3" t="inlineStr">
        <is>
          <t>Lighting control sensors and devices (occupancy, photocell..</t>
        </is>
      </c>
    </row>
    <row r="238">
      <c r="A238" s="3" t="inlineStr">
        <is>
          <t>ASM-PRICE</t>
        </is>
      </c>
      <c r="B238" s="3" t="inlineStr">
        <is>
          <t>Pricing Allowances</t>
        </is>
      </c>
      <c r="C238" s="3" t="inlineStr">
        <is>
          <t>ASM-PRICE-054</t>
        </is>
      </c>
      <c r="D238" s="3" t="inlineStr">
        <is>
          <t>Material Quantities</t>
        </is>
      </c>
      <c r="E238" s="3" t="inlineStr">
        <is>
          <t>PKG-18</t>
        </is>
      </c>
      <c r="F238" s="3" t="inlineStr">
        <is>
          <t>A-1808</t>
        </is>
      </c>
      <c r="G238" s="3" t="inlineStr">
        <is>
          <t>Assume 10-20% of fixtures located in hazardous classified ..</t>
        </is>
      </c>
    </row>
    <row r="239">
      <c r="A239" s="3" t="inlineStr">
        <is>
          <t>ASM-PRICE</t>
        </is>
      </c>
      <c r="B239" s="3" t="inlineStr">
        <is>
          <t>Pricing Allowances</t>
        </is>
      </c>
      <c r="C239" s="3" t="inlineStr">
        <is>
          <t>ASM-PRICE-054</t>
        </is>
      </c>
      <c r="D239" s="3" t="inlineStr">
        <is>
          <t>Material Quantities</t>
        </is>
      </c>
      <c r="E239" s="3" t="inlineStr">
        <is>
          <t>PKG-18</t>
        </is>
      </c>
      <c r="F239" s="3" t="inlineStr">
        <is>
          <t>A-1821</t>
        </is>
      </c>
      <c r="G239" s="3" t="inlineStr">
        <is>
          <t>Assume 10-20% of fixtures in hazardous classified areas (C..</t>
        </is>
      </c>
    </row>
    <row r="240">
      <c r="A240" s="3" t="inlineStr">
        <is>
          <t>ASM-PRICE</t>
        </is>
      </c>
      <c r="B240" s="3" t="inlineStr">
        <is>
          <t>Pricing Allowances</t>
        </is>
      </c>
      <c r="C240" s="3" t="inlineStr">
        <is>
          <t>ASM-PRICE-054</t>
        </is>
      </c>
      <c r="D240" s="3" t="inlineStr">
        <is>
          <t>Material Quantities</t>
        </is>
      </c>
      <c r="E240" s="3" t="inlineStr">
        <is>
          <t>PKG-18</t>
        </is>
      </c>
      <c r="F240" s="3" t="inlineStr">
        <is>
          <t>A-1822</t>
        </is>
      </c>
      <c r="G240" s="3" t="inlineStr">
        <is>
          <t>LED fixtures: 100-120 lm/W efficacy, 50,000+ hours L70 lum..</t>
        </is>
      </c>
    </row>
    <row r="241">
      <c r="A241" s="3" t="inlineStr">
        <is>
          <t>ASM-PRICE</t>
        </is>
      </c>
      <c r="B241" s="3" t="inlineStr">
        <is>
          <t>Pricing Allowances</t>
        </is>
      </c>
      <c r="C241" s="3" t="inlineStr">
        <is>
          <t>ASM-PRICE-054</t>
        </is>
      </c>
      <c r="D241" s="3" t="inlineStr">
        <is>
          <t>Material Quantities</t>
        </is>
      </c>
      <c r="E241" s="3" t="inlineStr">
        <is>
          <t>PKG-18</t>
        </is>
      </c>
      <c r="F241" s="3" t="inlineStr">
        <is>
          <t>A-1827</t>
        </is>
      </c>
      <c r="G241" s="3" t="inlineStr">
        <is>
          <t>Civil discipline (PKG-01, PKG-02, PKG-03) provides pole fo..</t>
        </is>
      </c>
    </row>
    <row r="242">
      <c r="A242" s="3" t="inlineStr">
        <is>
          <t>ASM-PRICE</t>
        </is>
      </c>
      <c r="B242" s="3" t="inlineStr">
        <is>
          <t>Pricing Allowances</t>
        </is>
      </c>
      <c r="C242" s="3" t="inlineStr">
        <is>
          <t>ASM-PRICE-054</t>
        </is>
      </c>
      <c r="D242" s="3" t="inlineStr">
        <is>
          <t>Material Quantities</t>
        </is>
      </c>
      <c r="E242" s="3" t="inlineStr">
        <is>
          <t>PKG-18</t>
        </is>
      </c>
      <c r="F242" s="3" t="inlineStr">
        <is>
          <t>A-1829</t>
        </is>
      </c>
      <c r="G242" s="3" t="inlineStr">
        <is>
          <t>Lighting supplied from 120/208V or 347/600V 3-phase electr..</t>
        </is>
      </c>
    </row>
    <row r="243">
      <c r="A243" s="3" t="inlineStr">
        <is>
          <t>ASM-PRICE</t>
        </is>
      </c>
      <c r="B243" s="3" t="inlineStr">
        <is>
          <t>Pricing Allowances</t>
        </is>
      </c>
      <c r="C243" s="3" t="inlineStr">
        <is>
          <t>ASM-PRICE-054</t>
        </is>
      </c>
      <c r="D243" s="3" t="inlineStr">
        <is>
          <t>Material Quantities</t>
        </is>
      </c>
      <c r="E243" s="3" t="inlineStr">
        <is>
          <t>PKG-18</t>
        </is>
      </c>
      <c r="F243" s="3" t="inlineStr">
        <is>
          <t>A-1831</t>
        </is>
      </c>
      <c r="G243" s="3" t="inlineStr">
        <is>
          <t>LED fixtures: minimum 5-year manufacturer warranty on fixt..</t>
        </is>
      </c>
    </row>
    <row r="244">
      <c r="A244" s="3" t="inlineStr">
        <is>
          <t>ASM-PRICE</t>
        </is>
      </c>
      <c r="B244" s="3" t="inlineStr">
        <is>
          <t>Pricing Allowances</t>
        </is>
      </c>
      <c r="C244" s="3" t="inlineStr">
        <is>
          <t>ASM-PRICE-054</t>
        </is>
      </c>
      <c r="D244" s="3" t="inlineStr">
        <is>
          <t>Material Quantities</t>
        </is>
      </c>
      <c r="E244" s="3" t="inlineStr">
        <is>
          <t>PKG-21</t>
        </is>
      </c>
      <c r="F244" s="3" t="inlineStr">
        <is>
          <t>A-001</t>
        </is>
      </c>
      <c r="G244" s="3" t="inlineStr">
        <is>
          <t>Pre-engineered metal building supply at $650/m² for 600 m²..</t>
        </is>
      </c>
    </row>
    <row r="245">
      <c r="A245" s="3" t="inlineStr">
        <is>
          <t>ASM-PRICE</t>
        </is>
      </c>
      <c r="B245" s="3" t="inlineStr">
        <is>
          <t>Pricing Allowances</t>
        </is>
      </c>
      <c r="C245" s="3" t="inlineStr">
        <is>
          <t>ASM-PRICE-054</t>
        </is>
      </c>
      <c r="D245" s="3" t="inlineStr">
        <is>
          <t>Material Quantities</t>
        </is>
      </c>
      <c r="E245" s="3" t="inlineStr">
        <is>
          <t>PKG-21</t>
        </is>
      </c>
      <c r="F245" s="3" t="inlineStr">
        <is>
          <t>A-002</t>
        </is>
      </c>
      <c r="G245" s="3" t="inlineStr">
        <is>
          <t>Prefabricated operator shelter at $45,000 each (4 units)</t>
        </is>
      </c>
    </row>
    <row r="246">
      <c r="A246" s="3" t="inlineStr">
        <is>
          <t>ASM-PRICE</t>
        </is>
      </c>
      <c r="B246" s="3" t="inlineStr">
        <is>
          <t>Pricing Allowances</t>
        </is>
      </c>
      <c r="C246" s="3" t="inlineStr">
        <is>
          <t>ASM-PRICE-054</t>
        </is>
      </c>
      <c r="D246" s="3" t="inlineStr">
        <is>
          <t>Material Quantities</t>
        </is>
      </c>
      <c r="E246" s="3" t="inlineStr">
        <is>
          <t>PKG-21</t>
        </is>
      </c>
      <c r="F246" s="3" t="inlineStr">
        <is>
          <t>A-008</t>
        </is>
      </c>
      <c r="G246" s="3" t="inlineStr">
        <is>
          <t>Insulated metal panel cladding at $120/m² for wall R-20 up..</t>
        </is>
      </c>
    </row>
    <row r="247">
      <c r="A247" s="3" t="inlineStr">
        <is>
          <t>ASM-PRICE</t>
        </is>
      </c>
      <c r="B247" s="3" t="inlineStr">
        <is>
          <t>Pricing Allowances</t>
        </is>
      </c>
      <c r="C247" s="3" t="inlineStr">
        <is>
          <t>ASM-PRICE-054</t>
        </is>
      </c>
      <c r="D247" s="3" t="inlineStr">
        <is>
          <t>Material Quantities</t>
        </is>
      </c>
      <c r="E247" s="3" t="inlineStr">
        <is>
          <t>PKG-21</t>
        </is>
      </c>
      <c r="F247" s="3" t="inlineStr">
        <is>
          <t>A-009</t>
        </is>
      </c>
      <c r="G247" s="3" t="inlineStr">
        <is>
          <t>Standing seam roof with R-30 insulation at $85/m²</t>
        </is>
      </c>
    </row>
    <row r="248">
      <c r="A248" s="3" t="inlineStr">
        <is>
          <t>ASM-PRICE</t>
        </is>
      </c>
      <c r="B248" s="3" t="inlineStr">
        <is>
          <t>Pricing Allowances</t>
        </is>
      </c>
      <c r="C248" s="3" t="inlineStr">
        <is>
          <t>ASM-PRICE-054</t>
        </is>
      </c>
      <c r="D248" s="3" t="inlineStr">
        <is>
          <t>Material Quantities</t>
        </is>
      </c>
      <c r="E248" s="3" t="inlineStr">
        <is>
          <t>PKG-21</t>
        </is>
      </c>
      <c r="F248" s="3" t="inlineStr">
        <is>
          <t>A-013</t>
        </is>
      </c>
      <c r="G248" s="3" t="inlineStr">
        <is>
          <t>Shelter foundation materials at $8,000 each (4 units)</t>
        </is>
      </c>
    </row>
    <row r="249">
      <c r="A249" s="3" t="inlineStr">
        <is>
          <t>ASM-PRICE</t>
        </is>
      </c>
      <c r="B249" s="3" t="inlineStr">
        <is>
          <t>Pricing Allowances</t>
        </is>
      </c>
      <c r="C249" s="3" t="inlineStr">
        <is>
          <t>ASM-PRICE-054</t>
        </is>
      </c>
      <c r="D249" s="3" t="inlineStr">
        <is>
          <t>Material Quantities</t>
        </is>
      </c>
      <c r="E249" s="3" t="inlineStr">
        <is>
          <t>PKG-21</t>
        </is>
      </c>
      <c r="F249" s="3" t="inlineStr">
        <is>
          <t>A-016</t>
        </is>
      </c>
      <c r="G249" s="3" t="inlineStr">
        <is>
          <t>PEMB erection at $180/m² for 600 m² building</t>
        </is>
      </c>
    </row>
    <row r="250">
      <c r="A250" s="3" t="inlineStr">
        <is>
          <t>ASM-PRICE</t>
        </is>
      </c>
      <c r="B250" s="3" t="inlineStr">
        <is>
          <t>Pricing Allowances</t>
        </is>
      </c>
      <c r="C250" s="3" t="inlineStr">
        <is>
          <t>ASM-PRICE-054</t>
        </is>
      </c>
      <c r="D250" s="3" t="inlineStr">
        <is>
          <t>Material Quantities</t>
        </is>
      </c>
      <c r="E250" s="3" t="inlineStr">
        <is>
          <t>PKG-21</t>
        </is>
      </c>
      <c r="F250" s="3" t="inlineStr">
        <is>
          <t>A-017</t>
        </is>
      </c>
      <c r="G250" s="3" t="inlineStr">
        <is>
          <t>Cladding and roofing installation at $95/m²</t>
        </is>
      </c>
    </row>
    <row r="251">
      <c r="A251" s="3" t="inlineStr">
        <is>
          <t>ASM-PRICE</t>
        </is>
      </c>
      <c r="B251" s="3" t="inlineStr">
        <is>
          <t>Pricing Allowances</t>
        </is>
      </c>
      <c r="C251" s="3" t="inlineStr">
        <is>
          <t>ASM-PRICE-054</t>
        </is>
      </c>
      <c r="D251" s="3" t="inlineStr">
        <is>
          <t>Material Quantities</t>
        </is>
      </c>
      <c r="E251" s="3" t="inlineStr">
        <is>
          <t>PKG-21</t>
        </is>
      </c>
      <c r="F251" s="3" t="inlineStr">
        <is>
          <t>A-019</t>
        </is>
      </c>
      <c r="G251" s="3" t="inlineStr">
        <is>
          <t>Shelter installation at $12,000 each (4 units)</t>
        </is>
      </c>
    </row>
    <row r="252">
      <c r="A252" s="3" t="inlineStr">
        <is>
          <t>ASM-PRICE</t>
        </is>
      </c>
      <c r="B252" s="3" t="inlineStr">
        <is>
          <t>Pricing Allowances</t>
        </is>
      </c>
      <c r="C252" s="3" t="inlineStr">
        <is>
          <t>ASM-PRICE-054</t>
        </is>
      </c>
      <c r="D252" s="3" t="inlineStr">
        <is>
          <t>Material Quantities</t>
        </is>
      </c>
      <c r="E252" s="3" t="inlineStr">
        <is>
          <t>PKG-21</t>
        </is>
      </c>
      <c r="F252" s="3" t="inlineStr">
        <is>
          <t>A-020</t>
        </is>
      </c>
      <c r="G252" s="3" t="inlineStr">
        <is>
          <t>Shelter foundation installation at $6,000 each (4 units)</t>
        </is>
      </c>
    </row>
    <row r="253">
      <c r="A253" s="3" t="inlineStr">
        <is>
          <t>ASM-PRICE</t>
        </is>
      </c>
      <c r="B253" s="3" t="inlineStr">
        <is>
          <t>Pricing Allowances</t>
        </is>
      </c>
      <c r="C253" s="3" t="inlineStr">
        <is>
          <t>ASM-PRICE-055</t>
        </is>
      </c>
      <c r="D253" s="3" t="inlineStr">
        <is>
          <t>Equipment Unit Pricing</t>
        </is>
      </c>
      <c r="E253" s="3" t="inlineStr">
        <is>
          <t>PKG-10</t>
        </is>
      </c>
      <c r="F253" s="3" t="inlineStr">
        <is>
          <t>A-001</t>
        </is>
      </c>
      <c r="G253" s="3" t="inlineStr">
        <is>
          <t>Railcar unloading arms priced at $50,000 CAD per unit (32 ..</t>
        </is>
      </c>
    </row>
    <row r="254">
      <c r="A254" s="3" t="inlineStr">
        <is>
          <t>ASM-PRICE</t>
        </is>
      </c>
      <c r="B254" s="3" t="inlineStr">
        <is>
          <t>Pricing Allowances</t>
        </is>
      </c>
      <c r="C254" s="3" t="inlineStr">
        <is>
          <t>ASM-PRICE-055</t>
        </is>
      </c>
      <c r="D254" s="3" t="inlineStr">
        <is>
          <t>Equipment Unit Pricing</t>
        </is>
      </c>
      <c r="E254" s="3" t="inlineStr">
        <is>
          <t>PKG-10</t>
        </is>
      </c>
      <c r="F254" s="3" t="inlineStr">
        <is>
          <t>A-002</t>
        </is>
      </c>
      <c r="G254" s="3" t="inlineStr">
        <is>
          <t>Quick-connect couplers priced at $3,000 CAD per unit (32 u..</t>
        </is>
      </c>
    </row>
    <row r="255">
      <c r="A255" s="3" t="inlineStr">
        <is>
          <t>ASM-PRICE</t>
        </is>
      </c>
      <c r="B255" s="3" t="inlineStr">
        <is>
          <t>Pricing Allowances</t>
        </is>
      </c>
      <c r="C255" s="3" t="inlineStr">
        <is>
          <t>ASM-PRICE-055</t>
        </is>
      </c>
      <c r="D255" s="3" t="inlineStr">
        <is>
          <t>Equipment Unit Pricing</t>
        </is>
      </c>
      <c r="E255" s="3" t="inlineStr">
        <is>
          <t>PKG-10</t>
        </is>
      </c>
      <c r="F255" s="3" t="inlineStr">
        <is>
          <t>A-011</t>
        </is>
      </c>
      <c r="G255" s="3" t="inlineStr">
        <is>
          <t>Flow indicators priced at $2,500 CAD per unit (32 units).</t>
        </is>
      </c>
    </row>
    <row r="256">
      <c r="A256" s="3" t="inlineStr">
        <is>
          <t>ASM-PRICE</t>
        </is>
      </c>
      <c r="B256" s="3" t="inlineStr">
        <is>
          <t>Pricing Allowances</t>
        </is>
      </c>
      <c r="C256" s="3" t="inlineStr">
        <is>
          <t>ASM-PRICE-055</t>
        </is>
      </c>
      <c r="D256" s="3" t="inlineStr">
        <is>
          <t>Equipment Unit Pricing</t>
        </is>
      </c>
      <c r="E256" s="3" t="inlineStr">
        <is>
          <t>PKG-10</t>
        </is>
      </c>
      <c r="F256" s="3" t="inlineStr">
        <is>
          <t>A-012</t>
        </is>
      </c>
      <c r="G256" s="3" t="inlineStr">
        <is>
          <t>Atmospheric venting system (32 connections + routing + fla..</t>
        </is>
      </c>
    </row>
    <row r="257">
      <c r="A257" s="3" t="inlineStr">
        <is>
          <t>ASM-PRICE</t>
        </is>
      </c>
      <c r="B257" s="3" t="inlineStr">
        <is>
          <t>Pricing Allowances</t>
        </is>
      </c>
      <c r="C257" s="3" t="inlineStr">
        <is>
          <t>ASM-PRICE-055</t>
        </is>
      </c>
      <c r="D257" s="3" t="inlineStr">
        <is>
          <t>Equipment Unit Pricing</t>
        </is>
      </c>
      <c r="E257" s="3" t="inlineStr">
        <is>
          <t>PKG-10</t>
        </is>
      </c>
      <c r="F257" s="3" t="inlineStr">
        <is>
          <t>A-013</t>
        </is>
      </c>
      <c r="G257" s="3" t="inlineStr">
        <is>
          <t>Header isolation valves and fittings priced at $85,000 tot..</t>
        </is>
      </c>
    </row>
    <row r="258">
      <c r="A258" s="3" t="inlineStr">
        <is>
          <t>ASM-PRICE</t>
        </is>
      </c>
      <c r="B258" s="3" t="inlineStr">
        <is>
          <t>Pricing Allowances</t>
        </is>
      </c>
      <c r="C258" s="3" t="inlineStr">
        <is>
          <t>ASM-PRICE-055</t>
        </is>
      </c>
      <c r="D258" s="3" t="inlineStr">
        <is>
          <t>Equipment Unit Pricing</t>
        </is>
      </c>
      <c r="E258" s="3" t="inlineStr">
        <is>
          <t>PKG-10</t>
        </is>
      </c>
      <c r="F258" s="3" t="inlineStr">
        <is>
          <t>A-014</t>
        </is>
      </c>
      <c r="G258" s="3" t="inlineStr">
        <is>
          <t>Installation consumables and fasteners priced at $45,000 t..</t>
        </is>
      </c>
    </row>
    <row r="259">
      <c r="A259" s="3" t="inlineStr">
        <is>
          <t>ASM-PRICE</t>
        </is>
      </c>
      <c r="B259" s="3" t="inlineStr">
        <is>
          <t>Pricing Allowances</t>
        </is>
      </c>
      <c r="C259" s="3" t="inlineStr">
        <is>
          <t>ASM-PRICE-055</t>
        </is>
      </c>
      <c r="D259" s="3" t="inlineStr">
        <is>
          <t>Equipment Unit Pricing</t>
        </is>
      </c>
      <c r="E259" s="3" t="inlineStr">
        <is>
          <t>PKG-10</t>
        </is>
      </c>
      <c r="F259" s="3" t="inlineStr">
        <is>
          <t>A-015</t>
        </is>
      </c>
      <c r="G259" s="3" t="inlineStr">
        <is>
          <t>Unloading arm installation labor priced at $8,000 per unit..</t>
        </is>
      </c>
    </row>
    <row r="260">
      <c r="A260" s="3" t="inlineStr">
        <is>
          <t>ASM-PRICE</t>
        </is>
      </c>
      <c r="B260" s="3" t="inlineStr">
        <is>
          <t>Pricing Allowances</t>
        </is>
      </c>
      <c r="C260" s="3" t="inlineStr">
        <is>
          <t>ASM-PRICE-055</t>
        </is>
      </c>
      <c r="D260" s="3" t="inlineStr">
        <is>
          <t>Equipment Unit Pricing</t>
        </is>
      </c>
      <c r="E260" s="3" t="inlineStr">
        <is>
          <t>PKG-10</t>
        </is>
      </c>
      <c r="F260" s="3" t="inlineStr">
        <is>
          <t>A-016</t>
        </is>
      </c>
      <c r="G260" s="3" t="inlineStr">
        <is>
          <t>Header piping installation labor priced at $450 per linear..</t>
        </is>
      </c>
    </row>
    <row r="261">
      <c r="A261" s="3" t="inlineStr">
        <is>
          <t>ASM-PRICE</t>
        </is>
      </c>
      <c r="B261" s="3" t="inlineStr">
        <is>
          <t>Pricing Allowances</t>
        </is>
      </c>
      <c r="C261" s="3" t="inlineStr">
        <is>
          <t>ASM-PRICE-055</t>
        </is>
      </c>
      <c r="D261" s="3" t="inlineStr">
        <is>
          <t>Equipment Unit Pricing</t>
        </is>
      </c>
      <c r="E261" s="3" t="inlineStr">
        <is>
          <t>PKG-10</t>
        </is>
      </c>
      <c r="F261" s="3" t="inlineStr">
        <is>
          <t>A-017</t>
        </is>
      </c>
      <c r="G261" s="3" t="inlineStr">
        <is>
          <t>Containment pan installation labor priced at $4,500 per un..</t>
        </is>
      </c>
    </row>
    <row r="262">
      <c r="A262" s="3" t="inlineStr">
        <is>
          <t>ASM-PRICE</t>
        </is>
      </c>
      <c r="B262" s="3" t="inlineStr">
        <is>
          <t>Pricing Allowances</t>
        </is>
      </c>
      <c r="C262" s="3" t="inlineStr">
        <is>
          <t>ASM-PRICE-055</t>
        </is>
      </c>
      <c r="D262" s="3" t="inlineStr">
        <is>
          <t>Equipment Unit Pricing</t>
        </is>
      </c>
      <c r="E262" s="3" t="inlineStr">
        <is>
          <t>PKG-10</t>
        </is>
      </c>
      <c r="F262" s="3" t="inlineStr">
        <is>
          <t>A-018</t>
        </is>
      </c>
      <c r="G262" s="3" t="inlineStr">
        <is>
          <t>Sump pump installation labor priced at $3,000 per unit (8 ..</t>
        </is>
      </c>
    </row>
    <row r="263">
      <c r="A263" s="3" t="inlineStr">
        <is>
          <t>ASM-PRICE</t>
        </is>
      </c>
      <c r="B263" s="3" t="inlineStr">
        <is>
          <t>Pricing Allowances</t>
        </is>
      </c>
      <c r="C263" s="3" t="inlineStr">
        <is>
          <t>ASM-PRICE-055</t>
        </is>
      </c>
      <c r="D263" s="3" t="inlineStr">
        <is>
          <t>Equipment Unit Pricing</t>
        </is>
      </c>
      <c r="E263" s="3" t="inlineStr">
        <is>
          <t>PKG-10</t>
        </is>
      </c>
      <c r="F263" s="3" t="inlineStr">
        <is>
          <t>A-019</t>
        </is>
      </c>
      <c r="G263" s="3" t="inlineStr">
        <is>
          <t>Flow indicator installation labor priced at $1,000 per uni..</t>
        </is>
      </c>
    </row>
    <row r="264">
      <c r="A264" s="3" t="inlineStr">
        <is>
          <t>ASM-PRICE</t>
        </is>
      </c>
      <c r="B264" s="3" t="inlineStr">
        <is>
          <t>Pricing Allowances</t>
        </is>
      </c>
      <c r="C264" s="3" t="inlineStr">
        <is>
          <t>ASM-PRICE-055</t>
        </is>
      </c>
      <c r="D264" s="3" t="inlineStr">
        <is>
          <t>Equipment Unit Pricing</t>
        </is>
      </c>
      <c r="E264" s="3" t="inlineStr">
        <is>
          <t>PKG-10</t>
        </is>
      </c>
      <c r="F264" s="3" t="inlineStr">
        <is>
          <t>A-020</t>
        </is>
      </c>
      <c r="G264" s="3" t="inlineStr">
        <is>
          <t>Venting system installation labor priced at $28,000 total ..</t>
        </is>
      </c>
    </row>
    <row r="265">
      <c r="A265" s="3" t="inlineStr">
        <is>
          <t>ASM-PRICE</t>
        </is>
      </c>
      <c r="B265" s="3" t="inlineStr">
        <is>
          <t>Pricing Allowances</t>
        </is>
      </c>
      <c r="C265" s="3" t="inlineStr">
        <is>
          <t>ASM-PRICE-055</t>
        </is>
      </c>
      <c r="D265" s="3" t="inlineStr">
        <is>
          <t>Equipment Unit Pricing</t>
        </is>
      </c>
      <c r="E265" s="3" t="inlineStr">
        <is>
          <t>PKG-10</t>
        </is>
      </c>
      <c r="F265" s="3" t="inlineStr">
        <is>
          <t>A-021</t>
        </is>
      </c>
      <c r="G265" s="3" t="inlineStr">
        <is>
          <t>Setting out and survey labor priced at $18,000 total for 3..</t>
        </is>
      </c>
    </row>
    <row r="266">
      <c r="A266" s="3" t="inlineStr">
        <is>
          <t>ASM-PRICE</t>
        </is>
      </c>
      <c r="B266" s="3" t="inlineStr">
        <is>
          <t>Pricing Allowances</t>
        </is>
      </c>
      <c r="C266" s="3" t="inlineStr">
        <is>
          <t>ASM-PRICE-055</t>
        </is>
      </c>
      <c r="D266" s="3" t="inlineStr">
        <is>
          <t>Equipment Unit Pricing</t>
        </is>
      </c>
      <c r="E266" s="3" t="inlineStr">
        <is>
          <t>PKG-10</t>
        </is>
      </c>
      <c r="F266" s="3" t="inlineStr">
        <is>
          <t>A-022</t>
        </is>
      </c>
      <c r="G266" s="3" t="inlineStr">
        <is>
          <t>Hydrostatic testing and flushing labor priced at $22,000 t..</t>
        </is>
      </c>
    </row>
    <row r="267">
      <c r="A267" s="3" t="inlineStr">
        <is>
          <t>ASM-PRICE</t>
        </is>
      </c>
      <c r="B267" s="3" t="inlineStr">
        <is>
          <t>Pricing Allowances</t>
        </is>
      </c>
      <c r="C267" s="3" t="inlineStr">
        <is>
          <t>ASM-PRICE-055</t>
        </is>
      </c>
      <c r="D267" s="3" t="inlineStr">
        <is>
          <t>Equipment Unit Pricing</t>
        </is>
      </c>
      <c r="E267" s="3" t="inlineStr">
        <is>
          <t>PKG-10</t>
        </is>
      </c>
      <c r="F267" s="3" t="inlineStr">
        <is>
          <t>A-023</t>
        </is>
      </c>
      <c r="G267" s="3" t="inlineStr">
        <is>
          <t>Coating touch-up and protection labor priced at $13,000 to..</t>
        </is>
      </c>
    </row>
    <row r="268">
      <c r="A268" s="3" t="inlineStr">
        <is>
          <t>ASM-PRICE</t>
        </is>
      </c>
      <c r="B268" s="3" t="inlineStr">
        <is>
          <t>Pricing Allowances</t>
        </is>
      </c>
      <c r="C268" s="3" t="inlineStr">
        <is>
          <t>ASM-PRICE-055</t>
        </is>
      </c>
      <c r="D268" s="3" t="inlineStr">
        <is>
          <t>Equipment Unit Pricing</t>
        </is>
      </c>
      <c r="E268" s="3" t="inlineStr">
        <is>
          <t>PKG-10</t>
        </is>
      </c>
      <c r="F268" s="3" t="inlineStr">
        <is>
          <t>A-024</t>
        </is>
      </c>
      <c r="G268" s="3" t="inlineStr">
        <is>
          <t>Unloading arm factory acceptance testing and commissioning..</t>
        </is>
      </c>
    </row>
    <row r="269">
      <c r="A269" s="3" t="inlineStr">
        <is>
          <t>ASM-PRICE</t>
        </is>
      </c>
      <c r="B269" s="3" t="inlineStr">
        <is>
          <t>Pricing Allowances</t>
        </is>
      </c>
      <c r="C269" s="3" t="inlineStr">
        <is>
          <t>ASM-PRICE-055</t>
        </is>
      </c>
      <c r="D269" s="3" t="inlineStr">
        <is>
          <t>Equipment Unit Pricing</t>
        </is>
      </c>
      <c r="E269" s="3" t="inlineStr">
        <is>
          <t>PKG-10</t>
        </is>
      </c>
      <c r="F269" s="3" t="inlineStr">
        <is>
          <t>A-025</t>
        </is>
      </c>
      <c r="G269" s="3" t="inlineStr">
        <is>
          <t>System integration testing priced at $28,000 total.</t>
        </is>
      </c>
    </row>
    <row r="270">
      <c r="A270" s="3" t="inlineStr">
        <is>
          <t>ASM-PRICE</t>
        </is>
      </c>
      <c r="B270" s="3" t="inlineStr">
        <is>
          <t>Pricing Allowances</t>
        </is>
      </c>
      <c r="C270" s="3" t="inlineStr">
        <is>
          <t>ASM-PRICE-055</t>
        </is>
      </c>
      <c r="D270" s="3" t="inlineStr">
        <is>
          <t>Equipment Unit Pricing</t>
        </is>
      </c>
      <c r="E270" s="3" t="inlineStr">
        <is>
          <t>PKG-10</t>
        </is>
      </c>
      <c r="F270" s="3" t="inlineStr">
        <is>
          <t>A-026</t>
        </is>
      </c>
      <c r="G270" s="3" t="inlineStr">
        <is>
          <t>Performance testing and verification priced at $22,000 tot..</t>
        </is>
      </c>
    </row>
    <row r="271">
      <c r="A271" s="3" t="inlineStr">
        <is>
          <t>ASM-PRICE</t>
        </is>
      </c>
      <c r="B271" s="3" t="inlineStr">
        <is>
          <t>Pricing Allowances</t>
        </is>
      </c>
      <c r="C271" s="3" t="inlineStr">
        <is>
          <t>ASM-PRICE-055</t>
        </is>
      </c>
      <c r="D271" s="3" t="inlineStr">
        <is>
          <t>Equipment Unit Pricing</t>
        </is>
      </c>
      <c r="E271" s="3" t="inlineStr">
        <is>
          <t>PKG-10</t>
        </is>
      </c>
      <c r="F271" s="3" t="inlineStr">
        <is>
          <t>A-027</t>
        </is>
      </c>
      <c r="G271" s="3" t="inlineStr">
        <is>
          <t>Final inspection and commissioning documentation priced at..</t>
        </is>
      </c>
    </row>
    <row r="272">
      <c r="A272" s="3" t="inlineStr">
        <is>
          <t>ASM-PRICE</t>
        </is>
      </c>
      <c r="B272" s="3" t="inlineStr">
        <is>
          <t>Pricing Allowances</t>
        </is>
      </c>
      <c r="C272" s="3" t="inlineStr">
        <is>
          <t>ASM-PRICE-055</t>
        </is>
      </c>
      <c r="D272" s="3" t="inlineStr">
        <is>
          <t>Equipment Unit Pricing</t>
        </is>
      </c>
      <c r="E272" s="3" t="inlineStr">
        <is>
          <t>PKG-11</t>
        </is>
      </c>
      <c r="F272" s="3" t="inlineStr">
        <is>
          <t>A-001</t>
        </is>
      </c>
      <c r="G272" s="3" t="inlineStr">
        <is>
          <t>Marine loading arm priced at $950,000 including ERC, hydra..</t>
        </is>
      </c>
    </row>
    <row r="273">
      <c r="A273" s="3" t="inlineStr">
        <is>
          <t>ASM-PRICE</t>
        </is>
      </c>
      <c r="B273" s="3" t="inlineStr">
        <is>
          <t>Pricing Allowances</t>
        </is>
      </c>
      <c r="C273" s="3" t="inlineStr">
        <is>
          <t>ASM-PRICE-055</t>
        </is>
      </c>
      <c r="D273" s="3" t="inlineStr">
        <is>
          <t>Equipment Unit Pricing</t>
        </is>
      </c>
      <c r="E273" s="3" t="inlineStr">
        <is>
          <t>PKG-14</t>
        </is>
      </c>
      <c r="F273" s="3" t="inlineStr">
        <is>
          <t>A-001</t>
        </is>
      </c>
      <c r="G273" s="3" t="inlineStr">
        <is>
          <t>Rail unloading header system priced at 250 lm × $1,500/lm ..</t>
        </is>
      </c>
    </row>
    <row r="274">
      <c r="A274" s="3" t="inlineStr">
        <is>
          <t>ASM-PRICE</t>
        </is>
      </c>
      <c r="B274" s="3" t="inlineStr">
        <is>
          <t>Pricing Allowances</t>
        </is>
      </c>
      <c r="C274" s="3" t="inlineStr">
        <is>
          <t>ASM-PRICE-055</t>
        </is>
      </c>
      <c r="D274" s="3" t="inlineStr">
        <is>
          <t>Equipment Unit Pricing</t>
        </is>
      </c>
      <c r="E274" s="3" t="inlineStr">
        <is>
          <t>PKG-14</t>
        </is>
      </c>
      <c r="F274" s="3" t="inlineStr">
        <is>
          <t>A-002</t>
        </is>
      </c>
      <c r="G274" s="3" t="inlineStr">
        <is>
          <t>Tank farm piping priced at 150 lm inlet + 100 lm outlet ma..</t>
        </is>
      </c>
    </row>
    <row r="275">
      <c r="A275" s="3" t="inlineStr">
        <is>
          <t>ASM-PRICE</t>
        </is>
      </c>
      <c r="B275" s="3" t="inlineStr">
        <is>
          <t>Pricing Allowances</t>
        </is>
      </c>
      <c r="C275" s="3" t="inlineStr">
        <is>
          <t>ASM-PRICE-055</t>
        </is>
      </c>
      <c r="D275" s="3" t="inlineStr">
        <is>
          <t>Equipment Unit Pricing</t>
        </is>
      </c>
      <c r="E275" s="3" t="inlineStr">
        <is>
          <t>PKG-14</t>
        </is>
      </c>
      <c r="F275" s="3" t="inlineStr">
        <is>
          <t>A-003</t>
        </is>
      </c>
      <c r="G275" s="3" t="inlineStr">
        <is>
          <t>Export piping priced at 350 lm × $1,200/lm supply + $1,000..</t>
        </is>
      </c>
    </row>
    <row r="276">
      <c r="A276" s="3" t="inlineStr">
        <is>
          <t>ASM-PRICE</t>
        </is>
      </c>
      <c r="B276" s="3" t="inlineStr">
        <is>
          <t>Pricing Allowances</t>
        </is>
      </c>
      <c r="C276" s="3" t="inlineStr">
        <is>
          <t>ASM-PRICE-055</t>
        </is>
      </c>
      <c r="D276" s="3" t="inlineStr">
        <is>
          <t>Equipment Unit Pricing</t>
        </is>
      </c>
      <c r="E276" s="3" t="inlineStr">
        <is>
          <t>PKG-14</t>
        </is>
      </c>
      <c r="F276" s="3" t="inlineStr">
        <is>
          <t>A-004</t>
        </is>
      </c>
      <c r="G276" s="3" t="inlineStr">
        <is>
          <t>Recycle/return piping priced at 150 lm × $800/lm supply + ..</t>
        </is>
      </c>
    </row>
    <row r="277">
      <c r="A277" s="3" t="inlineStr">
        <is>
          <t>ASM-PRICE</t>
        </is>
      </c>
      <c r="B277" s="3" t="inlineStr">
        <is>
          <t>Pricing Allowances</t>
        </is>
      </c>
      <c r="C277" s="3" t="inlineStr">
        <is>
          <t>ASM-PRICE-055</t>
        </is>
      </c>
      <c r="D277" s="3" t="inlineStr">
        <is>
          <t>Equipment Unit Pricing</t>
        </is>
      </c>
      <c r="E277" s="3" t="inlineStr">
        <is>
          <t>PKG-14</t>
        </is>
      </c>
      <c r="F277" s="3" t="inlineStr">
        <is>
          <t>A-005</t>
        </is>
      </c>
      <c r="G277" s="3" t="inlineStr">
        <is>
          <t>Nitrogen distribution priced at 400 lm × $300/lm supply + ..</t>
        </is>
      </c>
    </row>
    <row r="278">
      <c r="A278" s="3" t="inlineStr">
        <is>
          <t>ASM-PRICE</t>
        </is>
      </c>
      <c r="B278" s="3" t="inlineStr">
        <is>
          <t>Pricing Allowances</t>
        </is>
      </c>
      <c r="C278" s="3" t="inlineStr">
        <is>
          <t>ASM-PRICE-055</t>
        </is>
      </c>
      <c r="D278" s="3" t="inlineStr">
        <is>
          <t>Equipment Unit Pricing</t>
        </is>
      </c>
      <c r="E278" s="3" t="inlineStr">
        <is>
          <t>PKG-14</t>
        </is>
      </c>
      <c r="F278" s="3" t="inlineStr">
        <is>
          <t>A-006</t>
        </is>
      </c>
      <c r="G278" s="3" t="inlineStr">
        <is>
          <t>Small bore utility piping priced at 200 lm × $300/lm suppl..</t>
        </is>
      </c>
    </row>
    <row r="279">
      <c r="A279" s="3" t="inlineStr">
        <is>
          <t>ASM-PRICE</t>
        </is>
      </c>
      <c r="B279" s="3" t="inlineStr">
        <is>
          <t>Pricing Allowances</t>
        </is>
      </c>
      <c r="C279" s="3" t="inlineStr">
        <is>
          <t>ASM-PRICE-055</t>
        </is>
      </c>
      <c r="D279" s="3" t="inlineStr">
        <is>
          <t>Equipment Unit Pricing</t>
        </is>
      </c>
      <c r="E279" s="3" t="inlineStr">
        <is>
          <t>PKG-14</t>
        </is>
      </c>
      <c r="F279" s="3" t="inlineStr">
        <is>
          <t>A-007</t>
        </is>
      </c>
      <c r="G279" s="3" t="inlineStr">
        <is>
          <t>Pipe supports priced at 300 units × $600/unit supply + $60..</t>
        </is>
      </c>
    </row>
    <row r="280">
      <c r="A280" s="3" t="inlineStr">
        <is>
          <t>ASM-PRICE</t>
        </is>
      </c>
      <c r="B280" s="3" t="inlineStr">
        <is>
          <t>Pricing Allowances</t>
        </is>
      </c>
      <c r="C280" s="3" t="inlineStr">
        <is>
          <t>ASM-PRICE-055</t>
        </is>
      </c>
      <c r="D280" s="3" t="inlineStr">
        <is>
          <t>Equipment Unit Pricing</t>
        </is>
      </c>
      <c r="E280" s="3" t="inlineStr">
        <is>
          <t>PKG-16</t>
        </is>
      </c>
      <c r="F280" s="3" t="inlineStr">
        <is>
          <t>A-1606</t>
        </is>
      </c>
      <c r="G280" s="3" t="inlineStr">
        <is>
          <t>Valve unit costs based on typical BC/Canada market pricing..</t>
        </is>
      </c>
    </row>
    <row r="281">
      <c r="A281" s="3" t="inlineStr">
        <is>
          <t>ASM-PRICE</t>
        </is>
      </c>
      <c r="B281" s="3" t="inlineStr">
        <is>
          <t>Pricing Allowances</t>
        </is>
      </c>
      <c r="C281" s="3" t="inlineStr">
        <is>
          <t>ASM-PRICE-055</t>
        </is>
      </c>
      <c r="D281" s="3" t="inlineStr">
        <is>
          <t>Equipment Unit Pricing</t>
        </is>
      </c>
      <c r="E281" s="3" t="inlineStr">
        <is>
          <t>PKG-18</t>
        </is>
      </c>
      <c r="F281" s="3" t="inlineStr">
        <is>
          <t>A-1809</t>
        </is>
      </c>
      <c r="G281" s="3" t="inlineStr">
        <is>
          <t>Exterior pole-mounted LED area lights priced at $1,500-$3,..</t>
        </is>
      </c>
    </row>
    <row r="282">
      <c r="A282" s="3" t="inlineStr">
        <is>
          <t>ASM-PRICE</t>
        </is>
      </c>
      <c r="B282" s="3" t="inlineStr">
        <is>
          <t>Pricing Allowances</t>
        </is>
      </c>
      <c r="C282" s="3" t="inlineStr">
        <is>
          <t>ASM-PRICE-055</t>
        </is>
      </c>
      <c r="D282" s="3" t="inlineStr">
        <is>
          <t>Equipment Unit Pricing</t>
        </is>
      </c>
      <c r="E282" s="3" t="inlineStr">
        <is>
          <t>PKG-18</t>
        </is>
      </c>
      <c r="F282" s="3" t="inlineStr">
        <is>
          <t>A-1810</t>
        </is>
      </c>
      <c r="G282" s="3" t="inlineStr">
        <is>
          <t>Interior high-bay LED fixtures priced at $800-$1,500 CAD p..</t>
        </is>
      </c>
    </row>
    <row r="283">
      <c r="A283" s="3" t="inlineStr">
        <is>
          <t>ASM-PRICE</t>
        </is>
      </c>
      <c r="B283" s="3" t="inlineStr">
        <is>
          <t>Pricing Allowances</t>
        </is>
      </c>
      <c r="C283" s="3" t="inlineStr">
        <is>
          <t>ASM-PRICE-055</t>
        </is>
      </c>
      <c r="D283" s="3" t="inlineStr">
        <is>
          <t>Equipment Unit Pricing</t>
        </is>
      </c>
      <c r="E283" s="3" t="inlineStr">
        <is>
          <t>PKG-18</t>
        </is>
      </c>
      <c r="F283" s="3" t="inlineStr">
        <is>
          <t>A-1811</t>
        </is>
      </c>
      <c r="G283" s="3" t="inlineStr">
        <is>
          <t>Interior office/control room LED fixtures priced at $300-$..</t>
        </is>
      </c>
    </row>
    <row r="284">
      <c r="A284" s="3" t="inlineStr">
        <is>
          <t>ASM-PRICE</t>
        </is>
      </c>
      <c r="B284" s="3" t="inlineStr">
        <is>
          <t>Pricing Allowances</t>
        </is>
      </c>
      <c r="C284" s="3" t="inlineStr">
        <is>
          <t>ASM-PRICE-055</t>
        </is>
      </c>
      <c r="D284" s="3" t="inlineStr">
        <is>
          <t>Equipment Unit Pricing</t>
        </is>
      </c>
      <c r="E284" s="3" t="inlineStr">
        <is>
          <t>PKG-18</t>
        </is>
      </c>
      <c r="F284" s="3" t="inlineStr">
        <is>
          <t>A-1812</t>
        </is>
      </c>
      <c r="G284" s="3" t="inlineStr">
        <is>
          <t>Emergency battery-backed LED fixtures priced at $500-$1,00..</t>
        </is>
      </c>
    </row>
    <row r="285">
      <c r="A285" s="3" t="inlineStr">
        <is>
          <t>ASM-PRICE</t>
        </is>
      </c>
      <c r="B285" s="3" t="inlineStr">
        <is>
          <t>Pricing Allowances</t>
        </is>
      </c>
      <c r="C285" s="3" t="inlineStr">
        <is>
          <t>ASM-PRICE-055</t>
        </is>
      </c>
      <c r="D285" s="3" t="inlineStr">
        <is>
          <t>Equipment Unit Pricing</t>
        </is>
      </c>
      <c r="E285" s="3" t="inlineStr">
        <is>
          <t>PKG-18</t>
        </is>
      </c>
      <c r="F285" s="3" t="inlineStr">
        <is>
          <t>A-1813</t>
        </is>
      </c>
      <c r="G285" s="3" t="inlineStr">
        <is>
          <t>Lighting control sensors and devices priced at $500-$1,500..</t>
        </is>
      </c>
    </row>
    <row r="286">
      <c r="A286" s="3" t="inlineStr">
        <is>
          <t>ASM-PRICE</t>
        </is>
      </c>
      <c r="B286" s="3" t="inlineStr">
        <is>
          <t>Pricing Allowances</t>
        </is>
      </c>
      <c r="C286" s="3" t="inlineStr">
        <is>
          <t>ASM-PRICE-055</t>
        </is>
      </c>
      <c r="D286" s="3" t="inlineStr">
        <is>
          <t>Equipment Unit Pricing</t>
        </is>
      </c>
      <c r="E286" s="3" t="inlineStr">
        <is>
          <t>PKG-18</t>
        </is>
      </c>
      <c r="F286" s="3" t="inlineStr">
        <is>
          <t>A-1814</t>
        </is>
      </c>
      <c r="G286" s="3" t="inlineStr">
        <is>
          <t>Exterior lighting poles (30-40 ft, steel or aluminum, mari..</t>
        </is>
      </c>
    </row>
    <row r="287">
      <c r="A287" s="3" t="inlineStr">
        <is>
          <t>ASM-PRICE</t>
        </is>
      </c>
      <c r="B287" s="3" t="inlineStr">
        <is>
          <t>Pricing Allowances</t>
        </is>
      </c>
      <c r="C287" s="3" t="inlineStr">
        <is>
          <t>ASM-PRICE-055</t>
        </is>
      </c>
      <c r="D287" s="3" t="inlineStr">
        <is>
          <t>Equipment Unit Pricing</t>
        </is>
      </c>
      <c r="E287" s="3" t="inlineStr">
        <is>
          <t>PKG-18</t>
        </is>
      </c>
      <c r="F287" s="3" t="inlineStr">
        <is>
          <t>A-1815</t>
        </is>
      </c>
      <c r="G287" s="3" t="inlineStr">
        <is>
          <t>Exterior lighting installation (pole-mounted fixtures) pri..</t>
        </is>
      </c>
    </row>
    <row r="288">
      <c r="A288" s="3" t="inlineStr">
        <is>
          <t>ASM-PRICE</t>
        </is>
      </c>
      <c r="B288" s="3" t="inlineStr">
        <is>
          <t>Pricing Allowances</t>
        </is>
      </c>
      <c r="C288" s="3" t="inlineStr">
        <is>
          <t>ASM-PRICE-055</t>
        </is>
      </c>
      <c r="D288" s="3" t="inlineStr">
        <is>
          <t>Equipment Unit Pricing</t>
        </is>
      </c>
      <c r="E288" s="3" t="inlineStr">
        <is>
          <t>PKG-18</t>
        </is>
      </c>
      <c r="F288" s="3" t="inlineStr">
        <is>
          <t>A-1816</t>
        </is>
      </c>
      <c r="G288" s="3" t="inlineStr">
        <is>
          <t>Interior lighting installation (ceiling/wall-mounted fixtu..</t>
        </is>
      </c>
    </row>
    <row r="289">
      <c r="A289" s="3" t="inlineStr">
        <is>
          <t>ASM-PRICE</t>
        </is>
      </c>
      <c r="B289" s="3" t="inlineStr">
        <is>
          <t>Pricing Allowances</t>
        </is>
      </c>
      <c r="C289" s="3" t="inlineStr">
        <is>
          <t>ASM-PRICE-056</t>
        </is>
      </c>
      <c r="D289" s="3" t="inlineStr">
        <is>
          <t>Technical Specification Writing</t>
        </is>
      </c>
      <c r="E289" s="3" t="inlineStr">
        <is>
          <t>PKG-00</t>
        </is>
      </c>
      <c r="F289" s="3" t="inlineStr">
        <is>
          <t>A-002</t>
        </is>
      </c>
      <c r="G289" s="3" t="inlineStr">
        <is>
          <t>Site establishment specifications (2 specs) estimated at $..</t>
        </is>
      </c>
    </row>
    <row r="290">
      <c r="A290" s="3" t="inlineStr">
        <is>
          <t>ASM-PRICE</t>
        </is>
      </c>
      <c r="B290" s="3" t="inlineStr">
        <is>
          <t>Pricing Allowances</t>
        </is>
      </c>
      <c r="C290" s="3" t="inlineStr">
        <is>
          <t>ASM-PRICE-056</t>
        </is>
      </c>
      <c r="D290" s="3" t="inlineStr">
        <is>
          <t>Technical Specification Writing</t>
        </is>
      </c>
      <c r="E290" s="3" t="inlineStr">
        <is>
          <t>PKG-01</t>
        </is>
      </c>
      <c r="F290" s="3" t="inlineStr">
        <is>
          <t>A-102</t>
        </is>
      </c>
      <c r="G290" s="3" t="inlineStr">
        <is>
          <t>Demolition Technical Specification Allowance</t>
        </is>
      </c>
    </row>
    <row r="291">
      <c r="A291" s="3" t="inlineStr">
        <is>
          <t>ASM-PRICE</t>
        </is>
      </c>
      <c r="B291" s="3" t="inlineStr">
        <is>
          <t>Pricing Allowances</t>
        </is>
      </c>
      <c r="C291" s="3" t="inlineStr">
        <is>
          <t>ASM-PRICE-056</t>
        </is>
      </c>
      <c r="D291" s="3" t="inlineStr">
        <is>
          <t>Technical Specification Writing</t>
        </is>
      </c>
      <c r="E291" s="3" t="inlineStr">
        <is>
          <t>PKG-05</t>
        </is>
      </c>
      <c r="F291" s="3" t="inlineStr">
        <is>
          <t>A-002</t>
        </is>
      </c>
      <c r="G291" s="3" t="inlineStr">
        <is>
          <t>Concrete technical specifications (3 specs: concrete, rein..</t>
        </is>
      </c>
    </row>
    <row r="292">
      <c r="A292" s="3" t="inlineStr">
        <is>
          <t>ASM-PRICE</t>
        </is>
      </c>
      <c r="B292" s="3" t="inlineStr">
        <is>
          <t>Pricing Allowances</t>
        </is>
      </c>
      <c r="C292" s="3" t="inlineStr">
        <is>
          <t>ASM-PRICE-056</t>
        </is>
      </c>
      <c r="D292" s="3" t="inlineStr">
        <is>
          <t>Technical Specification Writing</t>
        </is>
      </c>
      <c r="E292" s="3" t="inlineStr">
        <is>
          <t>PKG-06</t>
        </is>
      </c>
      <c r="F292" s="3" t="inlineStr">
        <is>
          <t>A-002</t>
        </is>
      </c>
      <c r="G292" s="3" t="inlineStr">
        <is>
          <t>Structural Steel Technical Specification Writing Effort</t>
        </is>
      </c>
    </row>
    <row r="293">
      <c r="A293" s="3" t="inlineStr">
        <is>
          <t>ASM-PRICE</t>
        </is>
      </c>
      <c r="B293" s="3" t="inlineStr">
        <is>
          <t>Pricing Allowances</t>
        </is>
      </c>
      <c r="C293" s="3" t="inlineStr">
        <is>
          <t>ASM-PRICE-056</t>
        </is>
      </c>
      <c r="D293" s="3" t="inlineStr">
        <is>
          <t>Technical Specification Writing</t>
        </is>
      </c>
      <c r="E293" s="3" t="inlineStr">
        <is>
          <t>PKG-08</t>
        </is>
      </c>
      <c r="F293" s="3" t="inlineStr">
        <is>
          <t>A-802</t>
        </is>
      </c>
      <c r="G293" s="3" t="inlineStr">
        <is>
          <t>DEL-08.02 Specification Writing Allowance</t>
        </is>
      </c>
    </row>
    <row r="294">
      <c r="A294" s="3" t="inlineStr">
        <is>
          <t>ASM-PRICE</t>
        </is>
      </c>
      <c r="B294" s="3" t="inlineStr">
        <is>
          <t>Pricing Allowances</t>
        </is>
      </c>
      <c r="C294" s="3" t="inlineStr">
        <is>
          <t>ASM-PRICE-056</t>
        </is>
      </c>
      <c r="D294" s="3" t="inlineStr">
        <is>
          <t>Technical Specification Writing</t>
        </is>
      </c>
      <c r="E294" s="3" t="inlineStr">
        <is>
          <t>PKG-08</t>
        </is>
      </c>
      <c r="F294" s="3" t="inlineStr">
        <is>
          <t>A-825</t>
        </is>
      </c>
      <c r="G294" s="3" t="inlineStr">
        <is>
          <t>NDT and Inspection Services Allowance</t>
        </is>
      </c>
    </row>
    <row r="295">
      <c r="A295" s="3" t="inlineStr">
        <is>
          <t>ASM-PRICE</t>
        </is>
      </c>
      <c r="B295" s="3" t="inlineStr">
        <is>
          <t>Pricing Allowances</t>
        </is>
      </c>
      <c r="C295" s="3" t="inlineStr">
        <is>
          <t>ASM-PRICE-056</t>
        </is>
      </c>
      <c r="D295" s="3" t="inlineStr">
        <is>
          <t>Technical Specification Writing</t>
        </is>
      </c>
      <c r="E295" s="3" t="inlineStr">
        <is>
          <t>PKG-10</t>
        </is>
      </c>
      <c r="F295" s="3" t="inlineStr">
        <is>
          <t>A-007</t>
        </is>
      </c>
      <c r="G295" s="3" t="inlineStr">
        <is>
          <t>DEL-10.02 Technical Specification engineering effort price..</t>
        </is>
      </c>
    </row>
    <row r="296">
      <c r="A296" s="3" t="inlineStr">
        <is>
          <t>ASM-PRICE</t>
        </is>
      </c>
      <c r="B296" s="3" t="inlineStr">
        <is>
          <t>Pricing Allowances</t>
        </is>
      </c>
      <c r="C296" s="3" t="inlineStr">
        <is>
          <t>ASM-PRICE-056</t>
        </is>
      </c>
      <c r="D296" s="3" t="inlineStr">
        <is>
          <t>Technical Specification Writing</t>
        </is>
      </c>
      <c r="E296" s="3" t="inlineStr">
        <is>
          <t>PKG-11</t>
        </is>
      </c>
      <c r="F296" s="3" t="inlineStr">
        <is>
          <t>A-008</t>
        </is>
      </c>
      <c r="G296" s="3" t="inlineStr">
        <is>
          <t>Technical specification requires ~100-120 hours at $200/hr</t>
        </is>
      </c>
    </row>
    <row r="297">
      <c r="A297" s="3" t="inlineStr">
        <is>
          <t>ASM-PRICE</t>
        </is>
      </c>
      <c r="B297" s="3" t="inlineStr">
        <is>
          <t>Pricing Allowances</t>
        </is>
      </c>
      <c r="C297" s="3" t="inlineStr">
        <is>
          <t>ASM-PRICE-056</t>
        </is>
      </c>
      <c r="D297" s="3" t="inlineStr">
        <is>
          <t>Technical Specification Writing</t>
        </is>
      </c>
      <c r="E297" s="3" t="inlineStr">
        <is>
          <t>PKG-14</t>
        </is>
      </c>
      <c r="F297" s="3" t="inlineStr">
        <is>
          <t>A-010</t>
        </is>
      </c>
      <c r="G297" s="3" t="inlineStr">
        <is>
          <t>Technical specification requires ~200 hours at $225/hr</t>
        </is>
      </c>
    </row>
    <row r="298">
      <c r="A298" s="3" t="inlineStr">
        <is>
          <t>ASM-PRICE</t>
        </is>
      </c>
      <c r="B298" s="3" t="inlineStr">
        <is>
          <t>Pricing Allowances</t>
        </is>
      </c>
      <c r="C298" s="3" t="inlineStr">
        <is>
          <t>ASM-PRICE-056</t>
        </is>
      </c>
      <c r="D298" s="3" t="inlineStr">
        <is>
          <t>Technical Specification Writing</t>
        </is>
      </c>
      <c r="E298" s="3" t="inlineStr">
        <is>
          <t>PKG-14</t>
        </is>
      </c>
      <c r="F298" s="3" t="inlineStr">
        <is>
          <t>A-021</t>
        </is>
      </c>
      <c r="G298" s="3" t="inlineStr">
        <is>
          <t>Specialty piping work (tie-ins, hot taps) at $45,000 allow..</t>
        </is>
      </c>
    </row>
    <row r="299">
      <c r="A299" s="3" t="inlineStr">
        <is>
          <t>ASM-PRICE</t>
        </is>
      </c>
      <c r="B299" s="3" t="inlineStr">
        <is>
          <t>Pricing Allowances</t>
        </is>
      </c>
      <c r="C299" s="3" t="inlineStr">
        <is>
          <t>ASM-PRICE-056</t>
        </is>
      </c>
      <c r="D299" s="3" t="inlineStr">
        <is>
          <t>Technical Specification Writing</t>
        </is>
      </c>
      <c r="E299" s="3" t="inlineStr">
        <is>
          <t>PKG-16</t>
        </is>
      </c>
      <c r="F299" s="3" t="inlineStr">
        <is>
          <t>A-1633</t>
        </is>
      </c>
      <c r="G299" s="3" t="inlineStr">
        <is>
          <t>Special tools (torque wrenches, hydrostatic test pump, val..</t>
        </is>
      </c>
    </row>
    <row r="300">
      <c r="A300" s="3" t="inlineStr">
        <is>
          <t>ASM-PRICE</t>
        </is>
      </c>
      <c r="B300" s="3" t="inlineStr">
        <is>
          <t>Pricing Allowances</t>
        </is>
      </c>
      <c r="C300" s="3" t="inlineStr">
        <is>
          <t>ASM-PRICE-056</t>
        </is>
      </c>
      <c r="D300" s="3" t="inlineStr">
        <is>
          <t>Technical Specification Writing</t>
        </is>
      </c>
      <c r="E300" s="3" t="inlineStr">
        <is>
          <t>PKG-17</t>
        </is>
      </c>
      <c r="F300" s="3" t="inlineStr">
        <is>
          <t>A-1702</t>
        </is>
      </c>
      <c r="G300" s="3" t="inlineStr">
        <is>
          <t>Electrical Power Technical Specification Allowance</t>
        </is>
      </c>
    </row>
    <row r="301">
      <c r="A301" s="3" t="inlineStr">
        <is>
          <t>ASM-PRICE</t>
        </is>
      </c>
      <c r="B301" s="3" t="inlineStr">
        <is>
          <t>Pricing Allowances</t>
        </is>
      </c>
      <c r="C301" s="3" t="inlineStr">
        <is>
          <t>ASM-PRICE-056</t>
        </is>
      </c>
      <c r="D301" s="3" t="inlineStr">
        <is>
          <t>Technical Specification Writing</t>
        </is>
      </c>
      <c r="E301" s="3" t="inlineStr">
        <is>
          <t>PKG-19</t>
        </is>
      </c>
      <c r="F301" s="3" t="inlineStr">
        <is>
          <t>A-016</t>
        </is>
      </c>
      <c r="G301" s="3" t="inlineStr">
        <is>
          <t>Technical specification effort: $40,000 (DCS/PLC + HMI + h..</t>
        </is>
      </c>
    </row>
    <row r="302">
      <c r="A302" s="3" t="inlineStr">
        <is>
          <t>ASM-PRICE</t>
        </is>
      </c>
      <c r="B302" s="3" t="inlineStr">
        <is>
          <t>Pricing Allowances</t>
        </is>
      </c>
      <c r="C302" s="3" t="inlineStr">
        <is>
          <t>ASM-PRICE-056</t>
        </is>
      </c>
      <c r="D302" s="3" t="inlineStr">
        <is>
          <t>Technical Specification Writing</t>
        </is>
      </c>
      <c r="E302" s="3" t="inlineStr">
        <is>
          <t>PKG-20</t>
        </is>
      </c>
      <c r="F302" s="3" t="inlineStr">
        <is>
          <t>A-012</t>
        </is>
      </c>
      <c r="G302" s="3" t="inlineStr">
        <is>
          <t>Technical Specification Effort</t>
        </is>
      </c>
    </row>
    <row r="303">
      <c r="A303" s="3" t="inlineStr">
        <is>
          <t>ASM-PRICE</t>
        </is>
      </c>
      <c r="B303" s="3" t="inlineStr">
        <is>
          <t>Pricing Allowances</t>
        </is>
      </c>
      <c r="C303" s="3" t="inlineStr">
        <is>
          <t>ASM-PRICE-056</t>
        </is>
      </c>
      <c r="D303" s="3" t="inlineStr">
        <is>
          <t>Technical Specification Writing</t>
        </is>
      </c>
      <c r="E303" s="3" t="inlineStr">
        <is>
          <t>PKG-21</t>
        </is>
      </c>
      <c r="F303" s="3" t="inlineStr">
        <is>
          <t>A-004</t>
        </is>
      </c>
      <c r="G303" s="3" t="inlineStr">
        <is>
          <t>Building specifications development at $25,000 allowance</t>
        </is>
      </c>
    </row>
    <row r="304">
      <c r="A304" s="3" t="inlineStr">
        <is>
          <t>ASM-PRICE</t>
        </is>
      </c>
      <c r="B304" s="3" t="inlineStr">
        <is>
          <t>Pricing Allowances</t>
        </is>
      </c>
      <c r="C304" s="3" t="inlineStr">
        <is>
          <t>ASM-PRICE-056</t>
        </is>
      </c>
      <c r="D304" s="3" t="inlineStr">
        <is>
          <t>Technical Specification Writing</t>
        </is>
      </c>
      <c r="E304" s="3" t="inlineStr">
        <is>
          <t>PKG-32</t>
        </is>
      </c>
      <c r="F304" s="3" t="inlineStr">
        <is>
          <t>A-3206</t>
        </is>
      </c>
      <c r="G304" s="3" t="inlineStr">
        <is>
          <t>Code Compliance Inspection Coordination Allowance</t>
        </is>
      </c>
    </row>
    <row r="305">
      <c r="A305" s="3" t="inlineStr">
        <is>
          <t>ASM-PRICE</t>
        </is>
      </c>
      <c r="B305" s="3" t="inlineStr">
        <is>
          <t>Pricing Allowances</t>
        </is>
      </c>
      <c r="C305" s="3" t="inlineStr">
        <is>
          <t>ASM-PRICE-057</t>
        </is>
      </c>
      <c r="D305" s="3" t="inlineStr">
        <is>
          <t>Engineering Drawing Production</t>
        </is>
      </c>
      <c r="E305" s="3" t="inlineStr">
        <is>
          <t>PKG-00</t>
        </is>
      </c>
      <c r="F305" s="3" t="inlineStr">
        <is>
          <t>A-001</t>
        </is>
      </c>
      <c r="G305" s="3" t="inlineStr">
        <is>
          <t>Site establishment drawing set (4 drawings) estimated at $..</t>
        </is>
      </c>
    </row>
    <row r="306">
      <c r="A306" s="3" t="inlineStr">
        <is>
          <t>ASM-PRICE</t>
        </is>
      </c>
      <c r="B306" s="3" t="inlineStr">
        <is>
          <t>Pricing Allowances</t>
        </is>
      </c>
      <c r="C306" s="3" t="inlineStr">
        <is>
          <t>ASM-PRICE-057</t>
        </is>
      </c>
      <c r="D306" s="3" t="inlineStr">
        <is>
          <t>Engineering Drawing Production</t>
        </is>
      </c>
      <c r="E306" s="3" t="inlineStr">
        <is>
          <t>PKG-00</t>
        </is>
      </c>
      <c r="F306" s="3" t="inlineStr">
        <is>
          <t>A-009</t>
        </is>
      </c>
      <c r="G306" s="3" t="inlineStr">
        <is>
          <t>Temporary water supply design drawings (3 drawings) estima..</t>
        </is>
      </c>
    </row>
    <row r="307">
      <c r="A307" s="3" t="inlineStr">
        <is>
          <t>ASM-PRICE</t>
        </is>
      </c>
      <c r="B307" s="3" t="inlineStr">
        <is>
          <t>Pricing Allowances</t>
        </is>
      </c>
      <c r="C307" s="3" t="inlineStr">
        <is>
          <t>ASM-PRICE-057</t>
        </is>
      </c>
      <c r="D307" s="3" t="inlineStr">
        <is>
          <t>Engineering Drawing Production</t>
        </is>
      </c>
      <c r="E307" s="3" t="inlineStr">
        <is>
          <t>PKG-01</t>
        </is>
      </c>
      <c r="F307" s="3" t="inlineStr">
        <is>
          <t>A-101</t>
        </is>
      </c>
      <c r="G307" s="3" t="inlineStr">
        <is>
          <t>Demolition Design Drawing Set Allowance</t>
        </is>
      </c>
    </row>
    <row r="308">
      <c r="A308" s="3" t="inlineStr">
        <is>
          <t>ASM-PRICE</t>
        </is>
      </c>
      <c r="B308" s="3" t="inlineStr">
        <is>
          <t>Pricing Allowances</t>
        </is>
      </c>
      <c r="C308" s="3" t="inlineStr">
        <is>
          <t>ASM-PRICE-057</t>
        </is>
      </c>
      <c r="D308" s="3" t="inlineStr">
        <is>
          <t>Engineering Drawing Production</t>
        </is>
      </c>
      <c r="E308" s="3" t="inlineStr">
        <is>
          <t>PKG-05</t>
        </is>
      </c>
      <c r="F308" s="3" t="inlineStr">
        <is>
          <t>A-001</t>
        </is>
      </c>
      <c r="G308" s="3" t="inlineStr">
        <is>
          <t>Concrete structures drawing set estimated at $85,000 CAD a..</t>
        </is>
      </c>
    </row>
    <row r="309">
      <c r="A309" s="3" t="inlineStr">
        <is>
          <t>ASM-PRICE</t>
        </is>
      </c>
      <c r="B309" s="3" t="inlineStr">
        <is>
          <t>Pricing Allowances</t>
        </is>
      </c>
      <c r="C309" s="3" t="inlineStr">
        <is>
          <t>ASM-PRICE-057</t>
        </is>
      </c>
      <c r="D309" s="3" t="inlineStr">
        <is>
          <t>Engineering Drawing Production</t>
        </is>
      </c>
      <c r="E309" s="3" t="inlineStr">
        <is>
          <t>PKG-06</t>
        </is>
      </c>
      <c r="F309" s="3" t="inlineStr">
        <is>
          <t>A-001</t>
        </is>
      </c>
      <c r="G309" s="3" t="inlineStr">
        <is>
          <t>Structural Steel Design Drawing Set Engineering Effort</t>
        </is>
      </c>
    </row>
    <row r="310">
      <c r="A310" s="3" t="inlineStr">
        <is>
          <t>ASM-PRICE</t>
        </is>
      </c>
      <c r="B310" s="3" t="inlineStr">
        <is>
          <t>Pricing Allowances</t>
        </is>
      </c>
      <c r="C310" s="3" t="inlineStr">
        <is>
          <t>ASM-PRICE-057</t>
        </is>
      </c>
      <c r="D310" s="3" t="inlineStr">
        <is>
          <t>Engineering Drawing Production</t>
        </is>
      </c>
      <c r="E310" s="3" t="inlineStr">
        <is>
          <t>PKG-08</t>
        </is>
      </c>
      <c r="F310" s="3" t="inlineStr">
        <is>
          <t>A-801</t>
        </is>
      </c>
      <c r="G310" s="3" t="inlineStr">
        <is>
          <t>DEL-08.01 Drawing Production Allowance</t>
        </is>
      </c>
    </row>
    <row r="311">
      <c r="A311" s="3" t="inlineStr">
        <is>
          <t>ASM-PRICE</t>
        </is>
      </c>
      <c r="B311" s="3" t="inlineStr">
        <is>
          <t>Pricing Allowances</t>
        </is>
      </c>
      <c r="C311" s="3" t="inlineStr">
        <is>
          <t>ASM-PRICE-057</t>
        </is>
      </c>
      <c r="D311" s="3" t="inlineStr">
        <is>
          <t>Engineering Drawing Production</t>
        </is>
      </c>
      <c r="E311" s="3" t="inlineStr">
        <is>
          <t>PKG-10</t>
        </is>
      </c>
      <c r="F311" s="3" t="inlineStr">
        <is>
          <t>A-006</t>
        </is>
      </c>
      <c r="G311" s="3" t="inlineStr">
        <is>
          <t>DEL-10.01 Design Drawing Set engineering effort priced at ..</t>
        </is>
      </c>
    </row>
    <row r="312">
      <c r="A312" s="3" t="inlineStr">
        <is>
          <t>ASM-PRICE</t>
        </is>
      </c>
      <c r="B312" s="3" t="inlineStr">
        <is>
          <t>Pricing Allowances</t>
        </is>
      </c>
      <c r="C312" s="3" t="inlineStr">
        <is>
          <t>ASM-PRICE-057</t>
        </is>
      </c>
      <c r="D312" s="3" t="inlineStr">
        <is>
          <t>Engineering Drawing Production</t>
        </is>
      </c>
      <c r="E312" s="3" t="inlineStr">
        <is>
          <t>PKG-11</t>
        </is>
      </c>
      <c r="F312" s="3" t="inlineStr">
        <is>
          <t>A-007</t>
        </is>
      </c>
      <c r="G312" s="3" t="inlineStr">
        <is>
          <t>Drawing set requires ~12-15 sheets at $3,000/sheet average</t>
        </is>
      </c>
    </row>
    <row r="313">
      <c r="A313" s="3" t="inlineStr">
        <is>
          <t>ASM-PRICE</t>
        </is>
      </c>
      <c r="B313" s="3" t="inlineStr">
        <is>
          <t>Pricing Allowances</t>
        </is>
      </c>
      <c r="C313" s="3" t="inlineStr">
        <is>
          <t>ASM-PRICE-057</t>
        </is>
      </c>
      <c r="D313" s="3" t="inlineStr">
        <is>
          <t>Engineering Drawing Production</t>
        </is>
      </c>
      <c r="E313" s="3" t="inlineStr">
        <is>
          <t>PKG-14</t>
        </is>
      </c>
      <c r="F313" s="3" t="inlineStr">
        <is>
          <t>A-009</t>
        </is>
      </c>
      <c r="G313" s="3" t="inlineStr">
        <is>
          <t>Drawing set requires ~50-60 sheets at $3,000/sheet average</t>
        </is>
      </c>
    </row>
    <row r="314">
      <c r="A314" s="3" t="inlineStr">
        <is>
          <t>ASM-PRICE</t>
        </is>
      </c>
      <c r="B314" s="3" t="inlineStr">
        <is>
          <t>Pricing Allowances</t>
        </is>
      </c>
      <c r="C314" s="3" t="inlineStr">
        <is>
          <t>ASM-PRICE-057</t>
        </is>
      </c>
      <c r="D314" s="3" t="inlineStr">
        <is>
          <t>Engineering Drawing Production</t>
        </is>
      </c>
      <c r="E314" s="3" t="inlineStr">
        <is>
          <t>PKG-17</t>
        </is>
      </c>
      <c r="F314" s="3" t="inlineStr">
        <is>
          <t>A-1701</t>
        </is>
      </c>
      <c r="G314" s="3" t="inlineStr">
        <is>
          <t>Electrical Power Design Drawing Set Allowance</t>
        </is>
      </c>
    </row>
    <row r="315">
      <c r="A315" s="3" t="inlineStr">
        <is>
          <t>ASM-PRICE</t>
        </is>
      </c>
      <c r="B315" s="3" t="inlineStr">
        <is>
          <t>Pricing Allowances</t>
        </is>
      </c>
      <c r="C315" s="3" t="inlineStr">
        <is>
          <t>ASM-PRICE-057</t>
        </is>
      </c>
      <c r="D315" s="3" t="inlineStr">
        <is>
          <t>Engineering Drawing Production</t>
        </is>
      </c>
      <c r="E315" s="3" t="inlineStr">
        <is>
          <t>PKG-19</t>
        </is>
      </c>
      <c r="F315" s="3" t="inlineStr">
        <is>
          <t>A-015</t>
        </is>
      </c>
      <c r="G315" s="3" t="inlineStr">
        <is>
          <t>Control system design drawings effort: $60,000 (architectu..</t>
        </is>
      </c>
    </row>
    <row r="316">
      <c r="A316" s="3" t="inlineStr">
        <is>
          <t>ASM-PRICE</t>
        </is>
      </c>
      <c r="B316" s="3" t="inlineStr">
        <is>
          <t>Pricing Allowances</t>
        </is>
      </c>
      <c r="C316" s="3" t="inlineStr">
        <is>
          <t>ASM-PRICE-057</t>
        </is>
      </c>
      <c r="D316" s="3" t="inlineStr">
        <is>
          <t>Engineering Drawing Production</t>
        </is>
      </c>
      <c r="E316" s="3" t="inlineStr">
        <is>
          <t>PKG-21</t>
        </is>
      </c>
      <c r="F316" s="3" t="inlineStr">
        <is>
          <t>A-007</t>
        </is>
      </c>
      <c r="G316" s="3" t="inlineStr">
        <is>
          <t>Shop drawing coordination and review at $15,000 allowance</t>
        </is>
      </c>
    </row>
    <row r="317">
      <c r="A317" s="3" t="inlineStr">
        <is>
          <t>ASM-PRICE</t>
        </is>
      </c>
      <c r="B317" s="3" t="inlineStr">
        <is>
          <t>Pricing Allowances</t>
        </is>
      </c>
      <c r="C317" s="3" t="inlineStr">
        <is>
          <t>ASM-PRICE-058</t>
        </is>
      </c>
      <c r="D317" s="3" t="inlineStr">
        <is>
          <t>Installation &amp; Test Records</t>
        </is>
      </c>
      <c r="E317" s="3" t="inlineStr">
        <is>
          <t>PKG-05</t>
        </is>
      </c>
      <c r="F317" s="3" t="inlineStr">
        <is>
          <t>A-004</t>
        </is>
      </c>
      <c r="G317" s="3" t="inlineStr">
        <is>
          <t>Concrete installation and test records documentation estim..</t>
        </is>
      </c>
    </row>
    <row r="318">
      <c r="A318" s="3" t="inlineStr">
        <is>
          <t>ASM-PRICE</t>
        </is>
      </c>
      <c r="B318" s="3" t="inlineStr">
        <is>
          <t>Pricing Allowances</t>
        </is>
      </c>
      <c r="C318" s="3" t="inlineStr">
        <is>
          <t>ASM-PRICE-058</t>
        </is>
      </c>
      <c r="D318" s="3" t="inlineStr">
        <is>
          <t>Installation &amp; Test Records</t>
        </is>
      </c>
      <c r="E318" s="3" t="inlineStr">
        <is>
          <t>PKG-06</t>
        </is>
      </c>
      <c r="F318" s="3" t="inlineStr">
        <is>
          <t>A-005</t>
        </is>
      </c>
      <c r="G318" s="3" t="inlineStr">
        <is>
          <t>Structural Steel QA/QC Records Compilation Effort</t>
        </is>
      </c>
    </row>
    <row r="319">
      <c r="A319" s="3" t="inlineStr">
        <is>
          <t>ASM-PRICE</t>
        </is>
      </c>
      <c r="B319" s="3" t="inlineStr">
        <is>
          <t>Pricing Allowances</t>
        </is>
      </c>
      <c r="C319" s="3" t="inlineStr">
        <is>
          <t>ASM-PRICE-058</t>
        </is>
      </c>
      <c r="D319" s="3" t="inlineStr">
        <is>
          <t>Installation &amp; Test Records</t>
        </is>
      </c>
      <c r="E319" s="3" t="inlineStr">
        <is>
          <t>PKG-08</t>
        </is>
      </c>
      <c r="F319" s="3" t="inlineStr">
        <is>
          <t>A-805</t>
        </is>
      </c>
      <c r="G319" s="3" t="inlineStr">
        <is>
          <t>DEL-08.05 Installation &amp; Test Records Allowance</t>
        </is>
      </c>
    </row>
    <row r="320">
      <c r="A320" s="3" t="inlineStr">
        <is>
          <t>ASM-PRICE</t>
        </is>
      </c>
      <c r="B320" s="3" t="inlineStr">
        <is>
          <t>Pricing Allowances</t>
        </is>
      </c>
      <c r="C320" s="3" t="inlineStr">
        <is>
          <t>ASM-PRICE-058</t>
        </is>
      </c>
      <c r="D320" s="3" t="inlineStr">
        <is>
          <t>Installation &amp; Test Records</t>
        </is>
      </c>
      <c r="E320" s="3" t="inlineStr">
        <is>
          <t>PKG-10</t>
        </is>
      </c>
      <c r="F320" s="3" t="inlineStr">
        <is>
          <t>A-010</t>
        </is>
      </c>
      <c r="G320" s="3" t="inlineStr">
        <is>
          <t>DEL-10.05 Installation &amp; Test Records engineering/QA effor..</t>
        </is>
      </c>
    </row>
    <row r="321">
      <c r="A321" s="3" t="inlineStr">
        <is>
          <t>ASM-PRICE</t>
        </is>
      </c>
      <c r="B321" s="3" t="inlineStr">
        <is>
          <t>Pricing Allowances</t>
        </is>
      </c>
      <c r="C321" s="3" t="inlineStr">
        <is>
          <t>ASM-PRICE-058</t>
        </is>
      </c>
      <c r="D321" s="3" t="inlineStr">
        <is>
          <t>Installation &amp; Test Records</t>
        </is>
      </c>
      <c r="E321" s="3" t="inlineStr">
        <is>
          <t>PKG-11</t>
        </is>
      </c>
      <c r="F321" s="3" t="inlineStr">
        <is>
          <t>A-011</t>
        </is>
      </c>
      <c r="G321" s="3" t="inlineStr">
        <is>
          <t>Installation &amp; test records require ~60 hours at $250/hr</t>
        </is>
      </c>
    </row>
    <row r="322">
      <c r="A322" s="3" t="inlineStr">
        <is>
          <t>ASM-PRICE</t>
        </is>
      </c>
      <c r="B322" s="3" t="inlineStr">
        <is>
          <t>Pricing Allowances</t>
        </is>
      </c>
      <c r="C322" s="3" t="inlineStr">
        <is>
          <t>ASM-PRICE-058</t>
        </is>
      </c>
      <c r="D322" s="3" t="inlineStr">
        <is>
          <t>Installation &amp; Test Records</t>
        </is>
      </c>
      <c r="E322" s="3" t="inlineStr">
        <is>
          <t>PKG-13</t>
        </is>
      </c>
      <c r="F322" s="3" t="inlineStr">
        <is>
          <t>A-015</t>
        </is>
      </c>
      <c r="G322" s="3" t="inlineStr">
        <is>
          <t>Test records</t>
        </is>
      </c>
    </row>
    <row r="323">
      <c r="A323" s="3" t="inlineStr">
        <is>
          <t>ASM-PRICE</t>
        </is>
      </c>
      <c r="B323" s="3" t="inlineStr">
        <is>
          <t>Pricing Allowances</t>
        </is>
      </c>
      <c r="C323" s="3" t="inlineStr">
        <is>
          <t>ASM-PRICE-058</t>
        </is>
      </c>
      <c r="D323" s="3" t="inlineStr">
        <is>
          <t>Installation &amp; Test Records</t>
        </is>
      </c>
      <c r="E323" s="3" t="inlineStr">
        <is>
          <t>PKG-14</t>
        </is>
      </c>
      <c r="F323" s="3" t="inlineStr">
        <is>
          <t>A-013</t>
        </is>
      </c>
      <c r="G323" s="3" t="inlineStr">
        <is>
          <t>Test record compilation requires ~140 hours at $250/hr</t>
        </is>
      </c>
    </row>
    <row r="324">
      <c r="A324" s="3" t="inlineStr">
        <is>
          <t>ASM-PRICE</t>
        </is>
      </c>
      <c r="B324" s="3" t="inlineStr">
        <is>
          <t>Pricing Allowances</t>
        </is>
      </c>
      <c r="C324" s="3" t="inlineStr">
        <is>
          <t>ASM-PRICE-058</t>
        </is>
      </c>
      <c r="D324" s="3" t="inlineStr">
        <is>
          <t>Installation &amp; Test Records</t>
        </is>
      </c>
      <c r="E324" s="3" t="inlineStr">
        <is>
          <t>PKG-17</t>
        </is>
      </c>
      <c r="F324" s="3" t="inlineStr">
        <is>
          <t>A-1705</t>
        </is>
      </c>
      <c r="G324" s="3" t="inlineStr">
        <is>
          <t>Electrical Power Installation &amp; Test Records Allowance</t>
        </is>
      </c>
    </row>
    <row r="325">
      <c r="A325" s="3" t="inlineStr">
        <is>
          <t>ASM-PRICE</t>
        </is>
      </c>
      <c r="B325" s="3" t="inlineStr">
        <is>
          <t>Pricing Allowances</t>
        </is>
      </c>
      <c r="C325" s="3" t="inlineStr">
        <is>
          <t>ASM-PRICE-058</t>
        </is>
      </c>
      <c r="D325" s="3" t="inlineStr">
        <is>
          <t>Installation &amp; Test Records</t>
        </is>
      </c>
      <c r="E325" s="3" t="inlineStr">
        <is>
          <t>PKG-20</t>
        </is>
      </c>
      <c r="F325" s="3" t="inlineStr">
        <is>
          <t>A-015</t>
        </is>
      </c>
      <c r="G325" s="3" t="inlineStr">
        <is>
          <t>Test Record Documentation</t>
        </is>
      </c>
    </row>
    <row r="326">
      <c r="A326" s="3" t="inlineStr">
        <is>
          <t>ASM-PRICE</t>
        </is>
      </c>
      <c r="B326" s="3" t="inlineStr">
        <is>
          <t>Pricing Allowances</t>
        </is>
      </c>
      <c r="C326" s="3" t="inlineStr">
        <is>
          <t>ASM-PRICE-059</t>
        </is>
      </c>
      <c r="D326" s="3" t="inlineStr">
        <is>
          <t>Data Sheet Package</t>
        </is>
      </c>
      <c r="E326" s="3" t="inlineStr">
        <is>
          <t>PKG-06</t>
        </is>
      </c>
      <c r="F326" s="3" t="inlineStr">
        <is>
          <t>A-004</t>
        </is>
      </c>
      <c r="G326" s="3" t="inlineStr">
        <is>
          <t>Structural Steel Data Sheet Package Compilation Effort</t>
        </is>
      </c>
    </row>
    <row r="327">
      <c r="A327" s="3" t="inlineStr">
        <is>
          <t>ASM-PRICE</t>
        </is>
      </c>
      <c r="B327" s="3" t="inlineStr">
        <is>
          <t>Pricing Allowances</t>
        </is>
      </c>
      <c r="C327" s="3" t="inlineStr">
        <is>
          <t>ASM-PRICE-059</t>
        </is>
      </c>
      <c r="D327" s="3" t="inlineStr">
        <is>
          <t>Data Sheet Package</t>
        </is>
      </c>
      <c r="E327" s="3" t="inlineStr">
        <is>
          <t>PKG-10</t>
        </is>
      </c>
      <c r="F327" s="3" t="inlineStr">
        <is>
          <t>A-009</t>
        </is>
      </c>
      <c r="G327" s="3" t="inlineStr">
        <is>
          <t>DEL-10.04 Data Sheet Package engineering effort priced at ..</t>
        </is>
      </c>
    </row>
    <row r="328">
      <c r="A328" s="3" t="inlineStr">
        <is>
          <t>ASM-PRICE</t>
        </is>
      </c>
      <c r="B328" s="3" t="inlineStr">
        <is>
          <t>Pricing Allowances</t>
        </is>
      </c>
      <c r="C328" s="3" t="inlineStr">
        <is>
          <t>ASM-PRICE-059</t>
        </is>
      </c>
      <c r="D328" s="3" t="inlineStr">
        <is>
          <t>Data Sheet Package</t>
        </is>
      </c>
      <c r="E328" s="3" t="inlineStr">
        <is>
          <t>PKG-11</t>
        </is>
      </c>
      <c r="F328" s="3" t="inlineStr">
        <is>
          <t>A-010</t>
        </is>
      </c>
      <c r="G328" s="3" t="inlineStr">
        <is>
          <t>Data sheet package requires ~40 hours at $200/hr</t>
        </is>
      </c>
    </row>
    <row r="329">
      <c r="A329" s="3" t="inlineStr">
        <is>
          <t>ASM-PRICE</t>
        </is>
      </c>
      <c r="B329" s="3" t="inlineStr">
        <is>
          <t>Pricing Allowances</t>
        </is>
      </c>
      <c r="C329" s="3" t="inlineStr">
        <is>
          <t>ASM-PRICE-059</t>
        </is>
      </c>
      <c r="D329" s="3" t="inlineStr">
        <is>
          <t>Data Sheet Package</t>
        </is>
      </c>
      <c r="E329" s="3" t="inlineStr">
        <is>
          <t>PKG-17</t>
        </is>
      </c>
      <c r="F329" s="3" t="inlineStr">
        <is>
          <t>A-1704</t>
        </is>
      </c>
      <c r="G329" s="3" t="inlineStr">
        <is>
          <t>Electrical Power Data Sheet Package Allowance</t>
        </is>
      </c>
    </row>
    <row r="330">
      <c r="A330" s="3" t="inlineStr">
        <is>
          <t>ASM-PRICE</t>
        </is>
      </c>
      <c r="B330" s="3" t="inlineStr">
        <is>
          <t>Pricing Allowances</t>
        </is>
      </c>
      <c r="C330" s="3" t="inlineStr">
        <is>
          <t>ASM-PRICE-059</t>
        </is>
      </c>
      <c r="D330" s="3" t="inlineStr">
        <is>
          <t>Data Sheet Package</t>
        </is>
      </c>
      <c r="E330" s="3" t="inlineStr">
        <is>
          <t>PKG-19</t>
        </is>
      </c>
      <c r="F330" s="3" t="inlineStr">
        <is>
          <t>A-017</t>
        </is>
      </c>
      <c r="G330" s="3" t="inlineStr">
        <is>
          <t>Data sheet package review effort: $20,000</t>
        </is>
      </c>
    </row>
    <row r="331">
      <c r="A331" s="3" t="inlineStr">
        <is>
          <t>ASM-PRICE</t>
        </is>
      </c>
      <c r="B331" s="3" t="inlineStr">
        <is>
          <t>Pricing Allowances</t>
        </is>
      </c>
      <c r="C331" s="3" t="inlineStr">
        <is>
          <t>ASM-PRICE-059</t>
        </is>
      </c>
      <c r="D331" s="3" t="inlineStr">
        <is>
          <t>Data Sheet Package</t>
        </is>
      </c>
      <c r="E331" s="3" t="inlineStr">
        <is>
          <t>PKG-21</t>
        </is>
      </c>
      <c r="F331" s="3" t="inlineStr">
        <is>
          <t>A-006</t>
        </is>
      </c>
      <c r="G331" s="3" t="inlineStr">
        <is>
          <t>Building data sheets and schedules at $8,000 allowance</t>
        </is>
      </c>
    </row>
    <row r="332">
      <c r="A332" s="3" t="inlineStr">
        <is>
          <t>ASM-PRICE</t>
        </is>
      </c>
      <c r="B332" s="3" t="inlineStr">
        <is>
          <t>Pricing Allowances</t>
        </is>
      </c>
      <c r="C332" s="3" t="inlineStr">
        <is>
          <t>ASM-PRICE-060</t>
        </is>
      </c>
      <c r="D332" s="3" t="inlineStr">
        <is>
          <t>32 individual spill containment pans (one per unloading station) at $8,000/unit.</t>
        </is>
      </c>
      <c r="E332" s="3" t="inlineStr">
        <is>
          <t>PKG-10</t>
        </is>
      </c>
      <c r="F332" s="3" t="inlineStr">
        <is>
          <t>A-004</t>
        </is>
      </c>
      <c r="G332" s="3" t="inlineStr">
        <is>
          <t>32 individual spill containment pans (one per unloading st..</t>
        </is>
      </c>
    </row>
    <row r="333">
      <c r="A333" s="3" t="inlineStr">
        <is>
          <t>ASM-PRICE</t>
        </is>
      </c>
      <c r="B333" s="3" t="inlineStr">
        <is>
          <t>Pricing Allowances</t>
        </is>
      </c>
      <c r="C333" s="3" t="inlineStr">
        <is>
          <t>ASM-PRICE-061</t>
        </is>
      </c>
      <c r="D333" s="3" t="inlineStr">
        <is>
          <t>7 doors (6 personnel + 1 overhead) at $4,500 average</t>
        </is>
      </c>
      <c r="E333" s="3" t="inlineStr">
        <is>
          <t>PKG-21</t>
        </is>
      </c>
      <c r="F333" s="3" t="inlineStr">
        <is>
          <t>A-010</t>
        </is>
      </c>
      <c r="G333" s="3" t="inlineStr">
        <is>
          <t>7 doors (6 personnel + 1 overhead) at $4,500 average</t>
        </is>
      </c>
    </row>
    <row r="334">
      <c r="A334" s="3" t="inlineStr">
        <is>
          <t>ASM-PRICE</t>
        </is>
      </c>
      <c r="B334" s="3" t="inlineStr">
        <is>
          <t>Pricing Allowances</t>
        </is>
      </c>
      <c r="C334" s="3" t="inlineStr">
        <is>
          <t>ASM-PRICE-062</t>
        </is>
      </c>
      <c r="D334" s="3" t="inlineStr">
        <is>
          <t>API 610 process pump costs estimated as follows:</t>
        </is>
      </c>
      <c r="E334" s="3" t="inlineStr">
        <is>
          <t>PKG-15</t>
        </is>
      </c>
      <c r="F334" s="3" t="inlineStr">
        <is>
          <t>A-002</t>
        </is>
      </c>
      <c r="G334" s="3" t="inlineStr">
        <is>
          <t>API 610 process pump costs estimated as follows:</t>
        </is>
      </c>
    </row>
    <row r="335">
      <c r="A335" s="3" t="inlineStr">
        <is>
          <t>ASM-PRICE</t>
        </is>
      </c>
      <c r="B335" s="3" t="inlineStr">
        <is>
          <t>Pricing Allowances</t>
        </is>
      </c>
      <c r="C335" s="3" t="inlineStr">
        <is>
          <t>ASM-PRICE-063</t>
        </is>
      </c>
      <c r="D335" s="3" t="inlineStr">
        <is>
          <t>Abutment Materials Allowance</t>
        </is>
      </c>
      <c r="E335" s="3" t="inlineStr">
        <is>
          <t>PKG-08</t>
        </is>
      </c>
      <c r="F335" s="3" t="inlineStr">
        <is>
          <t>A-816</t>
        </is>
      </c>
      <c r="G335" s="3" t="inlineStr">
        <is>
          <t>Abutment Materials Allowance</t>
        </is>
      </c>
    </row>
    <row r="336">
      <c r="A336" s="3" t="inlineStr">
        <is>
          <t>ASM-PRICE</t>
        </is>
      </c>
      <c r="B336" s="3" t="inlineStr">
        <is>
          <t>Pricing Allowances</t>
        </is>
      </c>
      <c r="C336" s="3" t="inlineStr">
        <is>
          <t>ASM-PRICE-064</t>
        </is>
      </c>
      <c r="D336" s="3" t="inlineStr">
        <is>
          <t>Actuator costs: Pneumatic $3k-$15k (size-dependent), Electric $8k-$40k (size-dep...</t>
        </is>
      </c>
      <c r="E336" s="3" t="inlineStr">
        <is>
          <t>PKG-16</t>
        </is>
      </c>
      <c r="F336" s="3" t="inlineStr">
        <is>
          <t>A-1626</t>
        </is>
      </c>
      <c r="G336" s="3" t="inlineStr">
        <is>
          <t>Actuator costs: Pneumatic $3k-$15k (size-dependent), Elect..</t>
        </is>
      </c>
    </row>
    <row r="337">
      <c r="A337" s="3" t="inlineStr">
        <is>
          <t>ASM-PRICE</t>
        </is>
      </c>
      <c r="B337" s="3" t="inlineStr">
        <is>
          <t>Pricing Allowances</t>
        </is>
      </c>
      <c r="C337" s="3" t="inlineStr">
        <is>
          <t>ASM-PRICE-065</t>
        </is>
      </c>
      <c r="D337" s="3" t="inlineStr">
        <is>
          <t>Building Size for MEP Allowance Scaling</t>
        </is>
      </c>
      <c r="E337" s="3" t="inlineStr">
        <is>
          <t>PKG-22</t>
        </is>
      </c>
      <c r="F337" s="3" t="inlineStr">
        <is>
          <t>A-022</t>
        </is>
      </c>
      <c r="G337" s="3" t="inlineStr">
        <is>
          <t>Building Size for MEP Allowance Scaling</t>
        </is>
      </c>
    </row>
    <row r="338">
      <c r="A338" s="3" t="inlineStr">
        <is>
          <t>ASM-PRICE</t>
        </is>
      </c>
      <c r="B338" s="3" t="inlineStr">
        <is>
          <t>Pricing Allowances</t>
        </is>
      </c>
      <c r="C338" s="3" t="inlineStr">
        <is>
          <t>ASM-PRICE-066</t>
        </is>
      </c>
      <c r="D338" s="3" t="inlineStr">
        <is>
          <t>Building commissioning coordination at $15,000</t>
        </is>
      </c>
      <c r="E338" s="3" t="inlineStr">
        <is>
          <t>PKG-21</t>
        </is>
      </c>
      <c r="F338" s="3" t="inlineStr">
        <is>
          <t>A-023</t>
        </is>
      </c>
      <c r="G338" s="3" t="inlineStr">
        <is>
          <t>Building commissioning coordination at $15,000</t>
        </is>
      </c>
    </row>
    <row r="339">
      <c r="A339" s="3" t="inlineStr">
        <is>
          <t>ASM-PRICE</t>
        </is>
      </c>
      <c r="B339" s="3" t="inlineStr">
        <is>
          <t>Pricing Allowances</t>
        </is>
      </c>
      <c r="C339" s="3" t="inlineStr">
        <is>
          <t>ASM-PRICE-067</t>
        </is>
      </c>
      <c r="D339" s="3" t="inlineStr">
        <is>
          <t>CEMP Compliance Monitoring Allowance</t>
        </is>
      </c>
      <c r="E339" s="3" t="inlineStr">
        <is>
          <t>PKG-33</t>
        </is>
      </c>
      <c r="F339" s="3" t="inlineStr">
        <is>
          <t>A-004</t>
        </is>
      </c>
      <c r="G339" s="3" t="inlineStr">
        <is>
          <t>CEMP Compliance Monitoring Allowance</t>
        </is>
      </c>
    </row>
    <row r="340">
      <c r="A340" s="3" t="inlineStr">
        <is>
          <t>ASM-PRICE</t>
        </is>
      </c>
      <c r="B340" s="3" t="inlineStr">
        <is>
          <t>Pricing Allowances</t>
        </is>
      </c>
      <c r="C340" s="3" t="inlineStr">
        <is>
          <t>ASM-PRICE-068</t>
        </is>
      </c>
      <c r="D340" s="3" t="inlineStr">
        <is>
          <t>Catwalk Structural Steel Supply Allowance</t>
        </is>
      </c>
      <c r="E340" s="3" t="inlineStr">
        <is>
          <t>PKG-08</t>
        </is>
      </c>
      <c r="F340" s="3" t="inlineStr">
        <is>
          <t>A-815</t>
        </is>
      </c>
      <c r="G340" s="3" t="inlineStr">
        <is>
          <t>Catwalk Structural Steel Supply Allowance</t>
        </is>
      </c>
    </row>
    <row r="341">
      <c r="A341" s="3" t="inlineStr">
        <is>
          <t>ASM-PRICE</t>
        </is>
      </c>
      <c r="B341" s="3" t="inlineStr">
        <is>
          <t>Pricing Allowances</t>
        </is>
      </c>
      <c r="C341" s="3" t="inlineStr">
        <is>
          <t>ASM-PRICE-069</t>
        </is>
      </c>
      <c r="D341" s="3" t="inlineStr">
        <is>
          <t>Catwalk and Abutment Installation Allowance</t>
        </is>
      </c>
      <c r="E341" s="3" t="inlineStr">
        <is>
          <t>PKG-08</t>
        </is>
      </c>
      <c r="F341" s="3" t="inlineStr">
        <is>
          <t>A-822</t>
        </is>
      </c>
      <c r="G341" s="3" t="inlineStr">
        <is>
          <t>Catwalk and Abutment Installation Allowance</t>
        </is>
      </c>
    </row>
    <row r="342">
      <c r="A342" s="3" t="inlineStr">
        <is>
          <t>ASM-PRICE</t>
        </is>
      </c>
      <c r="B342" s="3" t="inlineStr">
        <is>
          <t>Pricing Allowances</t>
        </is>
      </c>
      <c r="C342" s="3" t="inlineStr">
        <is>
          <t>ASM-PRICE-070</t>
        </is>
      </c>
      <c r="D342" s="3" t="inlineStr">
        <is>
          <t>Commissioning Parametric Allowance</t>
        </is>
      </c>
      <c r="E342" s="3" t="inlineStr">
        <is>
          <t>PKG-32</t>
        </is>
      </c>
      <c r="F342" s="3" t="inlineStr">
        <is>
          <t>A-3213</t>
        </is>
      </c>
      <c r="G342" s="3" t="inlineStr">
        <is>
          <t>Commissioning Parametric Allowance</t>
        </is>
      </c>
    </row>
    <row r="343">
      <c r="A343" s="3" t="inlineStr">
        <is>
          <t>ASM-PRICE</t>
        </is>
      </c>
      <c r="B343" s="3" t="inlineStr">
        <is>
          <t>Pricing Allowances</t>
        </is>
      </c>
      <c r="C343" s="3" t="inlineStr">
        <is>
          <t>ASM-PRICE-071</t>
        </is>
      </c>
      <c r="D343" s="3" t="inlineStr">
        <is>
          <t>Concrete testing and quality control services estimated at $65,000 CAD allowance...</t>
        </is>
      </c>
      <c r="E343" s="3" t="inlineStr">
        <is>
          <t>PKG-05</t>
        </is>
      </c>
      <c r="F343" s="3" t="inlineStr">
        <is>
          <t>A-013</t>
        </is>
      </c>
      <c r="G343" s="3" t="inlineStr">
        <is>
          <t>Concrete testing and quality control services estimated at..</t>
        </is>
      </c>
    </row>
    <row r="344">
      <c r="A344" s="3" t="inlineStr">
        <is>
          <t>ASM-PRICE</t>
        </is>
      </c>
      <c r="B344" s="3" t="inlineStr">
        <is>
          <t>Pricing Allowances</t>
        </is>
      </c>
      <c r="C344" s="3" t="inlineStr">
        <is>
          <t>ASM-PRICE-072</t>
        </is>
      </c>
      <c r="D344" s="3" t="inlineStr">
        <is>
          <t>Containment sump construction at $45,000</t>
        </is>
      </c>
      <c r="E344" s="3" t="inlineStr">
        <is>
          <t>PKG-11</t>
        </is>
      </c>
      <c r="F344" s="3" t="inlineStr">
        <is>
          <t>A-015</t>
        </is>
      </c>
      <c r="G344" s="3" t="inlineStr">
        <is>
          <t>Containment sump construction at $45,000</t>
        </is>
      </c>
    </row>
    <row r="345">
      <c r="A345" s="3" t="inlineStr">
        <is>
          <t>ASM-PRICE</t>
        </is>
      </c>
      <c r="B345" s="3" t="inlineStr">
        <is>
          <t>Pricing Allowances</t>
        </is>
      </c>
      <c r="C345" s="3" t="inlineStr">
        <is>
          <t>ASM-PRICE-073</t>
        </is>
      </c>
      <c r="D345" s="3" t="inlineStr">
        <is>
          <t>Control system software licenses: $100,000 (DCS/PLC + HMI + historian)</t>
        </is>
      </c>
      <c r="E345" s="3" t="inlineStr">
        <is>
          <t>PKG-19</t>
        </is>
      </c>
      <c r="F345" s="3" t="inlineStr">
        <is>
          <t>A-019</t>
        </is>
      </c>
      <c r="G345" s="3" t="inlineStr">
        <is>
          <t>Control system software licenses: $100,000 (DCS/PLC + HMI ..</t>
        </is>
      </c>
    </row>
    <row r="346">
      <c r="A346" s="3" t="inlineStr">
        <is>
          <t>ASM-PRICE</t>
        </is>
      </c>
      <c r="B346" s="3" t="inlineStr">
        <is>
          <t>Pricing Allowances</t>
        </is>
      </c>
      <c r="C346" s="3" t="inlineStr">
        <is>
          <t>ASM-PRICE-074</t>
        </is>
      </c>
      <c r="D346" s="3" t="inlineStr">
        <is>
          <t>Correspondence Filing and Archiving Allowance</t>
        </is>
      </c>
      <c r="E346" s="3" t="inlineStr">
        <is>
          <t>PKG-32</t>
        </is>
      </c>
      <c r="F346" s="3" t="inlineStr">
        <is>
          <t>A-3210</t>
        </is>
      </c>
      <c r="G346" s="3" t="inlineStr">
        <is>
          <t>Correspondence Filing and Archiving Allowance</t>
        </is>
      </c>
    </row>
    <row r="347">
      <c r="A347" s="3" t="inlineStr">
        <is>
          <t>ASM-PRICE</t>
        </is>
      </c>
      <c r="B347" s="3" t="inlineStr">
        <is>
          <t>Pricing Allowances</t>
        </is>
      </c>
      <c r="C347" s="3" t="inlineStr">
        <is>
          <t>ASM-PRICE-075</t>
        </is>
      </c>
      <c r="D347" s="3" t="inlineStr">
        <is>
          <t>Correspondence Register Setup and Maintenance Allowance</t>
        </is>
      </c>
      <c r="E347" s="3" t="inlineStr">
        <is>
          <t>PKG-32</t>
        </is>
      </c>
      <c r="F347" s="3" t="inlineStr">
        <is>
          <t>A-3209</t>
        </is>
      </c>
      <c r="G347" s="3" t="inlineStr">
        <is>
          <t>Correspondence Register Setup and Maintenance Allowance</t>
        </is>
      </c>
    </row>
    <row r="348">
      <c r="A348" s="3" t="inlineStr">
        <is>
          <t>ASM-PRICE</t>
        </is>
      </c>
      <c r="B348" s="3" t="inlineStr">
        <is>
          <t>Pricing Allowances</t>
        </is>
      </c>
      <c r="C348" s="3" t="inlineStr">
        <is>
          <t>ASM-PRICE-076</t>
        </is>
      </c>
      <c r="D348" s="3" t="inlineStr">
        <is>
          <t>Corrosion protection allowance of $35,000 for marine environment</t>
        </is>
      </c>
      <c r="E348" s="3" t="inlineStr">
        <is>
          <t>PKG-21</t>
        </is>
      </c>
      <c r="F348" s="3" t="inlineStr">
        <is>
          <t>A-014</t>
        </is>
      </c>
      <c r="G348" s="3" t="inlineStr">
        <is>
          <t>Corrosion protection allowance of $35,000 for marine envir..</t>
        </is>
      </c>
    </row>
    <row r="349">
      <c r="A349" s="3" t="inlineStr">
        <is>
          <t>ASM-PRICE</t>
        </is>
      </c>
      <c r="B349" s="3" t="inlineStr">
        <is>
          <t>Pricing Allowances</t>
        </is>
      </c>
      <c r="C349" s="3" t="inlineStr">
        <is>
          <t>ASM-PRICE-077</t>
        </is>
      </c>
      <c r="D349" s="3" t="inlineStr">
        <is>
          <t>DEL-08.04 Marine Geotechnical Report Allowance</t>
        </is>
      </c>
      <c r="E349" s="3" t="inlineStr">
        <is>
          <t>PKG-08</t>
        </is>
      </c>
      <c r="F349" s="3" t="inlineStr">
        <is>
          <t>A-804</t>
        </is>
      </c>
      <c r="G349" s="3" t="inlineStr">
        <is>
          <t>DEL-08.04 Marine Geotechnical Report Allowance</t>
        </is>
      </c>
    </row>
    <row r="350">
      <c r="A350" s="3" t="inlineStr">
        <is>
          <t>ASM-PRICE</t>
        </is>
      </c>
      <c r="B350" s="3" t="inlineStr">
        <is>
          <t>Pricing Allowances</t>
        </is>
      </c>
      <c r="C350" s="3" t="inlineStr">
        <is>
          <t>ASM-PRICE-078</t>
        </is>
      </c>
      <c r="D350" s="3" t="inlineStr">
        <is>
          <t>DEL-08.06 Berthing Energy Report Allowance</t>
        </is>
      </c>
      <c r="E350" s="3" t="inlineStr">
        <is>
          <t>PKG-08</t>
        </is>
      </c>
      <c r="F350" s="3" t="inlineStr">
        <is>
          <t>A-806</t>
        </is>
      </c>
      <c r="G350" s="3" t="inlineStr">
        <is>
          <t>DEL-08.06 Berthing Energy Report Allowance</t>
        </is>
      </c>
    </row>
    <row r="351">
      <c r="A351" s="3" t="inlineStr">
        <is>
          <t>ASM-PRICE</t>
        </is>
      </c>
      <c r="B351" s="3" t="inlineStr">
        <is>
          <t>Pricing Allowances</t>
        </is>
      </c>
      <c r="C351" s="3" t="inlineStr">
        <is>
          <t>ASM-PRICE-079</t>
        </is>
      </c>
      <c r="D351" s="3" t="inlineStr">
        <is>
          <t>DEL-08.07 Fender Data Package Allowance</t>
        </is>
      </c>
      <c r="E351" s="3" t="inlineStr">
        <is>
          <t>PKG-08</t>
        </is>
      </c>
      <c r="F351" s="3" t="inlineStr">
        <is>
          <t>A-807</t>
        </is>
      </c>
      <c r="G351" s="3" t="inlineStr">
        <is>
          <t>DEL-08.07 Fender Data Package Allowance</t>
        </is>
      </c>
    </row>
    <row r="352">
      <c r="A352" s="3" t="inlineStr">
        <is>
          <t>ASM-PRICE</t>
        </is>
      </c>
      <c r="B352" s="3" t="inlineStr">
        <is>
          <t>Pricing Allowances</t>
        </is>
      </c>
      <c r="C352" s="3" t="inlineStr">
        <is>
          <t>ASM-PRICE-080</t>
        </is>
      </c>
      <c r="D352" s="3" t="inlineStr">
        <is>
          <t>DEL-08.08 Fender Supplier Verification Allowance</t>
        </is>
      </c>
      <c r="E352" s="3" t="inlineStr">
        <is>
          <t>PKG-08</t>
        </is>
      </c>
      <c r="F352" s="3" t="inlineStr">
        <is>
          <t>A-808</t>
        </is>
      </c>
      <c r="G352" s="3" t="inlineStr">
        <is>
          <t>DEL-08.08 Fender Supplier Verification Allowance</t>
        </is>
      </c>
    </row>
    <row r="353">
      <c r="A353" s="3" t="inlineStr">
        <is>
          <t>ASM-PRICE</t>
        </is>
      </c>
      <c r="B353" s="3" t="inlineStr">
        <is>
          <t>Pricing Allowances</t>
        </is>
      </c>
      <c r="C353" s="3" t="inlineStr">
        <is>
          <t>ASM-PRICE-081</t>
        </is>
      </c>
      <c r="D353" s="3" t="inlineStr">
        <is>
          <t>DEL-08.09 Mooring Analysis Report Allowance</t>
        </is>
      </c>
      <c r="E353" s="3" t="inlineStr">
        <is>
          <t>PKG-08</t>
        </is>
      </c>
      <c r="F353" s="3" t="inlineStr">
        <is>
          <t>A-809</t>
        </is>
      </c>
      <c r="G353" s="3" t="inlineStr">
        <is>
          <t>DEL-08.09 Mooring Analysis Report Allowance</t>
        </is>
      </c>
    </row>
    <row r="354">
      <c r="A354" s="3" t="inlineStr">
        <is>
          <t>ASM-PRICE</t>
        </is>
      </c>
      <c r="B354" s="3" t="inlineStr">
        <is>
          <t>Pricing Allowances</t>
        </is>
      </c>
      <c r="C354" s="3" t="inlineStr">
        <is>
          <t>ASM-PRICE-082</t>
        </is>
      </c>
      <c r="D354" s="3" t="inlineStr">
        <is>
          <t>DEL-08.10 Current Assessment Report Allowance</t>
        </is>
      </c>
      <c r="E354" s="3" t="inlineStr">
        <is>
          <t>PKG-08</t>
        </is>
      </c>
      <c r="F354" s="3" t="inlineStr">
        <is>
          <t>A-810</t>
        </is>
      </c>
      <c r="G354" s="3" t="inlineStr">
        <is>
          <t>DEL-08.10 Current Assessment Report Allowance</t>
        </is>
      </c>
    </row>
    <row r="355">
      <c r="A355" s="3" t="inlineStr">
        <is>
          <t>ASM-PRICE</t>
        </is>
      </c>
      <c r="B355" s="3" t="inlineStr">
        <is>
          <t>Pricing Allowances</t>
        </is>
      </c>
      <c r="C355" s="3" t="inlineStr">
        <is>
          <t>ASM-PRICE-083</t>
        </is>
      </c>
      <c r="D355" s="3" t="inlineStr">
        <is>
          <t>DEL-08.11 Debris Loading Basis Note Allowance</t>
        </is>
      </c>
      <c r="E355" s="3" t="inlineStr">
        <is>
          <t>PKG-08</t>
        </is>
      </c>
      <c r="F355" s="3" t="inlineStr">
        <is>
          <t>A-811</t>
        </is>
      </c>
      <c r="G355" s="3" t="inlineStr">
        <is>
          <t>DEL-08.11 Debris Loading Basis Note Allowance</t>
        </is>
      </c>
    </row>
    <row r="356">
      <c r="A356" s="3" t="inlineStr">
        <is>
          <t>ASM-PRICE</t>
        </is>
      </c>
      <c r="B356" s="3" t="inlineStr">
        <is>
          <t>Pricing Allowances</t>
        </is>
      </c>
      <c r="C356" s="3" t="inlineStr">
        <is>
          <t>ASM-PRICE-084</t>
        </is>
      </c>
      <c r="D356" s="3" t="inlineStr">
        <is>
          <t>DFO Compliance Monitoring Allowance</t>
        </is>
      </c>
      <c r="E356" s="3" t="inlineStr">
        <is>
          <t>PKG-32</t>
        </is>
      </c>
      <c r="F356" s="3" t="inlineStr">
        <is>
          <t>A-3204</t>
        </is>
      </c>
      <c r="G356" s="3" t="inlineStr">
        <is>
          <t>DFO Compliance Monitoring Allowance</t>
        </is>
      </c>
    </row>
    <row r="357">
      <c r="A357" s="3" t="inlineStr">
        <is>
          <t>ASM-PRICE</t>
        </is>
      </c>
      <c r="B357" s="3" t="inlineStr">
        <is>
          <t>Pricing Allowances</t>
        </is>
      </c>
      <c r="C357" s="3" t="inlineStr">
        <is>
          <t>ASM-PRICE-085</t>
        </is>
      </c>
      <c r="D357" s="3" t="inlineStr">
        <is>
          <t>Defects Liability Support Allowance ($165,000)</t>
        </is>
      </c>
      <c r="E357" s="3" t="inlineStr">
        <is>
          <t>PKG-35</t>
        </is>
      </c>
      <c r="F357" s="3" t="inlineStr">
        <is>
          <t>A-005</t>
        </is>
      </c>
      <c r="G357" s="3" t="inlineStr">
        <is>
          <t>Defects Liability Support Allowance ($165,000)</t>
        </is>
      </c>
    </row>
    <row r="358">
      <c r="A358" s="3" t="inlineStr">
        <is>
          <t>ASM-PRICE</t>
        </is>
      </c>
      <c r="B358" s="3" t="inlineStr">
        <is>
          <t>Pricing Allowances</t>
        </is>
      </c>
      <c r="C358" s="3" t="inlineStr">
        <is>
          <t>ASM-PRICE-086</t>
        </is>
      </c>
      <c r="D358" s="3" t="inlineStr">
        <is>
          <t>Demolition Materials and Temporary Works Allowance</t>
        </is>
      </c>
      <c r="E358" s="3" t="inlineStr">
        <is>
          <t>PKG-01</t>
        </is>
      </c>
      <c r="F358" s="3" t="inlineStr">
        <is>
          <t>A-109</t>
        </is>
      </c>
      <c r="G358" s="3" t="inlineStr">
        <is>
          <t>Demolition Materials and Temporary Works Allowance</t>
        </is>
      </c>
    </row>
    <row r="359">
      <c r="A359" s="3" t="inlineStr">
        <is>
          <t>ASM-PRICE</t>
        </is>
      </c>
      <c r="B359" s="3" t="inlineStr">
        <is>
          <t>Pricing Allowances</t>
        </is>
      </c>
      <c r="C359" s="3" t="inlineStr">
        <is>
          <t>ASM-PRICE-087</t>
        </is>
      </c>
      <c r="D359" s="3" t="inlineStr">
        <is>
          <t>Demolition Procedures Allowance</t>
        </is>
      </c>
      <c r="E359" s="3" t="inlineStr">
        <is>
          <t>PKG-01</t>
        </is>
      </c>
      <c r="F359" s="3" t="inlineStr">
        <is>
          <t>A-103</t>
        </is>
      </c>
      <c r="G359" s="3" t="inlineStr">
        <is>
          <t>Demolition Procedures Allowance</t>
        </is>
      </c>
    </row>
    <row r="360">
      <c r="A360" s="3" t="inlineStr">
        <is>
          <t>ASM-PRICE</t>
        </is>
      </c>
      <c r="B360" s="3" t="inlineStr">
        <is>
          <t>Pricing Allowances</t>
        </is>
      </c>
      <c r="C360" s="3" t="inlineStr">
        <is>
          <t>ASM-PRICE-088</t>
        </is>
      </c>
      <c r="D360" s="3" t="inlineStr">
        <is>
          <t>Demolition Records QA/QC Allowance</t>
        </is>
      </c>
      <c r="E360" s="3" t="inlineStr">
        <is>
          <t>PKG-01</t>
        </is>
      </c>
      <c r="F360" s="3" t="inlineStr">
        <is>
          <t>A-104</t>
        </is>
      </c>
      <c r="G360" s="3" t="inlineStr">
        <is>
          <t>Demolition Records QA/QC Allowance</t>
        </is>
      </c>
    </row>
    <row r="361">
      <c r="A361" s="3" t="inlineStr">
        <is>
          <t>ASM-PRICE</t>
        </is>
      </c>
      <c r="B361" s="3" t="inlineStr">
        <is>
          <t>Pricing Allowances</t>
        </is>
      </c>
      <c r="C361" s="3" t="inlineStr">
        <is>
          <t>ASM-PRICE-089</t>
        </is>
      </c>
      <c r="D361" s="3" t="inlineStr">
        <is>
          <t>Dolphin 2 Marine Demolition Allowance</t>
        </is>
      </c>
      <c r="E361" s="3" t="inlineStr">
        <is>
          <t>PKG-01</t>
        </is>
      </c>
      <c r="F361" s="3" t="inlineStr">
        <is>
          <t>A-106</t>
        </is>
      </c>
      <c r="G361" s="3" t="inlineStr">
        <is>
          <t>Dolphin 2 Marine Demolition Allowance</t>
        </is>
      </c>
    </row>
    <row r="362">
      <c r="A362" s="3" t="inlineStr">
        <is>
          <t>ASM-PRICE</t>
        </is>
      </c>
      <c r="B362" s="3" t="inlineStr">
        <is>
          <t>Pricing Allowances</t>
        </is>
      </c>
      <c r="C362" s="3" t="inlineStr">
        <is>
          <t>ASM-PRICE-090</t>
        </is>
      </c>
      <c r="D362" s="3" t="inlineStr">
        <is>
          <t>Door and window installation at $18,000 allowance</t>
        </is>
      </c>
      <c r="E362" s="3" t="inlineStr">
        <is>
          <t>PKG-21</t>
        </is>
      </c>
      <c r="F362" s="3" t="inlineStr">
        <is>
          <t>A-018</t>
        </is>
      </c>
      <c r="G362" s="3" t="inlineStr">
        <is>
          <t>Door and window installation at $18,000 allowance</t>
        </is>
      </c>
    </row>
    <row r="363">
      <c r="A363" s="3" t="inlineStr">
        <is>
          <t>ASM-PRICE</t>
        </is>
      </c>
      <c r="B363" s="3" t="inlineStr">
        <is>
          <t>Pricing Allowances</t>
        </is>
      </c>
      <c r="C363" s="3" t="inlineStr">
        <is>
          <t>ASM-PRICE-091</t>
        </is>
      </c>
      <c r="D363" s="3" t="inlineStr">
        <is>
          <t>E&amp;I materials at $65,000 + installation at $100,000</t>
        </is>
      </c>
      <c r="E363" s="3" t="inlineStr">
        <is>
          <t>PKG-11</t>
        </is>
      </c>
      <c r="F363" s="3" t="inlineStr">
        <is>
          <t>A-014</t>
        </is>
      </c>
      <c r="G363" s="3" t="inlineStr">
        <is>
          <t>E&amp;I materials at $65,000 + installation at $100,000</t>
        </is>
      </c>
    </row>
    <row r="364">
      <c r="A364" s="3" t="inlineStr">
        <is>
          <t>ASM-PRICE</t>
        </is>
      </c>
      <c r="B364" s="3" t="inlineStr">
        <is>
          <t>Pricing Allowances</t>
        </is>
      </c>
      <c r="C364" s="3" t="inlineStr">
        <is>
          <t>ASM-PRICE-092</t>
        </is>
      </c>
      <c r="D364" s="3" t="inlineStr">
        <is>
          <t>EPCM/Project Management estimated at 6% of (CD + CI + MAT) = 6% × ($53,200 + $9,...</t>
        </is>
      </c>
      <c r="E364" s="3" t="inlineStr">
        <is>
          <t>PKG-15</t>
        </is>
      </c>
      <c r="F364" s="3" t="inlineStr">
        <is>
          <t>A-008</t>
        </is>
      </c>
      <c r="G364" s="3" t="inlineStr">
        <is>
          <t>EPCM/Project Management estimated at 6% of (CD + CI + MAT)..</t>
        </is>
      </c>
    </row>
    <row r="365">
      <c r="A365" s="3" t="inlineStr">
        <is>
          <t>ASM-PRICE</t>
        </is>
      </c>
      <c r="B365" s="3" t="inlineStr">
        <is>
          <t>Pricing Allowances</t>
        </is>
      </c>
      <c r="C365" s="3" t="inlineStr">
        <is>
          <t>ASM-PRICE-093</t>
        </is>
      </c>
      <c r="D365" s="3" t="inlineStr">
        <is>
          <t>Electrical Installation Materials Allowance</t>
        </is>
      </c>
      <c r="E365" s="3" t="inlineStr">
        <is>
          <t>PKG-17</t>
        </is>
      </c>
      <c r="F365" s="3" t="inlineStr">
        <is>
          <t>A-1718</t>
        </is>
      </c>
      <c r="G365" s="3" t="inlineStr">
        <is>
          <t>Electrical Installation Materials Allowance</t>
        </is>
      </c>
    </row>
    <row r="366">
      <c r="A366" s="3" t="inlineStr">
        <is>
          <t>ASM-PRICE</t>
        </is>
      </c>
      <c r="B366" s="3" t="inlineStr">
        <is>
          <t>Pricing Allowances</t>
        </is>
      </c>
      <c r="C366" s="3" t="inlineStr">
        <is>
          <t>ASM-PRICE-094</t>
        </is>
      </c>
      <c r="D366" s="3" t="inlineStr">
        <is>
          <t>Emergency Response Plan Allowance</t>
        </is>
      </c>
      <c r="E366" s="3" t="inlineStr">
        <is>
          <t>PKG-33</t>
        </is>
      </c>
      <c r="F366" s="3" t="inlineStr">
        <is>
          <t>A-007</t>
        </is>
      </c>
      <c r="G366" s="3" t="inlineStr">
        <is>
          <t>Emergency Response Plan Allowance</t>
        </is>
      </c>
    </row>
    <row r="367">
      <c r="A367" s="3" t="inlineStr">
        <is>
          <t>ASM-PRICE</t>
        </is>
      </c>
      <c r="B367" s="3" t="inlineStr">
        <is>
          <t>Pricing Allowances</t>
        </is>
      </c>
      <c r="C367" s="3" t="inlineStr">
        <is>
          <t>ASM-PRICE-095</t>
        </is>
      </c>
      <c r="D367" s="3" t="inlineStr">
        <is>
          <t>Equipment schedule documents (2 documents) estimated at $5,000 CAD allowance.</t>
        </is>
      </c>
      <c r="E367" s="3" t="inlineStr">
        <is>
          <t>PKG-00</t>
        </is>
      </c>
      <c r="F367" s="3" t="inlineStr">
        <is>
          <t>A-004</t>
        </is>
      </c>
      <c r="G367" s="3" t="inlineStr">
        <is>
          <t>Equipment schedule documents (2 documents) estimated at $5..</t>
        </is>
      </c>
    </row>
    <row r="368">
      <c r="A368" s="3" t="inlineStr">
        <is>
          <t>ASM-PRICE</t>
        </is>
      </c>
      <c r="B368" s="3" t="inlineStr">
        <is>
          <t>Pricing Allowances</t>
        </is>
      </c>
      <c r="C368" s="3" t="inlineStr">
        <is>
          <t>ASM-PRICE-096</t>
        </is>
      </c>
      <c r="D368" s="3" t="inlineStr">
        <is>
          <t>Expansion joints/loops allowance $65,000</t>
        </is>
      </c>
      <c r="E368" s="3" t="inlineStr">
        <is>
          <t>PKG-14</t>
        </is>
      </c>
      <c r="F368" s="3" t="inlineStr">
        <is>
          <t>A-018</t>
        </is>
      </c>
      <c r="G368" s="3" t="inlineStr">
        <is>
          <t>Expansion joints/loops allowance $65,000</t>
        </is>
      </c>
    </row>
    <row r="369">
      <c r="A369" s="3" t="inlineStr">
        <is>
          <t>ASM-PRICE</t>
        </is>
      </c>
      <c r="B369" s="3" t="inlineStr">
        <is>
          <t>Pricing Allowances</t>
        </is>
      </c>
      <c r="C369" s="3" t="inlineStr">
        <is>
          <t>ASM-PRICE-097</t>
        </is>
      </c>
      <c r="D369" s="3" t="inlineStr">
        <is>
          <t>FAT $25,000 + SAT $20,000 + commissioning support $10,000</t>
        </is>
      </c>
      <c r="E369" s="3" t="inlineStr">
        <is>
          <t>PKG-19</t>
        </is>
      </c>
      <c r="F369" s="3" t="inlineStr">
        <is>
          <t>A-022</t>
        </is>
      </c>
      <c r="G369" s="3" t="inlineStr">
        <is>
          <t>FAT $25,000 + SAT $20,000 + commissioning support $10,000</t>
        </is>
      </c>
    </row>
    <row r="370">
      <c r="A370" s="3" t="inlineStr">
        <is>
          <t>ASM-PRICE</t>
        </is>
      </c>
      <c r="B370" s="3" t="inlineStr">
        <is>
          <t>Pricing Allowances</t>
        </is>
      </c>
      <c r="C370" s="3" t="inlineStr">
        <is>
          <t>ASM-PRICE-098</t>
        </is>
      </c>
      <c r="D370" s="3" t="inlineStr">
        <is>
          <t>Fencing Removal Allowance</t>
        </is>
      </c>
      <c r="E370" s="3" t="inlineStr">
        <is>
          <t>PKG-01</t>
        </is>
      </c>
      <c r="F370" s="3" t="inlineStr">
        <is>
          <t>A-107</t>
        </is>
      </c>
      <c r="G370" s="3" t="inlineStr">
        <is>
          <t>Fencing Removal Allowance</t>
        </is>
      </c>
    </row>
    <row r="371">
      <c r="A371" s="3" t="inlineStr">
        <is>
          <t>ASM-PRICE</t>
        </is>
      </c>
      <c r="B371" s="3" t="inlineStr">
        <is>
          <t>Pricing Allowances</t>
        </is>
      </c>
      <c r="C371" s="3" t="inlineStr">
        <is>
          <t>ASM-PRICE-099</t>
        </is>
      </c>
      <c r="D371" s="3" t="inlineStr">
        <is>
          <t>Finishing and punch list allowance of $25,000</t>
        </is>
      </c>
      <c r="E371" s="3" t="inlineStr">
        <is>
          <t>PKG-21</t>
        </is>
      </c>
      <c r="F371" s="3" t="inlineStr">
        <is>
          <t>A-021</t>
        </is>
      </c>
      <c r="G371" s="3" t="inlineStr">
        <is>
          <t>Finishing and punch list allowance of $25,000</t>
        </is>
      </c>
    </row>
    <row r="372">
      <c r="A372" s="3" t="inlineStr">
        <is>
          <t>ASM-PRICE</t>
        </is>
      </c>
      <c r="B372" s="3" t="inlineStr">
        <is>
          <t>Pricing Allowances</t>
        </is>
      </c>
      <c r="C372" s="3" t="inlineStr">
        <is>
          <t>ASM-PRICE-100</t>
        </is>
      </c>
      <c r="D372" s="3" t="inlineStr">
        <is>
          <t>Fire Alarm System Installation Cost</t>
        </is>
      </c>
      <c r="E372" s="3" t="inlineStr">
        <is>
          <t>PKG-23</t>
        </is>
      </c>
      <c r="F372" s="3" t="inlineStr">
        <is>
          <t>A-016</t>
        </is>
      </c>
      <c r="G372" s="3" t="inlineStr">
        <is>
          <t>Fire Alarm System Installation Cost</t>
        </is>
      </c>
    </row>
    <row r="373">
      <c r="A373" s="3" t="inlineStr">
        <is>
          <t>ASM-PRICE</t>
        </is>
      </c>
      <c r="B373" s="3" t="inlineStr">
        <is>
          <t>Pricing Allowances</t>
        </is>
      </c>
      <c r="C373" s="3" t="inlineStr">
        <is>
          <t>ASM-PRICE-101</t>
        </is>
      </c>
      <c r="D373" s="3" t="inlineStr">
        <is>
          <t>Fire Hydrant Installation Cost</t>
        </is>
      </c>
      <c r="E373" s="3" t="inlineStr">
        <is>
          <t>PKG-23</t>
        </is>
      </c>
      <c r="F373" s="3" t="inlineStr">
        <is>
          <t>A-015</t>
        </is>
      </c>
      <c r="G373" s="3" t="inlineStr">
        <is>
          <t>Fire Hydrant Installation Cost</t>
        </is>
      </c>
    </row>
    <row r="374">
      <c r="A374" s="3" t="inlineStr">
        <is>
          <t>ASM-PRICE</t>
        </is>
      </c>
      <c r="B374" s="3" t="inlineStr">
        <is>
          <t>Pricing Allowances</t>
        </is>
      </c>
      <c r="C374" s="3" t="inlineStr">
        <is>
          <t>ASM-PRICE-102</t>
        </is>
      </c>
      <c r="D374" s="3" t="inlineStr">
        <is>
          <t>Fire Water Loop Installation Cost</t>
        </is>
      </c>
      <c r="E374" s="3" t="inlineStr">
        <is>
          <t>PKG-23</t>
        </is>
      </c>
      <c r="F374" s="3" t="inlineStr">
        <is>
          <t>A-014</t>
        </is>
      </c>
      <c r="G374" s="3" t="inlineStr">
        <is>
          <t>Fire Water Loop Installation Cost</t>
        </is>
      </c>
    </row>
    <row r="375">
      <c r="A375" s="3" t="inlineStr">
        <is>
          <t>ASM-PRICE</t>
        </is>
      </c>
      <c r="B375" s="3" t="inlineStr">
        <is>
          <t>Pricing Allowances</t>
        </is>
      </c>
      <c r="C375" s="3" t="inlineStr">
        <is>
          <t>ASM-PRICE-103</t>
        </is>
      </c>
      <c r="D375" s="3" t="inlineStr">
        <is>
          <t>Foam System Installation Cost</t>
        </is>
      </c>
      <c r="E375" s="3" t="inlineStr">
        <is>
          <t>PKG-23</t>
        </is>
      </c>
      <c r="F375" s="3" t="inlineStr">
        <is>
          <t>A-017</t>
        </is>
      </c>
      <c r="G375" s="3" t="inlineStr">
        <is>
          <t>Foam System Installation Cost</t>
        </is>
      </c>
    </row>
    <row r="376">
      <c r="A376" s="3" t="inlineStr">
        <is>
          <t>ASM-PRICE</t>
        </is>
      </c>
      <c r="B376" s="3" t="inlineStr">
        <is>
          <t>Pricing Allowances</t>
        </is>
      </c>
      <c r="C376" s="3" t="inlineStr">
        <is>
          <t>ASM-PRICE-104</t>
        </is>
      </c>
      <c r="D376" s="3" t="inlineStr">
        <is>
          <t>Foundation materials (concrete, piles, reinforcing) at $85,000 allowance</t>
        </is>
      </c>
      <c r="E376" s="3" t="inlineStr">
        <is>
          <t>PKG-21</t>
        </is>
      </c>
      <c r="F376" s="3" t="inlineStr">
        <is>
          <t>A-012</t>
        </is>
      </c>
      <c r="G376" s="3" t="inlineStr">
        <is>
          <t>Foundation materials (concrete, piles, reinforcing) at $85..</t>
        </is>
      </c>
    </row>
    <row r="377">
      <c r="A377" s="3" t="inlineStr">
        <is>
          <t>ASM-PRICE</t>
        </is>
      </c>
      <c r="B377" s="3" t="inlineStr">
        <is>
          <t>Pricing Allowances</t>
        </is>
      </c>
      <c r="C377" s="3" t="inlineStr">
        <is>
          <t>ASM-PRICE-105</t>
        </is>
      </c>
      <c r="D377" s="3" t="inlineStr">
        <is>
          <t>Freight and Logistics Allowance</t>
        </is>
      </c>
      <c r="E377" s="3" t="inlineStr">
        <is>
          <t>PKG-17</t>
        </is>
      </c>
      <c r="F377" s="3" t="inlineStr">
        <is>
          <t>A-1719</t>
        </is>
      </c>
      <c r="G377" s="3" t="inlineStr">
        <is>
          <t>Freight and Logistics Allowance</t>
        </is>
      </c>
    </row>
    <row r="378">
      <c r="A378" s="3" t="inlineStr">
        <is>
          <t>ASM-PRICE</t>
        </is>
      </c>
      <c r="B378" s="3" t="inlineStr">
        <is>
          <t>Pricing Allowances</t>
        </is>
      </c>
      <c r="C378" s="3" t="inlineStr">
        <is>
          <t>ASM-PRICE-106</t>
        </is>
      </c>
      <c r="D378" s="3" t="inlineStr">
        <is>
          <t>Freight and Marine Logistics Allowance</t>
        </is>
      </c>
      <c r="E378" s="3" t="inlineStr">
        <is>
          <t>PKG-08</t>
        </is>
      </c>
      <c r="F378" s="3" t="inlineStr">
        <is>
          <t>A-818</t>
        </is>
      </c>
      <c r="G378" s="3" t="inlineStr">
        <is>
          <t>Freight and Marine Logistics Allowance</t>
        </is>
      </c>
    </row>
    <row r="379">
      <c r="A379" s="3" t="inlineStr">
        <is>
          <t>ASM-PRICE</t>
        </is>
      </c>
      <c r="B379" s="3" t="inlineStr">
        <is>
          <t>Pricing Allowances</t>
        </is>
      </c>
      <c r="C379" s="3" t="inlineStr">
        <is>
          <t>ASM-PRICE-107</t>
        </is>
      </c>
      <c r="D379" s="3" t="inlineStr">
        <is>
          <t>Ground liner system interface work (concrete curbs, anchors, terminations) estim...</t>
        </is>
      </c>
      <c r="E379" s="3" t="inlineStr">
        <is>
          <t>PKG-05</t>
        </is>
      </c>
      <c r="F379" s="3" t="inlineStr">
        <is>
          <t>A-012</t>
        </is>
      </c>
      <c r="G379" s="3" t="inlineStr">
        <is>
          <t>Ground liner system interface work (concrete curbs, anchor..</t>
        </is>
      </c>
    </row>
    <row r="380">
      <c r="A380" s="3" t="inlineStr">
        <is>
          <t>ASM-PRICE</t>
        </is>
      </c>
      <c r="B380" s="3" t="inlineStr">
        <is>
          <t>Pricing Allowances</t>
        </is>
      </c>
      <c r="C380" s="3" t="inlineStr">
        <is>
          <t>ASM-PRICE-108</t>
        </is>
      </c>
      <c r="D380" s="3" t="inlineStr">
        <is>
          <t>Handover Coordination Allowance ($85,000)</t>
        </is>
      </c>
      <c r="E380" s="3" t="inlineStr">
        <is>
          <t>PKG-35</t>
        </is>
      </c>
      <c r="F380" s="3" t="inlineStr">
        <is>
          <t>A-004</t>
        </is>
      </c>
      <c r="G380" s="3" t="inlineStr">
        <is>
          <t>Handover Coordination Allowance ($85,000)</t>
        </is>
      </c>
    </row>
    <row r="381">
      <c r="A381" s="3" t="inlineStr">
        <is>
          <t>ASM-PRICE</t>
        </is>
      </c>
      <c r="B381" s="3" t="inlineStr">
        <is>
          <t>Pricing Allowances</t>
        </is>
      </c>
      <c r="C381" s="3" t="inlineStr">
        <is>
          <t>ASM-PRICE-109</t>
        </is>
      </c>
      <c r="D381" s="3" t="inlineStr">
        <is>
          <t>Hydrostatic testing at $95,000 for ~10-15 test packages</t>
        </is>
      </c>
      <c r="E381" s="3" t="inlineStr">
        <is>
          <t>PKG-14</t>
        </is>
      </c>
      <c r="F381" s="3" t="inlineStr">
        <is>
          <t>A-019</t>
        </is>
      </c>
      <c r="G381" s="3" t="inlineStr">
        <is>
          <t>Hydrostatic testing at $95,000 for ~10-15 test packages</t>
        </is>
      </c>
    </row>
    <row r="382">
      <c r="A382" s="3" t="inlineStr">
        <is>
          <t>ASM-PRICE</t>
        </is>
      </c>
      <c r="B382" s="3" t="inlineStr">
        <is>
          <t>Pricing Allowances</t>
        </is>
      </c>
      <c r="C382" s="3" t="inlineStr">
        <is>
          <t>ASM-PRICE-110</t>
        </is>
      </c>
      <c r="D382" s="3" t="inlineStr">
        <is>
          <t>Initial spare parts estimated at 8% of pump equipment cost ($850,000 × 8% = $68,...</t>
        </is>
      </c>
      <c r="E382" s="3" t="inlineStr">
        <is>
          <t>PKG-15</t>
        </is>
      </c>
      <c r="F382" s="3" t="inlineStr">
        <is>
          <t>A-013</t>
        </is>
      </c>
      <c r="G382" s="3" t="inlineStr">
        <is>
          <t>Initial spare parts estimated at 8% of pump equipment cost..</t>
        </is>
      </c>
    </row>
    <row r="383">
      <c r="A383" s="3" t="inlineStr">
        <is>
          <t>ASM-PRICE</t>
        </is>
      </c>
      <c r="B383" s="3" t="inlineStr">
        <is>
          <t>Pricing Allowances</t>
        </is>
      </c>
      <c r="C383" s="3" t="inlineStr">
        <is>
          <t>ASM-PRICE-111</t>
        </is>
      </c>
      <c r="D383" s="3" t="inlineStr">
        <is>
          <t>Installation quality records and documentation: $32,000</t>
        </is>
      </c>
      <c r="E383" s="3" t="inlineStr">
        <is>
          <t>PKG-19</t>
        </is>
      </c>
      <c r="F383" s="3" t="inlineStr">
        <is>
          <t>A-021</t>
        </is>
      </c>
      <c r="G383" s="3" t="inlineStr">
        <is>
          <t>Installation quality records and documentation: $32,000</t>
        </is>
      </c>
    </row>
    <row r="384">
      <c r="A384" s="3" t="inlineStr">
        <is>
          <t>ASM-PRICE</t>
        </is>
      </c>
      <c r="B384" s="3" t="inlineStr">
        <is>
          <t>Pricing Allowances</t>
        </is>
      </c>
      <c r="C384" s="3" t="inlineStr">
        <is>
          <t>ASM-PRICE-112</t>
        </is>
      </c>
      <c r="D384" s="3" t="inlineStr">
        <is>
          <t>Leak detection system at $85,000 supply + $35,000 install for 3-zone coverage</t>
        </is>
      </c>
      <c r="E384" s="3" t="inlineStr">
        <is>
          <t>PKG-11</t>
        </is>
      </c>
      <c r="F384" s="3" t="inlineStr">
        <is>
          <t>A-003</t>
        </is>
      </c>
      <c r="G384" s="3" t="inlineStr">
        <is>
          <t>Leak detection system at $85,000 supply + $35,000 install ..</t>
        </is>
      </c>
    </row>
    <row r="385">
      <c r="A385" s="3" t="inlineStr">
        <is>
          <t>ASM-PRICE</t>
        </is>
      </c>
      <c r="B385" s="3" t="inlineStr">
        <is>
          <t>Pricing Allowances</t>
        </is>
      </c>
      <c r="C385" s="3" t="inlineStr">
        <is>
          <t>ASM-PRICE-113</t>
        </is>
      </c>
      <c r="D385" s="3" t="inlineStr">
        <is>
          <t>Lighting circuit wiring and conduit from panels to fixtures: allowance $40,000-$...</t>
        </is>
      </c>
      <c r="E385" s="3" t="inlineStr">
        <is>
          <t>PKG-18</t>
        </is>
      </c>
      <c r="F385" s="3" t="inlineStr">
        <is>
          <t>A-1828</t>
        </is>
      </c>
      <c r="G385" s="3" t="inlineStr">
        <is>
          <t>Lighting circuit wiring and conduit from panels to fixture..</t>
        </is>
      </c>
    </row>
    <row r="386">
      <c r="A386" s="3" t="inlineStr">
        <is>
          <t>ASM-PRICE</t>
        </is>
      </c>
      <c r="B386" s="3" t="inlineStr">
        <is>
          <t>Pricing Allowances</t>
        </is>
      </c>
      <c r="C386" s="3" t="inlineStr">
        <is>
          <t>ASM-PRICE-114</t>
        </is>
      </c>
      <c r="D386" s="3" t="inlineStr">
        <is>
          <t>Lighting circuit wiring, conduit, and accessories: $40,000-$80,000 CAD allowance...</t>
        </is>
      </c>
      <c r="E386" s="3" t="inlineStr">
        <is>
          <t>PKG-18</t>
        </is>
      </c>
      <c r="F386" s="3" t="inlineStr">
        <is>
          <t>A-1818</t>
        </is>
      </c>
      <c r="G386" s="3" t="inlineStr">
        <is>
          <t>Lighting circuit wiring, conduit, and accessories: $40,000..</t>
        </is>
      </c>
    </row>
    <row r="387">
      <c r="A387" s="3" t="inlineStr">
        <is>
          <t>ASM-PRICE</t>
        </is>
      </c>
      <c r="B387" s="3" t="inlineStr">
        <is>
          <t>Pricing Allowances</t>
        </is>
      </c>
      <c r="C387" s="3" t="inlineStr">
        <is>
          <t>ASM-PRICE-115</t>
        </is>
      </c>
      <c r="D387" s="3" t="inlineStr">
        <is>
          <t>Lighting controls installation and programming: $15,000-$40,000 CAD allowance.</t>
        </is>
      </c>
      <c r="E387" s="3" t="inlineStr">
        <is>
          <t>PKG-18</t>
        </is>
      </c>
      <c r="F387" s="3" t="inlineStr">
        <is>
          <t>A-1817</t>
        </is>
      </c>
      <c r="G387" s="3" t="inlineStr">
        <is>
          <t>Lighting controls installation and programming: $15,000-$4..</t>
        </is>
      </c>
    </row>
    <row r="388">
      <c r="A388" s="3" t="inlineStr">
        <is>
          <t>ASM-PRICE</t>
        </is>
      </c>
      <c r="B388" s="3" t="inlineStr">
        <is>
          <t>Pricing Allowances</t>
        </is>
      </c>
      <c r="C388" s="3" t="inlineStr">
        <is>
          <t>ASM-PRICE-116</t>
        </is>
      </c>
      <c r="D388" s="3" t="inlineStr">
        <is>
          <t>Limited industrial glazing allowance of $15,000</t>
        </is>
      </c>
      <c r="E388" s="3" t="inlineStr">
        <is>
          <t>PKG-21</t>
        </is>
      </c>
      <c r="F388" s="3" t="inlineStr">
        <is>
          <t>A-011</t>
        </is>
      </c>
      <c r="G388" s="3" t="inlineStr">
        <is>
          <t>Limited industrial glazing allowance of $15,000</t>
        </is>
      </c>
    </row>
    <row r="389">
      <c r="A389" s="3" t="inlineStr">
        <is>
          <t>ASM-PRICE</t>
        </is>
      </c>
      <c r="B389" s="3" t="inlineStr">
        <is>
          <t>Pricing Allowances</t>
        </is>
      </c>
      <c r="C389" s="3" t="inlineStr">
        <is>
          <t>ASM-PRICE-117</t>
        </is>
      </c>
      <c r="D389" s="3" t="inlineStr">
        <is>
          <t>Loading Platform Steel Erection Allowance</t>
        </is>
      </c>
      <c r="E389" s="3" t="inlineStr">
        <is>
          <t>PKG-08</t>
        </is>
      </c>
      <c r="F389" s="3" t="inlineStr">
        <is>
          <t>A-821</t>
        </is>
      </c>
      <c r="G389" s="3" t="inlineStr">
        <is>
          <t>Loading Platform Steel Erection Allowance</t>
        </is>
      </c>
    </row>
    <row r="390">
      <c r="A390" s="3" t="inlineStr">
        <is>
          <t>ASM-PRICE</t>
        </is>
      </c>
      <c r="B390" s="3" t="inlineStr">
        <is>
          <t>Pricing Allowances</t>
        </is>
      </c>
      <c r="C390" s="3" t="inlineStr">
        <is>
          <t>ASM-PRICE-118</t>
        </is>
      </c>
      <c r="D390" s="3" t="inlineStr">
        <is>
          <t>Loading Platform Structural Steel Supply Allowance</t>
        </is>
      </c>
      <c r="E390" s="3" t="inlineStr">
        <is>
          <t>PKG-08</t>
        </is>
      </c>
      <c r="F390" s="3" t="inlineStr">
        <is>
          <t>A-814</t>
        </is>
      </c>
      <c r="G390" s="3" t="inlineStr">
        <is>
          <t>Loading Platform Structural Steel Supply Allowance</t>
        </is>
      </c>
    </row>
    <row r="391">
      <c r="A391" s="3" t="inlineStr">
        <is>
          <t>ASM-PRICE</t>
        </is>
      </c>
      <c r="B391" s="3" t="inlineStr">
        <is>
          <t>Pricing Allowances</t>
        </is>
      </c>
      <c r="C391" s="3" t="inlineStr">
        <is>
          <t>ASM-PRICE-119</t>
        </is>
      </c>
      <c r="D391" s="3" t="inlineStr">
        <is>
          <t>Loading arm installation requires crane barge for heavy lift; included in instal...</t>
        </is>
      </c>
      <c r="E391" s="3" t="inlineStr">
        <is>
          <t>PKG-11</t>
        </is>
      </c>
      <c r="F391" s="3" t="inlineStr">
        <is>
          <t>A-017</t>
        </is>
      </c>
      <c r="G391" s="3" t="inlineStr">
        <is>
          <t>Loading arm installation requires crane barge for heavy li..</t>
        </is>
      </c>
    </row>
    <row r="392">
      <c r="A392" s="3" t="inlineStr">
        <is>
          <t>ASM-PRICE</t>
        </is>
      </c>
      <c r="B392" s="3" t="inlineStr">
        <is>
          <t>Pricing Allowances</t>
        </is>
      </c>
      <c r="C392" s="3" t="inlineStr">
        <is>
          <t>ASM-PRICE-120</t>
        </is>
      </c>
      <c r="D392" s="3" t="inlineStr">
        <is>
          <t>Marine Coatings and Touch-Up Allowance</t>
        </is>
      </c>
      <c r="E392" s="3" t="inlineStr">
        <is>
          <t>PKG-08</t>
        </is>
      </c>
      <c r="F392" s="3" t="inlineStr">
        <is>
          <t>A-824</t>
        </is>
      </c>
      <c r="G392" s="3" t="inlineStr">
        <is>
          <t>Marine Coatings and Touch-Up Allowance</t>
        </is>
      </c>
    </row>
    <row r="393">
      <c r="A393" s="3" t="inlineStr">
        <is>
          <t>ASM-PRICE</t>
        </is>
      </c>
      <c r="B393" s="3" t="inlineStr">
        <is>
          <t>Pricing Allowances</t>
        </is>
      </c>
      <c r="C393" s="3" t="inlineStr">
        <is>
          <t>ASM-PRICE-121</t>
        </is>
      </c>
      <c r="D393" s="3" t="inlineStr">
        <is>
          <t>Marine Hardware Installation Allowance</t>
        </is>
      </c>
      <c r="E393" s="3" t="inlineStr">
        <is>
          <t>PKG-08</t>
        </is>
      </c>
      <c r="F393" s="3" t="inlineStr">
        <is>
          <t>A-823</t>
        </is>
      </c>
      <c r="G393" s="3" t="inlineStr">
        <is>
          <t>Marine Hardware Installation Allowance</t>
        </is>
      </c>
    </row>
    <row r="394">
      <c r="A394" s="3" t="inlineStr">
        <is>
          <t>ASM-PRICE</t>
        </is>
      </c>
      <c r="B394" s="3" t="inlineStr">
        <is>
          <t>Pricing Allowances</t>
        </is>
      </c>
      <c r="C394" s="3" t="inlineStr">
        <is>
          <t>ASM-PRICE-122</t>
        </is>
      </c>
      <c r="D394" s="3" t="inlineStr">
        <is>
          <t>Marine Hardware and Miscellaneous Steel Allowance</t>
        </is>
      </c>
      <c r="E394" s="3" t="inlineStr">
        <is>
          <t>PKG-08</t>
        </is>
      </c>
      <c r="F394" s="3" t="inlineStr">
        <is>
          <t>A-817</t>
        </is>
      </c>
      <c r="G394" s="3" t="inlineStr">
        <is>
          <t>Marine Hardware and Miscellaneous Steel Allowance</t>
        </is>
      </c>
    </row>
    <row r="395">
      <c r="A395" s="3" t="inlineStr">
        <is>
          <t>ASM-PRICE</t>
        </is>
      </c>
      <c r="B395" s="3" t="inlineStr">
        <is>
          <t>Pricing Allowances</t>
        </is>
      </c>
      <c r="C395" s="3" t="inlineStr">
        <is>
          <t>ASM-PRICE-123</t>
        </is>
      </c>
      <c r="D395" s="3" t="inlineStr">
        <is>
          <t>Marine Piling Installation Allowance</t>
        </is>
      </c>
      <c r="E395" s="3" t="inlineStr">
        <is>
          <t>PKG-08</t>
        </is>
      </c>
      <c r="F395" s="3" t="inlineStr">
        <is>
          <t>A-819</t>
        </is>
      </c>
      <c r="G395" s="3" t="inlineStr">
        <is>
          <t>Marine Piling Installation Allowance</t>
        </is>
      </c>
    </row>
    <row r="396">
      <c r="A396" s="3" t="inlineStr">
        <is>
          <t>ASM-PRICE</t>
        </is>
      </c>
      <c r="B396" s="3" t="inlineStr">
        <is>
          <t>Pricing Allowances</t>
        </is>
      </c>
      <c r="C396" s="3" t="inlineStr">
        <is>
          <t>ASM-PRICE-124</t>
        </is>
      </c>
      <c r="D396" s="3" t="inlineStr">
        <is>
          <t>Marine Piling Supply Allowance</t>
        </is>
      </c>
      <c r="E396" s="3" t="inlineStr">
        <is>
          <t>PKG-08</t>
        </is>
      </c>
      <c r="F396" s="3" t="inlineStr">
        <is>
          <t>A-812</t>
        </is>
      </c>
      <c r="G396" s="3" t="inlineStr">
        <is>
          <t>Marine Piling Supply Allowance</t>
        </is>
      </c>
    </row>
    <row r="397">
      <c r="A397" s="3" t="inlineStr">
        <is>
          <t>ASM-PRICE</t>
        </is>
      </c>
      <c r="B397" s="3" t="inlineStr">
        <is>
          <t>Pricing Allowances</t>
        </is>
      </c>
      <c r="C397" s="3" t="inlineStr">
        <is>
          <t>ASM-PRICE-125</t>
        </is>
      </c>
      <c r="D397" s="3" t="inlineStr">
        <is>
          <t>Mechanical seal systems and auxiliary equipment (seal flush systems, cooling wat...</t>
        </is>
      </c>
      <c r="E397" s="3" t="inlineStr">
        <is>
          <t>PKG-15</t>
        </is>
      </c>
      <c r="F397" s="3" t="inlineStr">
        <is>
          <t>A-011</t>
        </is>
      </c>
      <c r="G397" s="3" t="inlineStr">
        <is>
          <t>Mechanical seal systems and auxiliary equipment (seal flus..</t>
        </is>
      </c>
    </row>
    <row r="398">
      <c r="A398" s="3" t="inlineStr">
        <is>
          <t>ASM-PRICE</t>
        </is>
      </c>
      <c r="B398" s="3" t="inlineStr">
        <is>
          <t>Pricing Allowances</t>
        </is>
      </c>
      <c r="C398" s="3" t="inlineStr">
        <is>
          <t>ASM-PRICE-126</t>
        </is>
      </c>
      <c r="D398" s="3" t="inlineStr">
        <is>
          <t>Method Statements Allowance</t>
        </is>
      </c>
      <c r="E398" s="3" t="inlineStr">
        <is>
          <t>PKG-33</t>
        </is>
      </c>
      <c r="F398" s="3" t="inlineStr">
        <is>
          <t>A-003</t>
        </is>
      </c>
      <c r="G398" s="3" t="inlineStr">
        <is>
          <t>Method Statements Allowance</t>
        </is>
      </c>
    </row>
    <row r="399">
      <c r="A399" s="3" t="inlineStr">
        <is>
          <t>ASM-PRICE</t>
        </is>
      </c>
      <c r="B399" s="3" t="inlineStr">
        <is>
          <t>Pricing Allowances</t>
        </is>
      </c>
      <c r="C399" s="3" t="inlineStr">
        <is>
          <t>ASM-PRICE-127</t>
        </is>
      </c>
      <c r="D399" s="3" t="inlineStr">
        <is>
          <t>Miscellaneous cables and terminations: $60,000</t>
        </is>
      </c>
      <c r="E399" s="3" t="inlineStr">
        <is>
          <t>PKG-19</t>
        </is>
      </c>
      <c r="F399" s="3" t="inlineStr">
        <is>
          <t>A-020</t>
        </is>
      </c>
      <c r="G399" s="3" t="inlineStr">
        <is>
          <t>Miscellaneous cables and terminations: $60,000</t>
        </is>
      </c>
    </row>
    <row r="400">
      <c r="A400" s="3" t="inlineStr">
        <is>
          <t>ASM-PRICE</t>
        </is>
      </c>
      <c r="B400" s="3" t="inlineStr">
        <is>
          <t>Pricing Allowances</t>
        </is>
      </c>
      <c r="C400" s="3" t="inlineStr">
        <is>
          <t>ASM-PRICE-128</t>
        </is>
      </c>
      <c r="D400" s="3" t="inlineStr">
        <is>
          <t>NDE and weld inspection at ~$250/weld for 500+ welds</t>
        </is>
      </c>
      <c r="E400" s="3" t="inlineStr">
        <is>
          <t>PKG-14</t>
        </is>
      </c>
      <c r="F400" s="3" t="inlineStr">
        <is>
          <t>A-020</t>
        </is>
      </c>
      <c r="G400" s="3" t="inlineStr">
        <is>
          <t>NDE and weld inspection at ~$250/weld for 500+ welds</t>
        </is>
      </c>
    </row>
    <row r="401">
      <c r="A401" s="3" t="inlineStr">
        <is>
          <t>ASM-PRICE</t>
        </is>
      </c>
      <c r="B401" s="3" t="inlineStr">
        <is>
          <t>Pricing Allowances</t>
        </is>
      </c>
      <c r="C401" s="3" t="inlineStr">
        <is>
          <t>ASM-PRICE-129</t>
        </is>
      </c>
      <c r="D401" s="3" t="inlineStr">
        <is>
          <t>Nitrogen connection at $15,000 supply + $15,000 install</t>
        </is>
      </c>
      <c r="E401" s="3" t="inlineStr">
        <is>
          <t>PKG-11</t>
        </is>
      </c>
      <c r="F401" s="3" t="inlineStr">
        <is>
          <t>A-006</t>
        </is>
      </c>
      <c r="G401" s="3" t="inlineStr">
        <is>
          <t>Nitrogen connection at $15,000 supply + $15,000 install</t>
        </is>
      </c>
    </row>
    <row r="402">
      <c r="A402" s="3" t="inlineStr">
        <is>
          <t>ASM-PRICE</t>
        </is>
      </c>
      <c r="B402" s="3" t="inlineStr">
        <is>
          <t>Pricing Allowances</t>
        </is>
      </c>
      <c r="C402" s="3" t="inlineStr">
        <is>
          <t>ASM-PRICE-130</t>
        </is>
      </c>
      <c r="D402" s="3" t="inlineStr">
        <is>
          <t>Occupational Health &amp; Safety Plan Allowance</t>
        </is>
      </c>
      <c r="E402" s="3" t="inlineStr">
        <is>
          <t>PKG-33</t>
        </is>
      </c>
      <c r="F402" s="3" t="inlineStr">
        <is>
          <t>A-001</t>
        </is>
      </c>
      <c r="G402" s="3" t="inlineStr">
        <is>
          <t>Occupational Health &amp; Safety Plan Allowance</t>
        </is>
      </c>
    </row>
    <row r="403">
      <c r="A403" s="3" t="inlineStr">
        <is>
          <t>ASM-PRICE</t>
        </is>
      </c>
      <c r="B403" s="3" t="inlineStr">
        <is>
          <t>Pricing Allowances</t>
        </is>
      </c>
      <c r="C403" s="3" t="inlineStr">
        <is>
          <t>ASM-PRICE-131</t>
        </is>
      </c>
      <c r="D403" s="3" t="inlineStr">
        <is>
          <t>Permit Application Engineering Allowance</t>
        </is>
      </c>
      <c r="E403" s="3" t="inlineStr">
        <is>
          <t>PKG-32</t>
        </is>
      </c>
      <c r="F403" s="3" t="inlineStr">
        <is>
          <t>A-3201</t>
        </is>
      </c>
      <c r="G403" s="3" t="inlineStr">
        <is>
          <t>Permit Application Engineering Allowance</t>
        </is>
      </c>
    </row>
    <row r="404">
      <c r="A404" s="3" t="inlineStr">
        <is>
          <t>ASM-PRICE</t>
        </is>
      </c>
      <c r="B404" s="3" t="inlineStr">
        <is>
          <t>Pricing Allowances</t>
        </is>
      </c>
      <c r="C404" s="3" t="inlineStr">
        <is>
          <t>ASM-PRICE-132</t>
        </is>
      </c>
      <c r="D404" s="3" t="inlineStr">
        <is>
          <t>Permit Fees Allowance</t>
        </is>
      </c>
      <c r="E404" s="3" t="inlineStr">
        <is>
          <t>PKG-32</t>
        </is>
      </c>
      <c r="F404" s="3" t="inlineStr">
        <is>
          <t>A-3208</t>
        </is>
      </c>
      <c r="G404" s="3" t="inlineStr">
        <is>
          <t>Permit Fees Allowance</t>
        </is>
      </c>
    </row>
    <row r="405">
      <c r="A405" s="3" t="inlineStr">
        <is>
          <t>ASM-PRICE</t>
        </is>
      </c>
      <c r="B405" s="3" t="inlineStr">
        <is>
          <t>Pricing Allowances</t>
        </is>
      </c>
      <c r="C405" s="3" t="inlineStr">
        <is>
          <t>ASM-PRICE-133</t>
        </is>
      </c>
      <c r="D405" s="3" t="inlineStr">
        <is>
          <t>Permit Receipt and Tracking PM Allowance</t>
        </is>
      </c>
      <c r="E405" s="3" t="inlineStr">
        <is>
          <t>PKG-32</t>
        </is>
      </c>
      <c r="F405" s="3" t="inlineStr">
        <is>
          <t>A-3202</t>
        </is>
      </c>
      <c r="G405" s="3" t="inlineStr">
        <is>
          <t>Permit Receipt and Tracking PM Allowance</t>
        </is>
      </c>
    </row>
    <row r="406">
      <c r="A406" s="3" t="inlineStr">
        <is>
          <t>ASM-PRICE</t>
        </is>
      </c>
      <c r="B406" s="3" t="inlineStr">
        <is>
          <t>Pricing Allowances</t>
        </is>
      </c>
      <c r="C406" s="3" t="inlineStr">
        <is>
          <t>ASM-PRICE-134</t>
        </is>
      </c>
      <c r="D406" s="3" t="inlineStr">
        <is>
          <t>Post-works road survey, deficiency identification, and closeout estimated at $18...</t>
        </is>
      </c>
      <c r="E406" s="3" t="inlineStr">
        <is>
          <t>PKG-00</t>
        </is>
      </c>
      <c r="F406" s="3" t="inlineStr">
        <is>
          <t>A-007</t>
        </is>
      </c>
      <c r="G406" s="3" t="inlineStr">
        <is>
          <t>Post-works road survey, deficiency identification, and clo..</t>
        </is>
      </c>
    </row>
    <row r="407">
      <c r="A407" s="3" t="inlineStr">
        <is>
          <t>ASM-PRICE</t>
        </is>
      </c>
      <c r="B407" s="3" t="inlineStr">
        <is>
          <t>Pricing Allowances</t>
        </is>
      </c>
      <c r="C407" s="3" t="inlineStr">
        <is>
          <t>ASM-PRICE-135</t>
        </is>
      </c>
      <c r="D407" s="3" t="inlineStr">
        <is>
          <t>Pre-works road survey and photo documentation estimated at $15,000 CAD allowance...</t>
        </is>
      </c>
      <c r="E407" s="3" t="inlineStr">
        <is>
          <t>PKG-00</t>
        </is>
      </c>
      <c r="F407" s="3" t="inlineStr">
        <is>
          <t>A-006</t>
        </is>
      </c>
      <c r="G407" s="3" t="inlineStr">
        <is>
          <t>Pre-works road survey and photo documentation estimated at..</t>
        </is>
      </c>
    </row>
    <row r="408">
      <c r="A408" s="3" t="inlineStr">
        <is>
          <t>ASM-PRICE</t>
        </is>
      </c>
      <c r="B408" s="3" t="inlineStr">
        <is>
          <t>Pricing Allowances</t>
        </is>
      </c>
      <c r="C408" s="3" t="inlineStr">
        <is>
          <t>ASM-PRICE-136</t>
        </is>
      </c>
      <c r="D408" s="3" t="inlineStr">
        <is>
          <t>Printing &amp; Binding Costs - Drawings</t>
        </is>
      </c>
      <c r="E408" s="3" t="inlineStr">
        <is>
          <t>PKG-31</t>
        </is>
      </c>
      <c r="F408" s="3" t="inlineStr">
        <is>
          <t>A-004</t>
        </is>
      </c>
      <c r="G408" s="3" t="inlineStr">
        <is>
          <t>Printing &amp; Binding Costs - Drawings</t>
        </is>
      </c>
    </row>
    <row r="409">
      <c r="A409" s="3" t="inlineStr">
        <is>
          <t>ASM-PRICE</t>
        </is>
      </c>
      <c r="B409" s="3" t="inlineStr">
        <is>
          <t>Pricing Allowances</t>
        </is>
      </c>
      <c r="C409" s="3" t="inlineStr">
        <is>
          <t>ASM-PRICE-137</t>
        </is>
      </c>
      <c r="D409" s="3" t="inlineStr">
        <is>
          <t>Printing &amp; Binding Costs - Manuals</t>
        </is>
      </c>
      <c r="E409" s="3" t="inlineStr">
        <is>
          <t>PKG-31</t>
        </is>
      </c>
      <c r="F409" s="3" t="inlineStr">
        <is>
          <t>A-005</t>
        </is>
      </c>
      <c r="G409" s="3" t="inlineStr">
        <is>
          <t>Printing &amp; Binding Costs - Manuals</t>
        </is>
      </c>
    </row>
    <row r="410">
      <c r="A410" s="3" t="inlineStr">
        <is>
          <t>ASM-PRICE</t>
        </is>
      </c>
      <c r="B410" s="3" t="inlineStr">
        <is>
          <t>Pricing Allowances</t>
        </is>
      </c>
      <c r="C410" s="3" t="inlineStr">
        <is>
          <t>ASM-PRICE-138</t>
        </is>
      </c>
      <c r="D410" s="3" t="inlineStr">
        <is>
          <t>Procurement Services Parametric Allowance</t>
        </is>
      </c>
      <c r="E410" s="3" t="inlineStr">
        <is>
          <t>PKG-32</t>
        </is>
      </c>
      <c r="F410" s="3" t="inlineStr">
        <is>
          <t>A-3211</t>
        </is>
      </c>
      <c r="G410" s="3" t="inlineStr">
        <is>
          <t>Procurement Services Parametric Allowance</t>
        </is>
      </c>
    </row>
    <row r="411">
      <c r="A411" s="3" t="inlineStr">
        <is>
          <t>ASM-PRICE</t>
        </is>
      </c>
      <c r="B411" s="3" t="inlineStr">
        <is>
          <t>Pricing Allowances</t>
        </is>
      </c>
      <c r="C411" s="3" t="inlineStr">
        <is>
          <t>ASM-PRICE-139</t>
        </is>
      </c>
      <c r="D411" s="3" t="inlineStr">
        <is>
          <t>Procurement services estimated at 2% of equipment cost ($850,000 × 2% = $17,000)...</t>
        </is>
      </c>
      <c r="E411" s="3" t="inlineStr">
        <is>
          <t>PKG-15</t>
        </is>
      </c>
      <c r="F411" s="3" t="inlineStr">
        <is>
          <t>A-006</t>
        </is>
      </c>
      <c r="G411" s="3" t="inlineStr">
        <is>
          <t>Procurement services estimated at 2% of equipment cost ($8..</t>
        </is>
      </c>
    </row>
    <row r="412">
      <c r="A412" s="3" t="inlineStr">
        <is>
          <t>ASM-PRICE</t>
        </is>
      </c>
      <c r="B412" s="3" t="inlineStr">
        <is>
          <t>Pricing Allowances</t>
        </is>
      </c>
      <c r="C412" s="3" t="inlineStr">
        <is>
          <t>ASM-PRICE-140</t>
        </is>
      </c>
      <c r="D412" s="3" t="inlineStr">
        <is>
          <t>Project Management Parametric Allowance</t>
        </is>
      </c>
      <c r="E412" s="3" t="inlineStr">
        <is>
          <t>PKG-32</t>
        </is>
      </c>
      <c r="F412" s="3" t="inlineStr">
        <is>
          <t>A-3212</t>
        </is>
      </c>
      <c r="G412" s="3" t="inlineStr">
        <is>
          <t>Project Management Parametric Allowance</t>
        </is>
      </c>
    </row>
    <row r="413">
      <c r="A413" s="3" t="inlineStr">
        <is>
          <t>ASM-PRICE</t>
        </is>
      </c>
      <c r="B413" s="3" t="inlineStr">
        <is>
          <t>Pricing Allowances</t>
        </is>
      </c>
      <c r="C413" s="3" t="inlineStr">
        <is>
          <t>ASM-PRICE-141</t>
        </is>
      </c>
      <c r="D413" s="3" t="inlineStr">
        <is>
          <t>Pump couplings and fabricated baseplates estimated at 12% of pump cost.</t>
        </is>
      </c>
      <c r="E413" s="3" t="inlineStr">
        <is>
          <t>PKG-15</t>
        </is>
      </c>
      <c r="F413" s="3" t="inlineStr">
        <is>
          <t>A-012</t>
        </is>
      </c>
      <c r="G413" s="3" t="inlineStr">
        <is>
          <t>Pump couplings and fabricated baseplates estimated at 12% ..</t>
        </is>
      </c>
    </row>
    <row r="414">
      <c r="A414" s="3" t="inlineStr">
        <is>
          <t>ASM-PRICE</t>
        </is>
      </c>
      <c r="B414" s="3" t="inlineStr">
        <is>
          <t>Pricing Allowances</t>
        </is>
      </c>
      <c r="C414" s="3" t="inlineStr">
        <is>
          <t>ASM-PRICE-142</t>
        </is>
      </c>
      <c r="D414" s="3" t="inlineStr">
        <is>
          <t>QA/QC inspection and envelope testing at $18,000</t>
        </is>
      </c>
      <c r="E414" s="3" t="inlineStr">
        <is>
          <t>PKG-21</t>
        </is>
      </c>
      <c r="F414" s="3" t="inlineStr">
        <is>
          <t>A-022</t>
        </is>
      </c>
      <c r="G414" s="3" t="inlineStr">
        <is>
          <t>QA/QC inspection and envelope testing at $18,000</t>
        </is>
      </c>
    </row>
    <row r="415">
      <c r="A415" s="3" t="inlineStr">
        <is>
          <t>ASM-PRICE</t>
        </is>
      </c>
      <c r="B415" s="3" t="inlineStr">
        <is>
          <t>Pricing Allowances</t>
        </is>
      </c>
      <c r="C415" s="3" t="inlineStr">
        <is>
          <t>ASM-PRICE-143</t>
        </is>
      </c>
      <c r="D415" s="3" t="inlineStr">
        <is>
          <t>Regulatory/Environmental Consultant Support Allowance</t>
        </is>
      </c>
      <c r="E415" s="3" t="inlineStr">
        <is>
          <t>PKG-32</t>
        </is>
      </c>
      <c r="F415" s="3" t="inlineStr">
        <is>
          <t>A-3207</t>
        </is>
      </c>
      <c r="G415" s="3" t="inlineStr">
        <is>
          <t>Regulatory/Environmental Consultant Support Allowance</t>
        </is>
      </c>
    </row>
    <row r="416">
      <c r="A416" s="3" t="inlineStr">
        <is>
          <t>ASM-PRICE</t>
        </is>
      </c>
      <c r="B416" s="3" t="inlineStr">
        <is>
          <t>Pricing Allowances</t>
        </is>
      </c>
      <c r="C416" s="3" t="inlineStr">
        <is>
          <t>ASM-PRICE-144</t>
        </is>
      </c>
      <c r="D416" s="3" t="inlineStr">
        <is>
          <t>Relief valve set pressure testing performed at **vendor FAT** (included in valve...</t>
        </is>
      </c>
      <c r="E416" s="3" t="inlineStr">
        <is>
          <t>PKG-16</t>
        </is>
      </c>
      <c r="F416" s="3" t="inlineStr">
        <is>
          <t>A-1624</t>
        </is>
      </c>
      <c r="G416" s="3" t="inlineStr">
        <is>
          <t>Relief valve set pressure testing performed at **vendor FA..</t>
        </is>
      </c>
    </row>
    <row r="417">
      <c r="A417" s="3" t="inlineStr">
        <is>
          <t>ASM-PRICE</t>
        </is>
      </c>
      <c r="B417" s="3" t="inlineStr">
        <is>
          <t>Pricing Allowances</t>
        </is>
      </c>
      <c r="C417" s="3" t="inlineStr">
        <is>
          <t>ASM-PRICE-145</t>
        </is>
      </c>
      <c r="D417" s="3" t="inlineStr">
        <is>
          <t>Risk Assessments Allowance</t>
        </is>
      </c>
      <c r="E417" s="3" t="inlineStr">
        <is>
          <t>PKG-33</t>
        </is>
      </c>
      <c r="F417" s="3" t="inlineStr">
        <is>
          <t>A-002</t>
        </is>
      </c>
      <c r="G417" s="3" t="inlineStr">
        <is>
          <t>Risk Assessments Allowance</t>
        </is>
      </c>
    </row>
    <row r="418">
      <c r="A418" s="3" t="inlineStr">
        <is>
          <t>ASM-PRICE</t>
        </is>
      </c>
      <c r="B418" s="3" t="inlineStr">
        <is>
          <t>Pricing Allowances</t>
        </is>
      </c>
      <c r="C418" s="3" t="inlineStr">
        <is>
          <t>ASM-PRICE-146</t>
        </is>
      </c>
      <c r="D418" s="3" t="inlineStr">
        <is>
          <t>Road access and security process documents (3 plans) estimated at $8,000 CAD all...</t>
        </is>
      </c>
      <c r="E418" s="3" t="inlineStr">
        <is>
          <t>PKG-00</t>
        </is>
      </c>
      <c r="F418" s="3" t="inlineStr">
        <is>
          <t>A-005</t>
        </is>
      </c>
      <c r="G418" s="3" t="inlineStr">
        <is>
          <t>Road access and security process documents (3 plans) estim..</t>
        </is>
      </c>
    </row>
    <row r="419">
      <c r="A419" s="3" t="inlineStr">
        <is>
          <t>ASM-PRICE</t>
        </is>
      </c>
      <c r="B419" s="3" t="inlineStr">
        <is>
          <t>Pricing Allowances</t>
        </is>
      </c>
      <c r="C419" s="3" t="inlineStr">
        <is>
          <t>ASM-PRICE-147</t>
        </is>
      </c>
      <c r="D419" s="3" t="inlineStr">
        <is>
          <t>Road deficiency remediation and restoration work estimated at $25,000 CAD allowa...</t>
        </is>
      </c>
      <c r="E419" s="3" t="inlineStr">
        <is>
          <t>PKG-00</t>
        </is>
      </c>
      <c r="F419" s="3" t="inlineStr">
        <is>
          <t>A-008</t>
        </is>
      </c>
      <c r="G419" s="3" t="inlineStr">
        <is>
          <t>Road deficiency remediation and restoration work estimated..</t>
        </is>
      </c>
    </row>
    <row r="420">
      <c r="A420" s="3" t="inlineStr">
        <is>
          <t>ASM-PRICE</t>
        </is>
      </c>
      <c r="B420" s="3" t="inlineStr">
        <is>
          <t>Pricing Allowances</t>
        </is>
      </c>
      <c r="C420" s="3" t="inlineStr">
        <is>
          <t>ASM-PRICE-148</t>
        </is>
      </c>
      <c r="D420" s="3" t="inlineStr">
        <is>
          <t>SPPP Compliance Monitoring Allowance</t>
        </is>
      </c>
      <c r="E420" s="3" t="inlineStr">
        <is>
          <t>PKG-33</t>
        </is>
      </c>
      <c r="F420" s="3" t="inlineStr">
        <is>
          <t>A-005</t>
        </is>
      </c>
      <c r="G420" s="3" t="inlineStr">
        <is>
          <t>SPPP Compliance Monitoring Allowance</t>
        </is>
      </c>
    </row>
    <row r="421">
      <c r="A421" s="3" t="inlineStr">
        <is>
          <t>ASM-PRICE</t>
        </is>
      </c>
      <c r="B421" s="3" t="inlineStr">
        <is>
          <t>Pricing Allowances</t>
        </is>
      </c>
      <c r="C421" s="3" t="inlineStr">
        <is>
          <t>ASM-PRICE-149</t>
        </is>
      </c>
      <c r="D421" s="3" t="inlineStr">
        <is>
          <t>Salt Tent Dismantling Allowance</t>
        </is>
      </c>
      <c r="E421" s="3" t="inlineStr">
        <is>
          <t>PKG-01</t>
        </is>
      </c>
      <c r="F421" s="3" t="inlineStr">
        <is>
          <t>A-108</t>
        </is>
      </c>
      <c r="G421" s="3" t="inlineStr">
        <is>
          <t>Salt Tent Dismantling Allowance</t>
        </is>
      </c>
    </row>
    <row r="422">
      <c r="A422" s="3" t="inlineStr">
        <is>
          <t>ASM-PRICE</t>
        </is>
      </c>
      <c r="B422" s="3" t="inlineStr">
        <is>
          <t>Pricing Allowances</t>
        </is>
      </c>
      <c r="C422" s="3" t="inlineStr">
        <is>
          <t>ASM-PRICE-150</t>
        </is>
      </c>
      <c r="D422" s="3" t="inlineStr">
        <is>
          <t>Security gate hardware, access control system, and installation estimated at $75...</t>
        </is>
      </c>
      <c r="E422" s="3" t="inlineStr">
        <is>
          <t>PKG-00</t>
        </is>
      </c>
      <c r="F422" s="3" t="inlineStr">
        <is>
          <t>A-011</t>
        </is>
      </c>
      <c r="G422" s="3" t="inlineStr">
        <is>
          <t>Security gate hardware, access control system, and install..</t>
        </is>
      </c>
    </row>
    <row r="423">
      <c r="A423" s="3" t="inlineStr">
        <is>
          <t>ASM-PRICE</t>
        </is>
      </c>
      <c r="B423" s="3" t="inlineStr">
        <is>
          <t>Pricing Allowances</t>
        </is>
      </c>
      <c r="C423" s="3" t="inlineStr">
        <is>
          <t>ASM-PRICE-151</t>
        </is>
      </c>
      <c r="D423" s="3" t="inlineStr">
        <is>
          <t>Security gate staffing during construction estimated at $180,000 CAD allowance.</t>
        </is>
      </c>
      <c r="E423" s="3" t="inlineStr">
        <is>
          <t>PKG-00</t>
        </is>
      </c>
      <c r="F423" s="3" t="inlineStr">
        <is>
          <t>A-013</t>
        </is>
      </c>
      <c r="G423" s="3" t="inlineStr">
        <is>
          <t>Security gate staffing during construction estimated at $1..</t>
        </is>
      </c>
    </row>
    <row r="424">
      <c r="A424" s="3" t="inlineStr">
        <is>
          <t>ASM-PRICE</t>
        </is>
      </c>
      <c r="B424" s="3" t="inlineStr">
        <is>
          <t>Pricing Allowances</t>
        </is>
      </c>
      <c r="C424" s="3" t="inlineStr">
        <is>
          <t>ASM-PRICE-152</t>
        </is>
      </c>
      <c r="D424" s="3" t="inlineStr">
        <is>
          <t>Site Clearance QA/QC ($134,000)</t>
        </is>
      </c>
      <c r="E424" s="3" t="inlineStr">
        <is>
          <t>PKG-35</t>
        </is>
      </c>
      <c r="F424" s="3" t="inlineStr">
        <is>
          <t>A-010</t>
        </is>
      </c>
      <c r="G424" s="3" t="inlineStr">
        <is>
          <t>Site Clearance QA/QC ($134,000)</t>
        </is>
      </c>
    </row>
    <row r="425">
      <c r="A425" s="3" t="inlineStr">
        <is>
          <t>ASM-PRICE</t>
        </is>
      </c>
      <c r="B425" s="3" t="inlineStr">
        <is>
          <t>Pricing Allowances</t>
        </is>
      </c>
      <c r="C425" s="3" t="inlineStr">
        <is>
          <t>ASM-PRICE-153</t>
        </is>
      </c>
      <c r="D425" s="3" t="inlineStr">
        <is>
          <t>Site Reinstatement Allowance ($350,000)</t>
        </is>
      </c>
      <c r="E425" s="3" t="inlineStr">
        <is>
          <t>PKG-35</t>
        </is>
      </c>
      <c r="F425" s="3" t="inlineStr">
        <is>
          <t>A-002</t>
        </is>
      </c>
      <c r="G425" s="3" t="inlineStr">
        <is>
          <t>Site Reinstatement Allowance ($350,000)</t>
        </is>
      </c>
    </row>
    <row r="426">
      <c r="A426" s="3" t="inlineStr">
        <is>
          <t>ASM-PRICE</t>
        </is>
      </c>
      <c r="B426" s="3" t="inlineStr">
        <is>
          <t>Pricing Allowances</t>
        </is>
      </c>
      <c r="C426" s="3" t="inlineStr">
        <is>
          <t>ASM-PRICE-154</t>
        </is>
      </c>
      <c r="D426" s="3" t="inlineStr">
        <is>
          <t>Site establishment procedures (3 procedures) estimated at $9,000 CAD allowance.</t>
        </is>
      </c>
      <c r="E426" s="3" t="inlineStr">
        <is>
          <t>PKG-00</t>
        </is>
      </c>
      <c r="F426" s="3" t="inlineStr">
        <is>
          <t>A-003</t>
        </is>
      </c>
      <c r="G426" s="3" t="inlineStr">
        <is>
          <t>Site establishment procedures (3 procedures) estimated at ..</t>
        </is>
      </c>
    </row>
    <row r="427">
      <c r="A427" s="3" t="inlineStr">
        <is>
          <t>ASM-PRICE</t>
        </is>
      </c>
      <c r="B427" s="3" t="inlineStr">
        <is>
          <t>Pricing Allowances</t>
        </is>
      </c>
      <c r="C427" s="3" t="inlineStr">
        <is>
          <t>ASM-PRICE-155</t>
        </is>
      </c>
      <c r="D427" s="3" t="inlineStr">
        <is>
          <t>Software development effort: $120,000 (PLC logic $80k + HMI $30k + historian $10...</t>
        </is>
      </c>
      <c r="E427" s="3" t="inlineStr">
        <is>
          <t>PKG-19</t>
        </is>
      </c>
      <c r="F427" s="3" t="inlineStr">
        <is>
          <t>A-018</t>
        </is>
      </c>
      <c r="G427" s="3" t="inlineStr">
        <is>
          <t>Software development effort: $120,000 (PLC logic $80k + HM..</t>
        </is>
      </c>
    </row>
    <row r="428">
      <c r="A428" s="3" t="inlineStr">
        <is>
          <t>ASM-PRICE</t>
        </is>
      </c>
      <c r="B428" s="3" t="inlineStr">
        <is>
          <t>Pricing Allowances</t>
        </is>
      </c>
      <c r="C428" s="3" t="inlineStr">
        <is>
          <t>ASM-PRICE-156</t>
        </is>
      </c>
      <c r="D428" s="3" t="inlineStr">
        <is>
          <t>Sump pump package at $25,000 supply for 5 HP submersible</t>
        </is>
      </c>
      <c r="E428" s="3" t="inlineStr">
        <is>
          <t>PKG-11</t>
        </is>
      </c>
      <c r="F428" s="3" t="inlineStr">
        <is>
          <t>A-004</t>
        </is>
      </c>
      <c r="G428" s="3" t="inlineStr">
        <is>
          <t>Sump pump package at $25,000 supply for 5 HP submersible</t>
        </is>
      </c>
    </row>
    <row r="429">
      <c r="A429" s="3" t="inlineStr">
        <is>
          <t>ASM-PRICE</t>
        </is>
      </c>
      <c r="B429" s="3" t="inlineStr">
        <is>
          <t>Pricing Allowances</t>
        </is>
      </c>
      <c r="C429" s="3" t="inlineStr">
        <is>
          <t>ASM-PRICE-157</t>
        </is>
      </c>
      <c r="D429" s="3" t="inlineStr">
        <is>
          <t>Temporary facilities, laydown areas, utilities, fencing, and site infrastructure...</t>
        </is>
      </c>
      <c r="E429" s="3" t="inlineStr">
        <is>
          <t>PKG-00</t>
        </is>
      </c>
      <c r="F429" s="3" t="inlineStr">
        <is>
          <t>A-012</t>
        </is>
      </c>
      <c r="G429" s="3" t="inlineStr">
        <is>
          <t>Temporary facilities, laydown areas, utilities, fencing, a..</t>
        </is>
      </c>
    </row>
    <row r="430">
      <c r="A430" s="3" t="inlineStr">
        <is>
          <t>ASM-PRICE</t>
        </is>
      </c>
      <c r="B430" s="3" t="inlineStr">
        <is>
          <t>Pricing Allowances</t>
        </is>
      </c>
      <c r="C430" s="3" t="inlineStr">
        <is>
          <t>ASM-PRICE-158</t>
        </is>
      </c>
      <c r="D430" s="3" t="inlineStr">
        <is>
          <t>Temporary water supply pipe, backflow preventer, connections, and installation e...</t>
        </is>
      </c>
      <c r="E430" s="3" t="inlineStr">
        <is>
          <t>PKG-00</t>
        </is>
      </c>
      <c r="F430" s="3" t="inlineStr">
        <is>
          <t>A-010</t>
        </is>
      </c>
      <c r="G430" s="3" t="inlineStr">
        <is>
          <t>Temporary water supply pipe, backflow preventer, connectio..</t>
        </is>
      </c>
    </row>
    <row r="431">
      <c r="A431" s="3" t="inlineStr">
        <is>
          <t>ASM-PRICE</t>
        </is>
      </c>
      <c r="B431" s="3" t="inlineStr">
        <is>
          <t>Pricing Allowances</t>
        </is>
      </c>
      <c r="C431" s="3" t="inlineStr">
        <is>
          <t>ASM-PRICE-159</t>
        </is>
      </c>
      <c r="D431" s="3" t="inlineStr">
        <is>
          <t>Track 6 Rail Demolition Allowance</t>
        </is>
      </c>
      <c r="E431" s="3" t="inlineStr">
        <is>
          <t>PKG-01</t>
        </is>
      </c>
      <c r="F431" s="3" t="inlineStr">
        <is>
          <t>A-105</t>
        </is>
      </c>
      <c r="G431" s="3" t="inlineStr">
        <is>
          <t>Track 6 Rail Demolition Allowance</t>
        </is>
      </c>
    </row>
    <row r="432">
      <c r="A432" s="3" t="inlineStr">
        <is>
          <t>ASM-PRICE</t>
        </is>
      </c>
      <c r="B432" s="3" t="inlineStr">
        <is>
          <t>Pricing Allowances</t>
        </is>
      </c>
      <c r="C432" s="3" t="inlineStr">
        <is>
          <t>ASM-PRICE-160</t>
        </is>
      </c>
      <c r="D432" s="3" t="inlineStr">
        <is>
          <t>Training Delivery Allowance ($395,000)</t>
        </is>
      </c>
      <c r="E432" s="3" t="inlineStr">
        <is>
          <t>PKG-35</t>
        </is>
      </c>
      <c r="F432" s="3" t="inlineStr">
        <is>
          <t>A-001</t>
        </is>
      </c>
      <c r="G432" s="3" t="inlineStr">
        <is>
          <t>Training Delivery Allowance ($395,000)</t>
        </is>
      </c>
    </row>
    <row r="433">
      <c r="A433" s="3" t="inlineStr">
        <is>
          <t>ASM-PRICE</t>
        </is>
      </c>
      <c r="B433" s="3" t="inlineStr">
        <is>
          <t>Pricing Allowances</t>
        </is>
      </c>
      <c r="C433" s="3" t="inlineStr">
        <is>
          <t>ASM-PRICE-161</t>
        </is>
      </c>
      <c r="D433" s="3" t="inlineStr">
        <is>
          <t>Training Materials Development Allowance ($285,000)</t>
        </is>
      </c>
      <c r="E433" s="3" t="inlineStr">
        <is>
          <t>PKG-35</t>
        </is>
      </c>
      <c r="F433" s="3" t="inlineStr">
        <is>
          <t>A-003</t>
        </is>
      </c>
      <c r="G433" s="3" t="inlineStr">
        <is>
          <t>Training Materials Development Allowance ($285,000)</t>
        </is>
      </c>
    </row>
    <row r="434">
      <c r="A434" s="3" t="inlineStr">
        <is>
          <t>ASM-PRICE</t>
        </is>
      </c>
      <c r="B434" s="3" t="inlineStr">
        <is>
          <t>Pricing Allowances</t>
        </is>
      </c>
      <c r="C434" s="3" t="inlineStr">
        <is>
          <t>ASM-PRICE-162</t>
        </is>
      </c>
      <c r="D434" s="3" t="inlineStr">
        <is>
          <t>Training Records Management ($47,000)</t>
        </is>
      </c>
      <c r="E434" s="3" t="inlineStr">
        <is>
          <t>PKG-35</t>
        </is>
      </c>
      <c r="F434" s="3" t="inlineStr">
        <is>
          <t>A-009</t>
        </is>
      </c>
      <c r="G434" s="3" t="inlineStr">
        <is>
          <t>Training Records Management ($47,000)</t>
        </is>
      </c>
    </row>
    <row r="435">
      <c r="A435" s="3" t="inlineStr">
        <is>
          <t>ASM-PRICE</t>
        </is>
      </c>
      <c r="B435" s="3" t="inlineStr">
        <is>
          <t>Pricing Allowances</t>
        </is>
      </c>
      <c r="C435" s="3" t="inlineStr">
        <is>
          <t>ASM-PRICE-163</t>
        </is>
      </c>
      <c r="D435" s="3" t="inlineStr">
        <is>
          <t>Transport Canada Compliance Monitoring Allowance</t>
        </is>
      </c>
      <c r="E435" s="3" t="inlineStr">
        <is>
          <t>PKG-32</t>
        </is>
      </c>
      <c r="F435" s="3" t="inlineStr">
        <is>
          <t>A-3205</t>
        </is>
      </c>
      <c r="G435" s="3" t="inlineStr">
        <is>
          <t>Transport Canada Compliance Monitoring Allowance</t>
        </is>
      </c>
    </row>
    <row r="436">
      <c r="A436" s="3" t="inlineStr">
        <is>
          <t>ASM-PRICE</t>
        </is>
      </c>
      <c r="B436" s="3" t="inlineStr">
        <is>
          <t>Pricing Allowances</t>
        </is>
      </c>
      <c r="C436" s="3" t="inlineStr">
        <is>
          <t>ASM-PRICE-164</t>
        </is>
      </c>
      <c r="D436" s="3" t="inlineStr">
        <is>
          <t>Trestle Steel Erection Allowance</t>
        </is>
      </c>
      <c r="E436" s="3" t="inlineStr">
        <is>
          <t>PKG-08</t>
        </is>
      </c>
      <c r="F436" s="3" t="inlineStr">
        <is>
          <t>A-820</t>
        </is>
      </c>
      <c r="G436" s="3" t="inlineStr">
        <is>
          <t>Trestle Steel Erection Allowance</t>
        </is>
      </c>
    </row>
    <row r="437">
      <c r="A437" s="3" t="inlineStr">
        <is>
          <t>ASM-PRICE</t>
        </is>
      </c>
      <c r="B437" s="3" t="inlineStr">
        <is>
          <t>Pricing Allowances</t>
        </is>
      </c>
      <c r="C437" s="3" t="inlineStr">
        <is>
          <t>ASM-PRICE-165</t>
        </is>
      </c>
      <c r="D437" s="3" t="inlineStr">
        <is>
          <t>Trestle Structural Steel Supply Allowance</t>
        </is>
      </c>
      <c r="E437" s="3" t="inlineStr">
        <is>
          <t>PKG-08</t>
        </is>
      </c>
      <c r="F437" s="3" t="inlineStr">
        <is>
          <t>A-813</t>
        </is>
      </c>
      <c r="G437" s="3" t="inlineStr">
        <is>
          <t>Trestle Structural Steel Supply Allowance</t>
        </is>
      </c>
    </row>
    <row r="438">
      <c r="A438" s="3" t="inlineStr">
        <is>
          <t>ASM-PRICE</t>
        </is>
      </c>
      <c r="B438" s="3" t="inlineStr">
        <is>
          <t>Pricing Allowances</t>
        </is>
      </c>
      <c r="C438" s="3" t="inlineStr">
        <is>
          <t>ASM-PRICE-166</t>
        </is>
      </c>
      <c r="D438" s="3" t="inlineStr">
        <is>
          <t>VFPA PER Compliance Monitoring Allowance</t>
        </is>
      </c>
      <c r="E438" s="3" t="inlineStr">
        <is>
          <t>PKG-32</t>
        </is>
      </c>
      <c r="F438" s="3" t="inlineStr">
        <is>
          <t>A-3203</t>
        </is>
      </c>
      <c r="G438" s="3" t="inlineStr">
        <is>
          <t>VFPA PER Compliance Monitoring Allowance</t>
        </is>
      </c>
    </row>
    <row r="439">
      <c r="A439" s="3" t="inlineStr">
        <is>
          <t>ASM-PRICE</t>
        </is>
      </c>
      <c r="B439" s="3" t="inlineStr">
        <is>
          <t>Pricing Allowances</t>
        </is>
      </c>
      <c r="C439" s="3" t="inlineStr">
        <is>
          <t>ASM-PRICE-167</t>
        </is>
      </c>
      <c r="D439" s="3" t="inlineStr">
        <is>
          <t>Valve O&amp;M manuals and documentation **included in valve supply cost** (no separa...</t>
        </is>
      </c>
      <c r="E439" s="3" t="inlineStr">
        <is>
          <t>PKG-16</t>
        </is>
      </c>
      <c r="F439" s="3" t="inlineStr">
        <is>
          <t>A-1643</t>
        </is>
      </c>
      <c r="G439" s="3" t="inlineStr">
        <is>
          <t>Valve O&amp;M manuals and documentation **included in valve su..</t>
        </is>
      </c>
    </row>
    <row r="440">
      <c r="A440" s="3" t="inlineStr">
        <is>
          <t>ASM-PRICE</t>
        </is>
      </c>
      <c r="B440" s="3" t="inlineStr">
        <is>
          <t>Pricing Allowances</t>
        </is>
      </c>
      <c r="C440" s="3" t="inlineStr">
        <is>
          <t>ASM-PRICE-168</t>
        </is>
      </c>
      <c r="D440" s="3" t="inlineStr">
        <is>
          <t>Valve bolting and gaskets estimated at **5% of valve cost**</t>
        </is>
      </c>
      <c r="E440" s="3" t="inlineStr">
        <is>
          <t>PKG-16</t>
        </is>
      </c>
      <c r="F440" s="3" t="inlineStr">
        <is>
          <t>A-1627</t>
        </is>
      </c>
      <c r="G440" s="3" t="inlineStr">
        <is>
          <t>Valve bolting and gaskets estimated at **5% of valve cost*..</t>
        </is>
      </c>
    </row>
    <row r="441">
      <c r="A441" s="3" t="inlineStr">
        <is>
          <t>ASM-PRICE</t>
        </is>
      </c>
      <c r="B441" s="3" t="inlineStr">
        <is>
          <t>Pricing Allowances</t>
        </is>
      </c>
      <c r="C441" s="3" t="inlineStr">
        <is>
          <t>ASM-PRICE-169</t>
        </is>
      </c>
      <c r="D441" s="3" t="inlineStr">
        <is>
          <t>Valve factory acceptance testing (FAT) **included in valve supply cost**; site a...</t>
        </is>
      </c>
      <c r="E441" s="3" t="inlineStr">
        <is>
          <t>PKG-16</t>
        </is>
      </c>
      <c r="F441" s="3" t="inlineStr">
        <is>
          <t>A-1645</t>
        </is>
      </c>
      <c r="G441" s="3" t="inlineStr">
        <is>
          <t>Valve factory acceptance testing (FAT) **included in valve..</t>
        </is>
      </c>
    </row>
    <row r="442">
      <c r="A442" s="3" t="inlineStr">
        <is>
          <t>ASM-PRICE</t>
        </is>
      </c>
      <c r="B442" s="3" t="inlineStr">
        <is>
          <t>Pricing Allowances</t>
        </is>
      </c>
      <c r="C442" s="3" t="inlineStr">
        <is>
          <t>ASM-PRICE-170</t>
        </is>
      </c>
      <c r="D442" s="3" t="inlineStr">
        <is>
          <t>Valve freight estimated at **8% of valve FOB cost**</t>
        </is>
      </c>
      <c r="E442" s="3" t="inlineStr">
        <is>
          <t>PKG-16</t>
        </is>
      </c>
      <c r="F442" s="3" t="inlineStr">
        <is>
          <t>A-1623</t>
        </is>
      </c>
      <c r="G442" s="3" t="inlineStr">
        <is>
          <t>Valve freight estimated at **8% of valve FOB cost**</t>
        </is>
      </c>
    </row>
    <row r="443">
      <c r="A443" s="3" t="inlineStr">
        <is>
          <t>ASM-PRICE</t>
        </is>
      </c>
      <c r="B443" s="3" t="inlineStr">
        <is>
          <t>Pricing Allowances</t>
        </is>
      </c>
      <c r="C443" s="3" t="inlineStr">
        <is>
          <t>ASM-PRICE-171</t>
        </is>
      </c>
      <c r="D443" s="3" t="inlineStr">
        <is>
          <t>Valve installation equipment (crane, rigging, lifting gear) included in **CD ins...</t>
        </is>
      </c>
      <c r="E443" s="3" t="inlineStr">
        <is>
          <t>PKG-16</t>
        </is>
      </c>
      <c r="F443" s="3" t="inlineStr">
        <is>
          <t>A-1628</t>
        </is>
      </c>
      <c r="G443" s="3" t="inlineStr">
        <is>
          <t>Valve installation equipment (crane, rigging, lifting gear..</t>
        </is>
      </c>
    </row>
    <row r="444">
      <c r="A444" s="3" t="inlineStr">
        <is>
          <t>ASM-PRICE</t>
        </is>
      </c>
      <c r="B444" s="3" t="inlineStr">
        <is>
          <t>Pricing Allowances</t>
        </is>
      </c>
      <c r="C444" s="3" t="inlineStr">
        <is>
          <t>ASM-PRICE-172</t>
        </is>
      </c>
      <c r="D444" s="3" t="inlineStr">
        <is>
          <t>Valve nameplates and tags **included** in valve supply cost (no separate allowan...</t>
        </is>
      </c>
      <c r="E444" s="3" t="inlineStr">
        <is>
          <t>PKG-16</t>
        </is>
      </c>
      <c r="F444" s="3" t="inlineStr">
        <is>
          <t>A-1636</t>
        </is>
      </c>
      <c r="G444" s="3" t="inlineStr">
        <is>
          <t>Valve nameplates and tags **included** in valve supply cos..</t>
        </is>
      </c>
    </row>
    <row r="445">
      <c r="A445" s="3" t="inlineStr">
        <is>
          <t>ASM-PRICE</t>
        </is>
      </c>
      <c r="B445" s="3" t="inlineStr">
        <is>
          <t>Pricing Allowances</t>
        </is>
      </c>
      <c r="C445" s="3" t="inlineStr">
        <is>
          <t>ASM-PRICE-173</t>
        </is>
      </c>
      <c r="D445" s="3" t="inlineStr">
        <is>
          <t>Waste Disposal and Hauling Allowance</t>
        </is>
      </c>
      <c r="E445" s="3" t="inlineStr">
        <is>
          <t>PKG-01</t>
        </is>
      </c>
      <c r="F445" s="3" t="inlineStr">
        <is>
          <t>A-111</t>
        </is>
      </c>
      <c r="G445" s="3" t="inlineStr">
        <is>
          <t>Waste Disposal and Hauling Allowance</t>
        </is>
      </c>
    </row>
    <row r="446">
      <c r="A446" s="3" t="inlineStr">
        <is>
          <t>ASM-PRICE</t>
        </is>
      </c>
      <c r="B446" s="3" t="inlineStr">
        <is>
          <t>Pricing Allowances</t>
        </is>
      </c>
      <c r="C446" s="3" t="inlineStr">
        <is>
          <t>ASM-PRICE-174</t>
        </is>
      </c>
      <c r="D446" s="3" t="inlineStr">
        <is>
          <t>Waste Management Records Allowance</t>
        </is>
      </c>
      <c r="E446" s="3" t="inlineStr">
        <is>
          <t>PKG-33</t>
        </is>
      </c>
      <c r="F446" s="3" t="inlineStr">
        <is>
          <t>A-006</t>
        </is>
      </c>
      <c r="G446" s="3" t="inlineStr">
        <is>
          <t>Waste Management Records Allowance</t>
        </is>
      </c>
    </row>
    <row r="447">
      <c r="A447" s="3" t="inlineStr">
        <is>
          <t>ASM-PRICE</t>
        </is>
      </c>
      <c r="B447" s="3" t="inlineStr">
        <is>
          <t>Pricing Allowances</t>
        </is>
      </c>
      <c r="C447" s="3" t="inlineStr">
        <is>
          <t>ASM-PRICE-175</t>
        </is>
      </c>
      <c r="D447" s="3" t="inlineStr">
        <is>
          <t>Waterstops and joint materials for containment walls estimated at $45,000 CAD al...</t>
        </is>
      </c>
      <c r="E447" s="3" t="inlineStr">
        <is>
          <t>PKG-05</t>
        </is>
      </c>
      <c r="F447" s="3" t="inlineStr">
        <is>
          <t>A-011</t>
        </is>
      </c>
      <c r="G447" s="3" t="inlineStr">
        <is>
          <t>Waterstops and joint materials for containment walls estim..</t>
        </is>
      </c>
    </row>
    <row r="448">
      <c r="A448" s="3" t="inlineStr">
        <is>
          <t>ASM-PRICE</t>
        </is>
      </c>
      <c r="B448" s="3" t="inlineStr">
        <is>
          <t>Pricing Allowances</t>
        </is>
      </c>
      <c r="C448" s="3" t="inlineStr">
        <is>
          <t>ASM-PRICE-176</t>
        </is>
      </c>
      <c r="D448" s="3" t="inlineStr">
        <is>
          <t>Waterway Pollution Control Method Statement Allowance</t>
        </is>
      </c>
      <c r="E448" s="3" t="inlineStr">
        <is>
          <t>PKG-33</t>
        </is>
      </c>
      <c r="F448" s="3" t="inlineStr">
        <is>
          <t>A-008</t>
        </is>
      </c>
      <c r="G448" s="3" t="inlineStr">
        <is>
          <t>Waterway Pollution Control Method Statement Allowance</t>
        </is>
      </c>
    </row>
    <row r="449">
      <c r="A449" s="3" t="inlineStr">
        <is>
          <t>ASM-QTY</t>
        </is>
      </c>
      <c r="B449" s="3" t="inlineStr">
        <is>
          <t>Quantity Assumptions</t>
        </is>
      </c>
      <c r="C449" s="3" t="inlineStr">
        <is>
          <t>ASM-QTY-177</t>
        </is>
      </c>
      <c r="D449" s="3" t="inlineStr">
        <is>
          <t>2,000 meters of fiber optic cable for control network backbone</t>
        </is>
      </c>
      <c r="E449" s="3" t="inlineStr">
        <is>
          <t>PKG-19</t>
        </is>
      </c>
      <c r="F449" s="3" t="inlineStr">
        <is>
          <t>A-010</t>
        </is>
      </c>
      <c r="G449" s="3" t="inlineStr">
        <is>
          <t>2,000 meters of fiber optic cable for control network back..</t>
        </is>
      </c>
    </row>
    <row r="450">
      <c r="A450" s="3" t="inlineStr">
        <is>
          <t>ASM-QTY</t>
        </is>
      </c>
      <c r="B450" s="3" t="inlineStr">
        <is>
          <t>Quantity Assumptions</t>
        </is>
      </c>
      <c r="C450" s="3" t="inlineStr">
        <is>
          <t>ASM-QTY-178</t>
        </is>
      </c>
      <c r="D450" s="3" t="inlineStr">
        <is>
          <t>Actuator distribution: 60% manual, 30% pneumatic, 10% electric (by valve count)</t>
        </is>
      </c>
      <c r="E450" s="3" t="inlineStr">
        <is>
          <t>PKG-16</t>
        </is>
      </c>
      <c r="F450" s="3" t="inlineStr">
        <is>
          <t>A-1604</t>
        </is>
      </c>
      <c r="G450" s="3" t="inlineStr">
        <is>
          <t>Actuator distribution: 60% manual, 30% pneumatic, 10% elec..</t>
        </is>
      </c>
    </row>
    <row r="451">
      <c r="A451" s="3" t="inlineStr">
        <is>
          <t>ASM-QTY</t>
        </is>
      </c>
      <c r="B451" s="3" t="inlineStr">
        <is>
          <t>Quantity Assumptions</t>
        </is>
      </c>
      <c r="C451" s="3" t="inlineStr">
        <is>
          <t>ASM-QTY-179</t>
        </is>
      </c>
      <c r="D451" s="3" t="inlineStr">
        <is>
          <t>Distribution Panels Quantity</t>
        </is>
      </c>
      <c r="E451" s="3" t="inlineStr">
        <is>
          <t>PKG-17</t>
        </is>
      </c>
      <c r="F451" s="3" t="inlineStr">
        <is>
          <t>A-1710</t>
        </is>
      </c>
      <c r="G451" s="3" t="inlineStr">
        <is>
          <t>Distribution Panels Quantity</t>
        </is>
      </c>
    </row>
    <row r="452">
      <c r="A452" s="3" t="inlineStr">
        <is>
          <t>ASM-QTY</t>
        </is>
      </c>
      <c r="B452" s="3" t="inlineStr">
        <is>
          <t>Quantity Assumptions</t>
        </is>
      </c>
      <c r="C452" s="3" t="inlineStr">
        <is>
          <t>ASM-QTY-180</t>
        </is>
      </c>
      <c r="D452" s="3" t="inlineStr">
        <is>
          <t>Estimated I/O count: 600-800 points based on facility scope</t>
        </is>
      </c>
      <c r="E452" s="3" t="inlineStr">
        <is>
          <t>PKG-19</t>
        </is>
      </c>
      <c r="F452" s="3" t="inlineStr">
        <is>
          <t>A-006</t>
        </is>
      </c>
      <c r="G452" s="3" t="inlineStr">
        <is>
          <t>Estimated I/O count: 600-800 points based on facility scop..</t>
        </is>
      </c>
    </row>
    <row r="453">
      <c r="A453" s="3" t="inlineStr">
        <is>
          <t>ASM-QTY</t>
        </is>
      </c>
      <c r="B453" s="3" t="inlineStr">
        <is>
          <t>Quantity Assumptions</t>
        </is>
      </c>
      <c r="C453" s="3" t="inlineStr">
        <is>
          <t>ASM-QTY-181</t>
        </is>
      </c>
      <c r="D453" s="3" t="inlineStr">
        <is>
          <t>Fire Hydrant Quantity</t>
        </is>
      </c>
      <c r="E453" s="3" t="inlineStr">
        <is>
          <t>PKG-23</t>
        </is>
      </c>
      <c r="F453" s="3" t="inlineStr">
        <is>
          <t>A-002</t>
        </is>
      </c>
      <c r="G453" s="3" t="inlineStr">
        <is>
          <t>Fire Hydrant Quantity</t>
        </is>
      </c>
    </row>
    <row r="454">
      <c r="A454" s="3" t="inlineStr">
        <is>
          <t>ASM-QTY</t>
        </is>
      </c>
      <c r="B454" s="3" t="inlineStr">
        <is>
          <t>Quantity Assumptions</t>
        </is>
      </c>
      <c r="C454" s="3" t="inlineStr">
        <is>
          <t>ASM-QTY-182</t>
        </is>
      </c>
      <c r="D454" s="3" t="inlineStr">
        <is>
          <t>Instrument Cable Quantity</t>
        </is>
      </c>
      <c r="E454" s="3" t="inlineStr">
        <is>
          <t>PKG-20</t>
        </is>
      </c>
      <c r="F454" s="3" t="inlineStr">
        <is>
          <t>A-008</t>
        </is>
      </c>
      <c r="G454" s="3" t="inlineStr">
        <is>
          <t>Instrument Cable Quantity</t>
        </is>
      </c>
    </row>
    <row r="455">
      <c r="A455" s="3" t="inlineStr">
        <is>
          <t>ASM-QTY</t>
        </is>
      </c>
      <c r="B455" s="3" t="inlineStr">
        <is>
          <t>Quantity Assumptions</t>
        </is>
      </c>
      <c r="C455" s="3" t="inlineStr">
        <is>
          <t>ASM-QTY-183</t>
        </is>
      </c>
      <c r="D455" s="3" t="inlineStr">
        <is>
          <t>Junction Box Quantity</t>
        </is>
      </c>
      <c r="E455" s="3" t="inlineStr">
        <is>
          <t>PKG-20</t>
        </is>
      </c>
      <c r="F455" s="3" t="inlineStr">
        <is>
          <t>A-009</t>
        </is>
      </c>
      <c r="G455" s="3" t="inlineStr">
        <is>
          <t>Junction Box Quantity</t>
        </is>
      </c>
    </row>
    <row r="456">
      <c r="A456" s="3" t="inlineStr">
        <is>
          <t>ASM-QTY</t>
        </is>
      </c>
      <c r="B456" s="3" t="inlineStr">
        <is>
          <t>Quantity Assumptions</t>
        </is>
      </c>
      <c r="C456" s="3" t="inlineStr">
        <is>
          <t>ASM-QTY-184</t>
        </is>
      </c>
      <c r="D456" s="3" t="inlineStr">
        <is>
          <t>Loading arm is single-arm configuration (not dual counterweighted arms)</t>
        </is>
      </c>
      <c r="E456" s="3" t="inlineStr">
        <is>
          <t>PKG-11</t>
        </is>
      </c>
      <c r="F456" s="3" t="inlineStr">
        <is>
          <t>A-018</t>
        </is>
      </c>
      <c r="G456" s="3" t="inlineStr">
        <is>
          <t>Loading arm is single-arm configuration (not dual counterw..</t>
        </is>
      </c>
    </row>
    <row r="457">
      <c r="A457" s="3" t="inlineStr">
        <is>
          <t>ASM-QTY</t>
        </is>
      </c>
      <c r="B457" s="3" t="inlineStr">
        <is>
          <t>Quantity Assumptions</t>
        </is>
      </c>
      <c r="C457" s="3" t="inlineStr">
        <is>
          <t>ASM-QTY-185</t>
        </is>
      </c>
      <c r="D457" s="3" t="inlineStr">
        <is>
          <t>MV/LV Transformers Quantity and Sizing</t>
        </is>
      </c>
      <c r="E457" s="3" t="inlineStr">
        <is>
          <t>PKG-17</t>
        </is>
      </c>
      <c r="F457" s="3" t="inlineStr">
        <is>
          <t>A-1706</t>
        </is>
      </c>
      <c r="G457" s="3" t="inlineStr">
        <is>
          <t>MV/LV Transformers Quantity and Sizing</t>
        </is>
      </c>
    </row>
    <row r="458">
      <c r="A458" s="3" t="inlineStr">
        <is>
          <t>ASM-QTY</t>
        </is>
      </c>
      <c r="B458" s="3" t="inlineStr">
        <is>
          <t>Quantity Assumptions</t>
        </is>
      </c>
      <c r="C458" s="3" t="inlineStr">
        <is>
          <t>ASM-QTY-186</t>
        </is>
      </c>
      <c r="D458" s="3" t="inlineStr">
        <is>
          <t>Major Equipment Count</t>
        </is>
      </c>
      <c r="E458" s="3" t="inlineStr">
        <is>
          <t>PKG-31</t>
        </is>
      </c>
      <c r="F458" s="3" t="inlineStr">
        <is>
          <t>A-003</t>
        </is>
      </c>
      <c r="G458" s="3" t="inlineStr">
        <is>
          <t>Major Equipment Count</t>
        </is>
      </c>
    </row>
    <row r="459">
      <c r="A459" s="3" t="inlineStr">
        <is>
          <t>ASM-QTY</t>
        </is>
      </c>
      <c r="B459" s="3" t="inlineStr">
        <is>
          <t>Quantity Assumptions</t>
        </is>
      </c>
      <c r="C459" s="3" t="inlineStr">
        <is>
          <t>ASM-QTY-187</t>
        </is>
      </c>
      <c r="D459" s="3" t="inlineStr">
        <is>
          <t>Motor Control Centers Quantity and Distribution</t>
        </is>
      </c>
      <c r="E459" s="3" t="inlineStr">
        <is>
          <t>PKG-17</t>
        </is>
      </c>
      <c r="F459" s="3" t="inlineStr">
        <is>
          <t>A-1709</t>
        </is>
      </c>
      <c r="G459" s="3" t="inlineStr">
        <is>
          <t>Motor Control Centers Quantity and Distribution</t>
        </is>
      </c>
    </row>
    <row r="460">
      <c r="A460" s="3" t="inlineStr">
        <is>
          <t>ASM-QTY</t>
        </is>
      </c>
      <c r="B460" s="3" t="inlineStr">
        <is>
          <t>Quantity Assumptions</t>
        </is>
      </c>
      <c r="C460" s="3" t="inlineStr">
        <is>
          <t>ASM-QTY-188</t>
        </is>
      </c>
      <c r="D460" s="3" t="inlineStr">
        <is>
          <t>Operational Systems Count</t>
        </is>
      </c>
      <c r="E460" s="3" t="inlineStr">
        <is>
          <t>PKG-31</t>
        </is>
      </c>
      <c r="F460" s="3" t="inlineStr">
        <is>
          <t>A-002</t>
        </is>
      </c>
      <c r="G460" s="3" t="inlineStr">
        <is>
          <t>Operational Systems Count</t>
        </is>
      </c>
    </row>
    <row r="461">
      <c r="A461" s="3" t="inlineStr">
        <is>
          <t>ASM-QTY</t>
        </is>
      </c>
      <c r="B461" s="3" t="inlineStr">
        <is>
          <t>Quantity Assumptions</t>
        </is>
      </c>
      <c r="C461" s="3" t="inlineStr">
        <is>
          <t>ASM-QTY-189</t>
        </is>
      </c>
      <c r="D461" s="3" t="inlineStr">
        <is>
          <t>Plumbing Fixture Count and Equipment</t>
        </is>
      </c>
      <c r="E461" s="3" t="inlineStr">
        <is>
          <t>PKG-22</t>
        </is>
      </c>
      <c r="F461" s="3" t="inlineStr">
        <is>
          <t>A-002</t>
        </is>
      </c>
      <c r="G461" s="3" t="inlineStr">
        <is>
          <t>Plumbing Fixture Count and Equipment</t>
        </is>
      </c>
    </row>
    <row r="462">
      <c r="A462" s="3" t="inlineStr">
        <is>
          <t>ASM-QTY</t>
        </is>
      </c>
      <c r="B462" s="3" t="inlineStr">
        <is>
          <t>Quantity Assumptions</t>
        </is>
      </c>
      <c r="C462" s="3" t="inlineStr">
        <is>
          <t>ASM-QTY-190</t>
        </is>
      </c>
      <c r="D462" s="3" t="inlineStr">
        <is>
          <t>Total Drawing Count</t>
        </is>
      </c>
      <c r="E462" s="3" t="inlineStr">
        <is>
          <t>PKG-31</t>
        </is>
      </c>
      <c r="F462" s="3" t="inlineStr">
        <is>
          <t>A-001</t>
        </is>
      </c>
      <c r="G462" s="3" t="inlineStr">
        <is>
          <t>Total Drawing Count</t>
        </is>
      </c>
    </row>
    <row r="463">
      <c r="A463" s="3" t="inlineStr">
        <is>
          <t>ASM-QTY</t>
        </is>
      </c>
      <c r="B463" s="3" t="inlineStr">
        <is>
          <t>Quantity Assumptions</t>
        </is>
      </c>
      <c r="C463" s="3" t="inlineStr">
        <is>
          <t>ASM-QTY-191</t>
        </is>
      </c>
      <c r="D463" s="3" t="inlineStr">
        <is>
          <t>Total valve count estimated at **220 valves** (30 control, 150 isolation, 20 rel...</t>
        </is>
      </c>
      <c r="E463" s="3" t="inlineStr">
        <is>
          <t>PKG-16</t>
        </is>
      </c>
      <c r="F463" s="3" t="inlineStr">
        <is>
          <t>A-1601</t>
        </is>
      </c>
      <c r="G463" s="3" t="inlineStr">
        <is>
          <t>Total valve count estimated at **220 valves** (30 control,..</t>
        </is>
      </c>
    </row>
    <row r="464">
      <c r="A464" s="3" t="inlineStr">
        <is>
          <t>ASM-QTY</t>
        </is>
      </c>
      <c r="B464" s="3" t="inlineStr">
        <is>
          <t>Quantity Assumptions</t>
        </is>
      </c>
      <c r="C464" s="3" t="inlineStr">
        <is>
          <t>ASM-QTY-192</t>
        </is>
      </c>
      <c r="D464" s="3" t="inlineStr">
        <is>
          <t>Trenchless Crossing Count — 2-4 Crossings</t>
        </is>
      </c>
      <c r="E464" s="3" t="inlineStr">
        <is>
          <t>PKG-34</t>
        </is>
      </c>
      <c r="F464" s="3" t="inlineStr">
        <is>
          <t>A-007</t>
        </is>
      </c>
      <c r="G464" s="3" t="inlineStr">
        <is>
          <t>Trenchless Crossing Count — 2-4 Crossings</t>
        </is>
      </c>
    </row>
    <row r="465">
      <c r="A465" s="3" t="inlineStr">
        <is>
          <t>ASM-QTY</t>
        </is>
      </c>
      <c r="B465" s="3" t="inlineStr">
        <is>
          <t>Quantity Assumptions</t>
        </is>
      </c>
      <c r="C465" s="3" t="inlineStr">
        <is>
          <t>ASM-QTY-193</t>
        </is>
      </c>
      <c r="D465" s="3" t="inlineStr">
        <is>
          <t>Valve count by type: 30 control (13%), 150 isolation (68%), 20 relief (9%), 20 s...</t>
        </is>
      </c>
      <c r="E465" s="3" t="inlineStr">
        <is>
          <t>PKG-16</t>
        </is>
      </c>
      <c r="F465" s="3" t="inlineStr">
        <is>
          <t>A-1608</t>
        </is>
      </c>
      <c r="G465" s="3" t="inlineStr">
        <is>
          <t>Valve count by type: 30 control (13%), 150 isolation (68%)..</t>
        </is>
      </c>
    </row>
    <row r="466">
      <c r="A466" s="3" t="inlineStr">
        <is>
          <t>ASM-SCOPE</t>
        </is>
      </c>
      <c r="B466" s="3" t="inlineStr">
        <is>
          <t>Scope Boundaries</t>
        </is>
      </c>
      <c r="C466" s="3" t="inlineStr">
        <is>
          <t>ASM-SCOPE-194</t>
        </is>
      </c>
      <c r="D466" s="3" t="inlineStr">
        <is>
          <t>Construction Indirects Factor</t>
        </is>
      </c>
      <c r="E466" s="3" t="inlineStr">
        <is>
          <t>PKG-14</t>
        </is>
      </c>
      <c r="F466" s="3" t="inlineStr">
        <is>
          <t>A-022</t>
        </is>
      </c>
      <c r="G466" s="3" t="inlineStr">
        <is>
          <t>Weather impacts included in CI factor; no explicit weather..</t>
        </is>
      </c>
    </row>
    <row r="467">
      <c r="A467" s="3" t="inlineStr">
        <is>
          <t>ASM-SCOPE</t>
        </is>
      </c>
      <c r="B467" s="3" t="inlineStr">
        <is>
          <t>Scope Boundaries</t>
        </is>
      </c>
      <c r="C467" s="3" t="inlineStr">
        <is>
          <t>ASM-SCOPE-194</t>
        </is>
      </c>
      <c r="D467" s="3" t="inlineStr">
        <is>
          <t>Construction Indirects Factor</t>
        </is>
      </c>
      <c r="E467" s="3" t="inlineStr">
        <is>
          <t>PKG-15</t>
        </is>
      </c>
      <c r="F467" s="3" t="inlineStr">
        <is>
          <t>A-007</t>
        </is>
      </c>
      <c r="G467" s="3" t="inlineStr">
        <is>
          <t>Construction indirects estimated at 18% of Construction Di..</t>
        </is>
      </c>
    </row>
    <row r="468">
      <c r="A468" s="3" t="inlineStr">
        <is>
          <t>ASM-SCOPE</t>
        </is>
      </c>
      <c r="B468" s="3" t="inlineStr">
        <is>
          <t>Scope Boundaries</t>
        </is>
      </c>
      <c r="C468" s="3" t="inlineStr">
        <is>
          <t>ASM-SCOPE-194</t>
        </is>
      </c>
      <c r="D468" s="3" t="inlineStr">
        <is>
          <t>Construction Indirects Factor</t>
        </is>
      </c>
      <c r="E468" s="3" t="inlineStr">
        <is>
          <t>PKG-16</t>
        </is>
      </c>
      <c r="F468" s="3" t="inlineStr">
        <is>
          <t>A-1637</t>
        </is>
      </c>
      <c r="G468" s="3" t="inlineStr">
        <is>
          <t>Valve storage and preservation **included in CI (Construct..</t>
        </is>
      </c>
    </row>
    <row r="469">
      <c r="A469" s="3" t="inlineStr">
        <is>
          <t>ASM-SCOPE</t>
        </is>
      </c>
      <c r="B469" s="3" t="inlineStr">
        <is>
          <t>Scope Boundaries</t>
        </is>
      </c>
      <c r="C469" s="3" t="inlineStr">
        <is>
          <t>ASM-SCOPE-195</t>
        </is>
      </c>
      <c r="D469" s="3" t="inlineStr">
        <is>
          <t>Scope Exclusions</t>
        </is>
      </c>
      <c r="E469" s="3" t="inlineStr">
        <is>
          <t>PKG-16</t>
        </is>
      </c>
      <c r="F469" s="3" t="inlineStr">
        <is>
          <t>A-1611</t>
        </is>
      </c>
      <c r="G469" s="3" t="inlineStr">
        <is>
          <t>Specialty equipment includes **20 check valves**; other sp..</t>
        </is>
      </c>
    </row>
    <row r="470">
      <c r="A470" s="3" t="inlineStr">
        <is>
          <t>ASM-SCOPE</t>
        </is>
      </c>
      <c r="B470" s="3" t="inlineStr">
        <is>
          <t>Scope Boundaries</t>
        </is>
      </c>
      <c r="C470" s="3" t="inlineStr">
        <is>
          <t>ASM-SCOPE-195</t>
        </is>
      </c>
      <c r="D470" s="3" t="inlineStr">
        <is>
          <t>Scope Exclusions</t>
        </is>
      </c>
      <c r="E470" s="3" t="inlineStr">
        <is>
          <t>PKG-16</t>
        </is>
      </c>
      <c r="F470" s="3" t="inlineStr">
        <is>
          <t>A-1634</t>
        </is>
      </c>
      <c r="G470" s="3" t="inlineStr">
        <is>
          <t>Valve spare parts **excluded** from PKG-16 estimate (likel..</t>
        </is>
      </c>
    </row>
    <row r="471">
      <c r="A471" s="3" t="inlineStr">
        <is>
          <t>ASM-SCOPE</t>
        </is>
      </c>
      <c r="B471" s="3" t="inlineStr">
        <is>
          <t>Scope Boundaries</t>
        </is>
      </c>
      <c r="C471" s="3" t="inlineStr">
        <is>
          <t>ASM-SCOPE-196</t>
        </is>
      </c>
      <c r="D471" s="3" t="inlineStr">
        <is>
          <t>Cable Pulling and Termination Scope</t>
        </is>
      </c>
      <c r="E471" s="3" t="inlineStr">
        <is>
          <t>PKG-17</t>
        </is>
      </c>
      <c r="F471" s="3" t="inlineStr">
        <is>
          <t>A-1728</t>
        </is>
      </c>
      <c r="G471" s="3" t="inlineStr">
        <is>
          <t>Cable Pulling and Termination Scope</t>
        </is>
      </c>
    </row>
    <row r="472">
      <c r="A472" s="3" t="inlineStr">
        <is>
          <t>ASM-SCOPE</t>
        </is>
      </c>
      <c r="B472" s="3" t="inlineStr">
        <is>
          <t>Scope Boundaries</t>
        </is>
      </c>
      <c r="C472" s="3" t="inlineStr">
        <is>
          <t>ASM-SCOPE-197</t>
        </is>
      </c>
      <c r="D472" s="3" t="inlineStr">
        <is>
          <t>Electrical Testing and Commissioning Support Scope</t>
        </is>
      </c>
      <c r="E472" s="3" t="inlineStr">
        <is>
          <t>PKG-17</t>
        </is>
      </c>
      <c r="F472" s="3" t="inlineStr">
        <is>
          <t>A-1729</t>
        </is>
      </c>
      <c r="G472" s="3" t="inlineStr">
        <is>
          <t>Electrical Testing and Commissioning Support Scope</t>
        </is>
      </c>
    </row>
    <row r="473">
      <c r="A473" s="3" t="inlineStr">
        <is>
          <t>ASM-SCOPE</t>
        </is>
      </c>
      <c r="B473" s="3" t="inlineStr">
        <is>
          <t>Scope Boundaries</t>
        </is>
      </c>
      <c r="C473" s="3" t="inlineStr">
        <is>
          <t>ASM-SCOPE-198</t>
        </is>
      </c>
      <c r="D473" s="3" t="inlineStr">
        <is>
          <t>Fire Water Loop Piping Scope</t>
        </is>
      </c>
      <c r="E473" s="3" t="inlineStr">
        <is>
          <t>PKG-23</t>
        </is>
      </c>
      <c r="F473" s="3" t="inlineStr">
        <is>
          <t>A-001</t>
        </is>
      </c>
      <c r="G473" s="3" t="inlineStr">
        <is>
          <t>Fire Water Loop Piping Scope</t>
        </is>
      </c>
    </row>
    <row r="474">
      <c r="A474" s="3" t="inlineStr">
        <is>
          <t>ASM-SCOPE</t>
        </is>
      </c>
      <c r="B474" s="3" t="inlineStr">
        <is>
          <t>Scope Boundaries</t>
        </is>
      </c>
      <c r="C474" s="3" t="inlineStr">
        <is>
          <t>ASM-SCOPE-199</t>
        </is>
      </c>
      <c r="D474" s="3" t="inlineStr">
        <is>
          <t>Grounding System Scope</t>
        </is>
      </c>
      <c r="E474" s="3" t="inlineStr">
        <is>
          <t>PKG-17</t>
        </is>
      </c>
      <c r="F474" s="3" t="inlineStr">
        <is>
          <t>A-1712</t>
        </is>
      </c>
      <c r="G474" s="3" t="inlineStr">
        <is>
          <t>Grounding System Scope</t>
        </is>
      </c>
    </row>
    <row r="475">
      <c r="A475" s="3" t="inlineStr">
        <is>
          <t>ASM-SCOPE</t>
        </is>
      </c>
      <c r="B475" s="3" t="inlineStr">
        <is>
          <t>Scope Boundaries</t>
        </is>
      </c>
      <c r="C475" s="3" t="inlineStr">
        <is>
          <t>ASM-SCOPE-200</t>
        </is>
      </c>
      <c r="D475" s="3" t="inlineStr">
        <is>
          <t>Lighting controls include occupancy sensing, daylight harvesting, and time sched...</t>
        </is>
      </c>
      <c r="E475" s="3" t="inlineStr">
        <is>
          <t>PKG-18</t>
        </is>
      </c>
      <c r="F475" s="3" t="inlineStr">
        <is>
          <t>A-1824</t>
        </is>
      </c>
      <c r="G475" s="3" t="inlineStr">
        <is>
          <t>Lighting controls include occupancy sensing, daylight harv..</t>
        </is>
      </c>
    </row>
    <row r="476">
      <c r="A476" s="3" t="inlineStr">
        <is>
          <t>ASM-SCOPE</t>
        </is>
      </c>
      <c r="B476" s="3" t="inlineStr">
        <is>
          <t>Scope Boundaries</t>
        </is>
      </c>
      <c r="C476" s="3" t="inlineStr">
        <is>
          <t>ASM-SCOPE-201</t>
        </is>
      </c>
      <c r="D476" s="3" t="inlineStr">
        <is>
          <t>Phase 2 connection provisions included in DEL-14.01 scope</t>
        </is>
      </c>
      <c r="E476" s="3" t="inlineStr">
        <is>
          <t>PKG-14</t>
        </is>
      </c>
      <c r="F476" s="3" t="inlineStr">
        <is>
          <t>A-024</t>
        </is>
      </c>
      <c r="G476" s="3" t="inlineStr">
        <is>
          <t>Phase 2 connection provisions included in DEL-14.01 scope</t>
        </is>
      </c>
    </row>
    <row r="477">
      <c r="A477" s="3" t="inlineStr">
        <is>
          <t>ASM-SCOPE</t>
        </is>
      </c>
      <c r="B477" s="3" t="inlineStr">
        <is>
          <t>Scope Boundaries</t>
        </is>
      </c>
      <c r="C477" s="3" t="inlineStr">
        <is>
          <t>ASM-SCOPE-202</t>
        </is>
      </c>
      <c r="D477" s="3" t="inlineStr">
        <is>
          <t>Testing and Commissioning Scope</t>
        </is>
      </c>
      <c r="E477" s="3" t="inlineStr">
        <is>
          <t>PKG-22</t>
        </is>
      </c>
      <c r="F477" s="3" t="inlineStr">
        <is>
          <t>A-013</t>
        </is>
      </c>
      <c r="G477" s="3" t="inlineStr">
        <is>
          <t>Testing and Commissioning Scope</t>
        </is>
      </c>
    </row>
    <row r="478">
      <c r="A478" s="3" t="inlineStr">
        <is>
          <t>ASM-SCOPE</t>
        </is>
      </c>
      <c r="B478" s="3" t="inlineStr">
        <is>
          <t>Scope Boundaries</t>
        </is>
      </c>
      <c r="C478" s="3" t="inlineStr">
        <is>
          <t>ASM-SCOPE-203</t>
        </is>
      </c>
      <c r="D478" s="3" t="inlineStr">
        <is>
          <t>Valve testing (DEL-16.05) included in **COM factor** (no separate testing line)</t>
        </is>
      </c>
      <c r="E478" s="3" t="inlineStr">
        <is>
          <t>PKG-16</t>
        </is>
      </c>
      <c r="F478" s="3" t="inlineStr">
        <is>
          <t>A-1615</t>
        </is>
      </c>
      <c r="G478" s="3" t="inlineStr">
        <is>
          <t>Valve testing (DEL-16.05) included in **COM factor** (no s..</t>
        </is>
      </c>
    </row>
    <row r="479">
      <c r="A479" s="3" t="inlineStr">
        <is>
          <t>ASM-TECH</t>
        </is>
      </c>
      <c r="B479" s="3" t="inlineStr">
        <is>
          <t>Technical Parameters</t>
        </is>
      </c>
      <c r="C479" s="3" t="inlineStr">
        <is>
          <t>ASM-TECH-204</t>
        </is>
      </c>
      <c r="D479" s="3" t="inlineStr">
        <is>
          <t>Material Specification</t>
        </is>
      </c>
      <c r="E479" s="3" t="inlineStr">
        <is>
          <t>PKG-11</t>
        </is>
      </c>
      <c r="F479" s="3" t="inlineStr">
        <is>
          <t>A-019</t>
        </is>
      </c>
      <c r="G479" s="3" t="inlineStr">
        <is>
          <t>Canola oil service does not require exotic materials (stai..</t>
        </is>
      </c>
    </row>
    <row r="480">
      <c r="A480" s="3" t="inlineStr">
        <is>
          <t>ASM-TECH</t>
        </is>
      </c>
      <c r="B480" s="3" t="inlineStr">
        <is>
          <t>Technical Parameters</t>
        </is>
      </c>
      <c r="C480" s="3" t="inlineStr">
        <is>
          <t>ASM-TECH-204</t>
        </is>
      </c>
      <c r="D480" s="3" t="inlineStr">
        <is>
          <t>Material Specification</t>
        </is>
      </c>
      <c r="E480" s="3" t="inlineStr">
        <is>
          <t>PKG-14</t>
        </is>
      </c>
      <c r="F480" s="3" t="inlineStr">
        <is>
          <t>A-023</t>
        </is>
      </c>
      <c r="G480" s="3" t="inlineStr">
        <is>
          <t>Carbon steel construction throughout with no exotic alloys</t>
        </is>
      </c>
    </row>
    <row r="481">
      <c r="A481" s="3" t="inlineStr">
        <is>
          <t>ASM-TECH</t>
        </is>
      </c>
      <c r="B481" s="3" t="inlineStr">
        <is>
          <t>Technical Parameters</t>
        </is>
      </c>
      <c r="C481" s="3" t="inlineStr">
        <is>
          <t>ASM-TECH-204</t>
        </is>
      </c>
      <c r="D481" s="3" t="inlineStr">
        <is>
          <t>Material Specification</t>
        </is>
      </c>
      <c r="E481" s="3" t="inlineStr">
        <is>
          <t>PKG-16</t>
        </is>
      </c>
      <c r="F481" s="3" t="inlineStr">
        <is>
          <t>A-1603</t>
        </is>
      </c>
      <c r="G481" s="3" t="inlineStr">
        <is>
          <t>Product-contact valves specified as **316SS** (stainless s..</t>
        </is>
      </c>
    </row>
    <row r="482">
      <c r="A482" s="3" t="inlineStr">
        <is>
          <t>ASM-TECH</t>
        </is>
      </c>
      <c r="B482" s="3" t="inlineStr">
        <is>
          <t>Technical Parameters</t>
        </is>
      </c>
      <c r="C482" s="3" t="inlineStr">
        <is>
          <t>ASM-TECH-204</t>
        </is>
      </c>
      <c r="D482" s="3" t="inlineStr">
        <is>
          <t>Material Specification</t>
        </is>
      </c>
      <c r="E482" s="3" t="inlineStr">
        <is>
          <t>PKG-16</t>
        </is>
      </c>
      <c r="F482" s="3" t="inlineStr">
        <is>
          <t>A-1625</t>
        </is>
      </c>
      <c r="G482" s="3" t="inlineStr">
        <is>
          <t>Stainless steel valve cost premium: **~2.5× carbon steel b..</t>
        </is>
      </c>
    </row>
    <row r="483">
      <c r="A483" s="3" t="inlineStr">
        <is>
          <t>ASM-TECH</t>
        </is>
      </c>
      <c r="B483" s="3" t="inlineStr">
        <is>
          <t>Technical Parameters</t>
        </is>
      </c>
      <c r="C483" s="3" t="inlineStr">
        <is>
          <t>ASM-TECH-204</t>
        </is>
      </c>
      <c r="D483" s="3" t="inlineStr">
        <is>
          <t>Material Specification</t>
        </is>
      </c>
      <c r="E483" s="3" t="inlineStr">
        <is>
          <t>PKG-18</t>
        </is>
      </c>
      <c r="F483" s="3" t="inlineStr">
        <is>
          <t>A-1819</t>
        </is>
      </c>
      <c r="G483" s="3" t="inlineStr">
        <is>
          <t>Exterior fixtures require IP65+ rating and marine-grade co..</t>
        </is>
      </c>
    </row>
    <row r="484">
      <c r="A484" s="3" t="inlineStr">
        <is>
          <t>ASM-TECH</t>
        </is>
      </c>
      <c r="B484" s="3" t="inlineStr">
        <is>
          <t>Technical Parameters</t>
        </is>
      </c>
      <c r="C484" s="3" t="inlineStr">
        <is>
          <t>ASM-TECH-205</t>
        </is>
      </c>
      <c r="D484" s="3" t="inlineStr">
        <is>
          <t>Contingency Percentage</t>
        </is>
      </c>
      <c r="E484" s="3" t="inlineStr">
        <is>
          <t>PKG-01</t>
        </is>
      </c>
      <c r="F484" s="3" t="inlineStr">
        <is>
          <t>A-110</t>
        </is>
      </c>
      <c r="G484" s="3" t="inlineStr">
        <is>
          <t>Hazardous Materials Contingency Placeholder</t>
        </is>
      </c>
    </row>
    <row r="485">
      <c r="A485" s="3" t="inlineStr">
        <is>
          <t>ASM-TECH</t>
        </is>
      </c>
      <c r="B485" s="3" t="inlineStr">
        <is>
          <t>Technical Parameters</t>
        </is>
      </c>
      <c r="C485" s="3" t="inlineStr">
        <is>
          <t>ASM-TECH-206</t>
        </is>
      </c>
      <c r="D485" s="3" t="inlineStr">
        <is>
          <t>All valves comply with **API/ASME/CSA standards** (premium quality; not economy-...</t>
        </is>
      </c>
      <c r="E485" s="3" t="inlineStr">
        <is>
          <t>PKG-16</t>
        </is>
      </c>
      <c r="F485" s="3" t="inlineStr">
        <is>
          <t>A-1641</t>
        </is>
      </c>
      <c r="G485" s="3" t="inlineStr">
        <is>
          <t>All valves comply with **API/ASME/CSA standards** (premium..</t>
        </is>
      </c>
    </row>
    <row r="486">
      <c r="A486" s="3" t="inlineStr">
        <is>
          <t>ASM-TECH</t>
        </is>
      </c>
      <c r="B486" s="3" t="inlineStr">
        <is>
          <t>Technical Parameters</t>
        </is>
      </c>
      <c r="C486" s="3" t="inlineStr">
        <is>
          <t>ASM-TECH-207</t>
        </is>
      </c>
      <c r="D486" s="3" t="inlineStr">
        <is>
          <t>Fire Water and Fire Alarm Material Pricing</t>
        </is>
      </c>
      <c r="E486" s="3" t="inlineStr">
        <is>
          <t>PKG-23</t>
        </is>
      </c>
      <c r="F486" s="3" t="inlineStr">
        <is>
          <t>A-009</t>
        </is>
      </c>
      <c r="G486" s="3" t="inlineStr">
        <is>
          <t>Fire Water and Fire Alarm Material Pricing</t>
        </is>
      </c>
    </row>
    <row r="487">
      <c r="A487" s="3" t="inlineStr">
        <is>
          <t>ASM-TECH</t>
        </is>
      </c>
      <c r="B487" s="3" t="inlineStr">
        <is>
          <t>Technical Parameters</t>
        </is>
      </c>
      <c r="C487" s="3" t="inlineStr">
        <is>
          <t>ASM-TECH-208</t>
        </is>
      </c>
      <c r="D487" s="3" t="inlineStr">
        <is>
          <t>Foam System Material Pricing</t>
        </is>
      </c>
      <c r="E487" s="3" t="inlineStr">
        <is>
          <t>PKG-23</t>
        </is>
      </c>
      <c r="F487" s="3" t="inlineStr">
        <is>
          <t>A-011</t>
        </is>
      </c>
      <c r="G487" s="3" t="inlineStr">
        <is>
          <t>Foam System Material Pricing</t>
        </is>
      </c>
    </row>
    <row r="488">
      <c r="A488" s="3" t="inlineStr">
        <is>
          <t>ASM-TECH</t>
        </is>
      </c>
      <c r="B488" s="3" t="inlineStr">
        <is>
          <t>Technical Parameters</t>
        </is>
      </c>
      <c r="C488" s="3" t="inlineStr">
        <is>
          <t>ASM-TECH-209</t>
        </is>
      </c>
      <c r="D488" s="3" t="inlineStr">
        <is>
          <t>Gaskets, bolting, small fittings at ~5% of pipe material</t>
        </is>
      </c>
      <c r="E488" s="3" t="inlineStr">
        <is>
          <t>PKG-14</t>
        </is>
      </c>
      <c r="F488" s="3" t="inlineStr">
        <is>
          <t>A-017</t>
        </is>
      </c>
      <c r="G488" s="3" t="inlineStr">
        <is>
          <t>Gaskets, bolting, small fittings at ~5% of pipe material</t>
        </is>
      </c>
    </row>
    <row r="489">
      <c r="A489" s="3" t="inlineStr">
        <is>
          <t>ASM-TECH</t>
        </is>
      </c>
      <c r="B489" s="3" t="inlineStr">
        <is>
          <t>Technical Parameters</t>
        </is>
      </c>
      <c r="C489" s="3" t="inlineStr">
        <is>
          <t>ASM-TECH-210</t>
        </is>
      </c>
      <c r="D489" s="3" t="inlineStr">
        <is>
          <t>HVAC System Capacity and Equipment</t>
        </is>
      </c>
      <c r="E489" s="3" t="inlineStr">
        <is>
          <t>PKG-22</t>
        </is>
      </c>
      <c r="F489" s="3" t="inlineStr">
        <is>
          <t>A-001</t>
        </is>
      </c>
      <c r="G489" s="3" t="inlineStr">
        <is>
          <t>HVAC System Capacity and Equipment</t>
        </is>
      </c>
    </row>
    <row r="490">
      <c r="A490" s="3" t="inlineStr">
        <is>
          <t>ASM-TECH</t>
        </is>
      </c>
      <c r="B490" s="3" t="inlineStr">
        <is>
          <t>Technical Parameters</t>
        </is>
      </c>
      <c r="C490" s="3" t="inlineStr">
        <is>
          <t>ASM-TECH-211</t>
        </is>
      </c>
      <c r="D490" s="3" t="inlineStr">
        <is>
          <t>Instrument Environment Rating</t>
        </is>
      </c>
      <c r="E490" s="3" t="inlineStr">
        <is>
          <t>PKG-20</t>
        </is>
      </c>
      <c r="F490" s="3" t="inlineStr">
        <is>
          <t>A-003</t>
        </is>
      </c>
      <c r="G490" s="3" t="inlineStr">
        <is>
          <t>Instrument Environment Rating</t>
        </is>
      </c>
    </row>
    <row r="491">
      <c r="A491" s="3" t="inlineStr">
        <is>
          <t>ASM-TECH</t>
        </is>
      </c>
      <c r="B491" s="3" t="inlineStr">
        <is>
          <t>Technical Parameters</t>
        </is>
      </c>
      <c r="C491" s="3" t="inlineStr">
        <is>
          <t>ASM-TECH-212</t>
        </is>
      </c>
      <c r="D491" s="3" t="inlineStr">
        <is>
          <t>Interior process/warehouse area fixtures require IP54+ rating for dust and moist...</t>
        </is>
      </c>
      <c r="E491" s="3" t="inlineStr">
        <is>
          <t>PKG-18</t>
        </is>
      </c>
      <c r="F491" s="3" t="inlineStr">
        <is>
          <t>A-1820</t>
        </is>
      </c>
      <c r="G491" s="3" t="inlineStr">
        <is>
          <t>Interior process/warehouse area fixtures require IP54+ rat..</t>
        </is>
      </c>
    </row>
    <row r="492">
      <c r="A492" s="3" t="inlineStr">
        <is>
          <t>ASM-TECH</t>
        </is>
      </c>
      <c r="B492" s="3" t="inlineStr">
        <is>
          <t>Technical Parameters</t>
        </is>
      </c>
      <c r="C492" s="3" t="inlineStr">
        <is>
          <t>ASM-TECH-213</t>
        </is>
      </c>
      <c r="D492" s="3" t="inlineStr">
        <is>
          <t>Plumbing Piping Materials and Routing</t>
        </is>
      </c>
      <c r="E492" s="3" t="inlineStr">
        <is>
          <t>PKG-22</t>
        </is>
      </c>
      <c r="F492" s="3" t="inlineStr">
        <is>
          <t>A-008</t>
        </is>
      </c>
      <c r="G492" s="3" t="inlineStr">
        <is>
          <t>Plumbing Piping Materials and Routing</t>
        </is>
      </c>
    </row>
    <row r="493">
      <c r="A493" s="3" t="inlineStr">
        <is>
          <t>ASM-TECH</t>
        </is>
      </c>
      <c r="B493" s="3" t="inlineStr">
        <is>
          <t>Technical Parameters</t>
        </is>
      </c>
      <c r="C493" s="3" t="inlineStr">
        <is>
          <t>ASM-TECH-214</t>
        </is>
      </c>
      <c r="D493" s="3" t="inlineStr">
        <is>
          <t>Structural Steel Material Supply (Fabricated Tonnage)</t>
        </is>
      </c>
      <c r="E493" s="3" t="inlineStr">
        <is>
          <t>PKG-06</t>
        </is>
      </c>
      <c r="F493" s="3" t="inlineStr">
        <is>
          <t>A-006</t>
        </is>
      </c>
      <c r="G493" s="3" t="inlineStr">
        <is>
          <t>Structural Steel Material Supply (Fabricated Tonnage)</t>
        </is>
      </c>
    </row>
    <row r="494">
      <c r="A494" s="3" t="inlineStr">
        <is>
          <t>ASM-TECH</t>
        </is>
      </c>
      <c r="B494" s="3" t="inlineStr">
        <is>
          <t>Technical Parameters</t>
        </is>
      </c>
      <c r="C494" s="3" t="inlineStr">
        <is>
          <t>ASM-TECH-215</t>
        </is>
      </c>
      <c r="D494" s="3" t="inlineStr">
        <is>
          <t>Valve materials and coatings suitable for **C4/C5-M corrosion category** (coasta...</t>
        </is>
      </c>
      <c r="E494" s="3" t="inlineStr">
        <is>
          <t>PKG-16</t>
        </is>
      </c>
      <c r="F494" s="3" t="inlineStr">
        <is>
          <t>A-1638</t>
        </is>
      </c>
      <c r="G494" s="3" t="inlineStr">
        <is>
          <t>Valve materials and coatings suitable for **C4/C5-M corros..</t>
        </is>
      </c>
    </row>
    <row r="495">
      <c r="A495" s="3" t="inlineStr">
        <is>
          <t>UNCATEGORIZED</t>
        </is>
      </c>
      <c r="B495" s="3" t="inlineStr">
        <is>
          <t>Uncategorized</t>
        </is>
      </c>
      <c r="C495" s="3" t="inlineStr">
        <is>
          <t>UNCATEGORIZED-216</t>
        </is>
      </c>
      <c r="D495" s="3" t="inlineStr">
        <is>
          <t>Weather/Season Impact</t>
        </is>
      </c>
      <c r="E495" s="3" t="inlineStr">
        <is>
          <t>PKG-10</t>
        </is>
      </c>
      <c r="F495" s="3" t="inlineStr">
        <is>
          <t>A-028</t>
        </is>
      </c>
      <c r="G495" s="3" t="inlineStr">
        <is>
          <t>Year-round construction feasible; winterization may affect..</t>
        </is>
      </c>
    </row>
    <row r="496">
      <c r="A496" s="3" t="inlineStr">
        <is>
          <t>UNCATEGORIZED</t>
        </is>
      </c>
      <c r="B496" s="3" t="inlineStr">
        <is>
          <t>Uncategorized</t>
        </is>
      </c>
      <c r="C496" s="3" t="inlineStr">
        <is>
          <t>UNCATEGORIZED-216</t>
        </is>
      </c>
      <c r="D496" s="3" t="inlineStr">
        <is>
          <t>Weather/Season Impact</t>
        </is>
      </c>
      <c r="E496" s="3" t="inlineStr">
        <is>
          <t>PKG-11</t>
        </is>
      </c>
      <c r="F496" s="3" t="inlineStr">
        <is>
          <t>A-016</t>
        </is>
      </c>
      <c r="G496" s="3" t="inlineStr">
        <is>
          <t>Marine work subject to weather windows; no explicit weathe..</t>
        </is>
      </c>
    </row>
    <row r="497">
      <c r="A497" s="3" t="inlineStr">
        <is>
          <t>UNCATEGORIZED</t>
        </is>
      </c>
      <c r="B497" s="3" t="inlineStr">
        <is>
          <t>Uncategorized</t>
        </is>
      </c>
      <c r="C497" s="3" t="inlineStr">
        <is>
          <t>UNCATEGORIZED-217</t>
        </is>
      </c>
      <c r="D497" s="3" t="inlineStr">
        <is>
          <t>40-50 I/O modules to support 600-800 I/O points</t>
        </is>
      </c>
      <c r="E497" s="3" t="inlineStr">
        <is>
          <t>PKG-19</t>
        </is>
      </c>
      <c r="F497" s="3" t="inlineStr">
        <is>
          <t>A-007</t>
        </is>
      </c>
      <c r="G497" s="3" t="inlineStr">
        <is>
          <t>40-50 I/O modules to support 600-800 I/O points</t>
        </is>
      </c>
    </row>
    <row r="498">
      <c r="A498" s="3" t="inlineStr">
        <is>
          <t>UNCATEGORIZED</t>
        </is>
      </c>
      <c r="B498" s="3" t="inlineStr">
        <is>
          <t>Uncategorized</t>
        </is>
      </c>
      <c r="C498" s="3" t="inlineStr">
        <is>
          <t>UNCATEGORIZED-218</t>
        </is>
      </c>
      <c r="D498" s="3" t="inlineStr">
        <is>
          <t>6-8 control cabinets (main panels + field junction boxes)</t>
        </is>
      </c>
      <c r="E498" s="3" t="inlineStr">
        <is>
          <t>PKG-19</t>
        </is>
      </c>
      <c r="F498" s="3" t="inlineStr">
        <is>
          <t>A-011</t>
        </is>
      </c>
      <c r="G498" s="3" t="inlineStr">
        <is>
          <t>6-8 control cabinets (main panels + field junction boxes)</t>
        </is>
      </c>
    </row>
    <row r="499">
      <c r="A499" s="3" t="inlineStr">
        <is>
          <t>UNCATEGORIZED</t>
        </is>
      </c>
      <c r="B499" s="3" t="inlineStr">
        <is>
          <t>Uncategorized</t>
        </is>
      </c>
      <c r="C499" s="3" t="inlineStr">
        <is>
          <t>UNCATEGORIZED-219</t>
        </is>
      </c>
      <c r="D499" s="3" t="inlineStr">
        <is>
          <t>8 sump pumps for grouped containment drainage (4 pumps per zone × 2 zones).</t>
        </is>
      </c>
      <c r="E499" s="3" t="inlineStr">
        <is>
          <t>PKG-10</t>
        </is>
      </c>
      <c r="F499" s="3" t="inlineStr">
        <is>
          <t>A-005</t>
        </is>
      </c>
      <c r="G499" s="3" t="inlineStr">
        <is>
          <t>8 sump pumps for grouped containment drainage (4 pumps per..</t>
        </is>
      </c>
    </row>
    <row r="500">
      <c r="A500" s="3" t="inlineStr">
        <is>
          <t>UNCATEGORIZED</t>
        </is>
      </c>
      <c r="B500" s="3" t="inlineStr">
        <is>
          <t>Uncategorized</t>
        </is>
      </c>
      <c r="C500" s="3" t="inlineStr">
        <is>
          <t>UNCATEGORIZED-220</t>
        </is>
      </c>
      <c r="D500" s="3" t="inlineStr">
        <is>
          <t>8-10 industrial network switches for control network</t>
        </is>
      </c>
      <c r="E500" s="3" t="inlineStr">
        <is>
          <t>PKG-19</t>
        </is>
      </c>
      <c r="F500" s="3" t="inlineStr">
        <is>
          <t>A-009</t>
        </is>
      </c>
      <c r="G500" s="3" t="inlineStr">
        <is>
          <t>8-10 industrial network switches for control network</t>
        </is>
      </c>
    </row>
    <row r="501">
      <c r="A501" s="3" t="inlineStr">
        <is>
          <t>UNCATEGORIZED</t>
        </is>
      </c>
      <c r="B501" s="3" t="inlineStr">
        <is>
          <t>Uncategorized</t>
        </is>
      </c>
      <c r="C501" s="3" t="inlineStr">
        <is>
          <t>UNCATEGORIZED-221</t>
        </is>
      </c>
      <c r="D501" s="3" t="inlineStr">
        <is>
          <t>Access equip</t>
        </is>
      </c>
      <c r="E501" s="3" t="inlineStr">
        <is>
          <t>PKG-13</t>
        </is>
      </c>
      <c r="F501" s="3" t="inlineStr">
        <is>
          <t>A-019</t>
        </is>
      </c>
      <c r="G501" s="3" t="inlineStr">
        <is>
          <t>Access equip</t>
        </is>
      </c>
    </row>
    <row r="502">
      <c r="A502" s="3" t="inlineStr">
        <is>
          <t>UNCATEGORIZED</t>
        </is>
      </c>
      <c r="B502" s="3" t="inlineStr">
        <is>
          <t>Uncategorized</t>
        </is>
      </c>
      <c r="C502" s="3" t="inlineStr">
        <is>
          <t>UNCATEGORIZED-222</t>
        </is>
      </c>
      <c r="D502" s="3" t="inlineStr">
        <is>
          <t>Actuators and accessories rated for **Class I, Division 2 / Zone 2** (Group D) h...</t>
        </is>
      </c>
      <c r="E502" s="3" t="inlineStr">
        <is>
          <t>PKG-16</t>
        </is>
      </c>
      <c r="F502" s="3" t="inlineStr">
        <is>
          <t>A-1639</t>
        </is>
      </c>
      <c r="G502" s="3" t="inlineStr">
        <is>
          <t>Actuators and accessories rated for **Class I, Division 2 ..</t>
        </is>
      </c>
    </row>
    <row r="503">
      <c r="A503" s="3" t="inlineStr">
        <is>
          <t>UNCATEGORIZED</t>
        </is>
      </c>
      <c r="B503" s="3" t="inlineStr">
        <is>
          <t>Uncategorized</t>
        </is>
      </c>
      <c r="C503" s="3" t="inlineStr">
        <is>
          <t>UNCATEGORIZED-223</t>
        </is>
      </c>
      <c r="D503" s="3" t="inlineStr">
        <is>
          <t>Agitators</t>
        </is>
      </c>
      <c r="E503" s="3" t="inlineStr">
        <is>
          <t>PKG-13</t>
        </is>
      </c>
      <c r="F503" s="3" t="inlineStr">
        <is>
          <t>A-006</t>
        </is>
      </c>
      <c r="G503" s="3" t="inlineStr">
        <is>
          <t>Agitators</t>
        </is>
      </c>
    </row>
    <row r="504">
      <c r="A504" s="3" t="inlineStr">
        <is>
          <t>UNCATEGORIZED</t>
        </is>
      </c>
      <c r="B504" s="3" t="inlineStr">
        <is>
          <t>Uncategorized</t>
        </is>
      </c>
      <c r="C504" s="3" t="inlineStr">
        <is>
          <t>UNCATEGORIZED-224</t>
        </is>
      </c>
      <c r="D504" s="3" t="inlineStr">
        <is>
          <t>Basic Process Control System (BPCS) only; no separate SIS</t>
        </is>
      </c>
      <c r="E504" s="3" t="inlineStr">
        <is>
          <t>PKG-19</t>
        </is>
      </c>
      <c r="F504" s="3" t="inlineStr">
        <is>
          <t>A-014</t>
        </is>
      </c>
      <c r="G504" s="3" t="inlineStr">
        <is>
          <t>Basic Process Control System (BPCS) only; no separate SIS</t>
        </is>
      </c>
    </row>
    <row r="505">
      <c r="A505" s="3" t="inlineStr">
        <is>
          <t>UNCATEGORIZED</t>
        </is>
      </c>
      <c r="B505" s="3" t="inlineStr">
        <is>
          <t>Uncategorized</t>
        </is>
      </c>
      <c r="C505" s="3" t="inlineStr">
        <is>
          <t>UNCATEGORIZED-225</t>
        </is>
      </c>
      <c r="D505" s="3" t="inlineStr">
        <is>
          <t>Cable Routing Method</t>
        </is>
      </c>
      <c r="E505" s="3" t="inlineStr">
        <is>
          <t>PKG-20</t>
        </is>
      </c>
      <c r="F505" s="3" t="inlineStr">
        <is>
          <t>A-002</t>
        </is>
      </c>
      <c r="G505" s="3" t="inlineStr">
        <is>
          <t>Cable Routing Method</t>
        </is>
      </c>
    </row>
    <row r="506">
      <c r="A506" s="3" t="inlineStr">
        <is>
          <t>UNCATEGORIZED</t>
        </is>
      </c>
      <c r="B506" s="3" t="inlineStr">
        <is>
          <t>Uncategorized</t>
        </is>
      </c>
      <c r="C506" s="3" t="inlineStr">
        <is>
          <t>UNCATEGORIZED-226</t>
        </is>
      </c>
      <c r="D506" s="3" t="inlineStr">
        <is>
          <t>Cable Tray Length and Type</t>
        </is>
      </c>
      <c r="E506" s="3" t="inlineStr">
        <is>
          <t>PKG-17</t>
        </is>
      </c>
      <c r="F506" s="3" t="inlineStr">
        <is>
          <t>A-1716</t>
        </is>
      </c>
      <c r="G506" s="3" t="inlineStr">
        <is>
          <t>Cable Tray Length and Type</t>
        </is>
      </c>
    </row>
    <row r="507">
      <c r="A507" s="3" t="inlineStr">
        <is>
          <t>UNCATEGORIZED</t>
        </is>
      </c>
      <c r="B507" s="3" t="inlineStr">
        <is>
          <t>Uncategorized</t>
        </is>
      </c>
      <c r="C507" s="3" t="inlineStr">
        <is>
          <t>UNCATEGORIZED-227</t>
        </is>
      </c>
      <c r="D507" s="3" t="inlineStr">
        <is>
          <t>Calibration and Loop Testing</t>
        </is>
      </c>
      <c r="E507" s="3" t="inlineStr">
        <is>
          <t>PKG-20</t>
        </is>
      </c>
      <c r="F507" s="3" t="inlineStr">
        <is>
          <t>A-020</t>
        </is>
      </c>
      <c r="G507" s="3" t="inlineStr">
        <is>
          <t>Calibration and Loop Testing</t>
        </is>
      </c>
    </row>
    <row r="508">
      <c r="A508" s="3" t="inlineStr">
        <is>
          <t>UNCATEGORIZED</t>
        </is>
      </c>
      <c r="B508" s="3" t="inlineStr">
        <is>
          <t>Uncategorized</t>
        </is>
      </c>
      <c r="C508" s="3" t="inlineStr">
        <is>
          <t>UNCATEGORIZED-228</t>
        </is>
      </c>
      <c r="D508" s="3" t="inlineStr">
        <is>
          <t>Canola oil properties assumed as:</t>
        </is>
      </c>
      <c r="E508" s="3" t="inlineStr">
        <is>
          <t>PKG-15</t>
        </is>
      </c>
      <c r="F508" s="3" t="inlineStr">
        <is>
          <t>A-005</t>
        </is>
      </c>
      <c r="G508" s="3" t="inlineStr">
        <is>
          <t>Canola oil properties assumed as:</t>
        </is>
      </c>
    </row>
    <row r="509">
      <c r="A509" s="3" t="inlineStr">
        <is>
          <t>UNCATEGORIZED</t>
        </is>
      </c>
      <c r="B509" s="3" t="inlineStr">
        <is>
          <t>Uncategorized</t>
        </is>
      </c>
      <c r="C509" s="3" t="inlineStr">
        <is>
          <t>UNCATEGORIZED-229</t>
        </is>
      </c>
      <c r="D509" s="3" t="inlineStr">
        <is>
          <t>Conduit Length and Type</t>
        </is>
      </c>
      <c r="E509" s="3" t="inlineStr">
        <is>
          <t>PKG-17</t>
        </is>
      </c>
      <c r="F509" s="3" t="inlineStr">
        <is>
          <t>A-1717</t>
        </is>
      </c>
      <c r="G509" s="3" t="inlineStr">
        <is>
          <t>Conduit Length and Type</t>
        </is>
      </c>
    </row>
    <row r="510">
      <c r="A510" s="3" t="inlineStr">
        <is>
          <t>UNCATEGORIZED</t>
        </is>
      </c>
      <c r="B510" s="3" t="inlineStr">
        <is>
          <t>Uncategorized</t>
        </is>
      </c>
      <c r="C510" s="3" t="inlineStr">
        <is>
          <t>UNCATEGORIZED-230</t>
        </is>
      </c>
      <c r="D510" s="3" t="inlineStr">
        <is>
          <t>Construction Duration Assumption</t>
        </is>
      </c>
      <c r="E510" s="3" t="inlineStr">
        <is>
          <t>PKG-33</t>
        </is>
      </c>
      <c r="F510" s="3" t="inlineStr">
        <is>
          <t>A-009</t>
        </is>
      </c>
      <c r="G510" s="3" t="inlineStr">
        <is>
          <t>Construction Duration Assumption</t>
        </is>
      </c>
    </row>
    <row r="511">
      <c r="A511" s="3" t="inlineStr">
        <is>
          <t>UNCATEGORIZED</t>
        </is>
      </c>
      <c r="B511" s="3" t="inlineStr">
        <is>
          <t>Uncategorized</t>
        </is>
      </c>
      <c r="C511" s="3" t="inlineStr">
        <is>
          <t>UNCATEGORIZED-231</t>
        </is>
      </c>
      <c r="D511" s="3" t="inlineStr">
        <is>
          <t>Construction Duration — 24-30 Months</t>
        </is>
      </c>
      <c r="E511" s="3" t="inlineStr">
        <is>
          <t>PKG-34</t>
        </is>
      </c>
      <c r="F511" s="3" t="inlineStr">
        <is>
          <t>A-006</t>
        </is>
      </c>
      <c r="G511" s="3" t="inlineStr">
        <is>
          <t>Construction Duration — 24-30 Months</t>
        </is>
      </c>
    </row>
    <row r="512">
      <c r="A512" s="3" t="inlineStr">
        <is>
          <t>UNCATEGORIZED</t>
        </is>
      </c>
      <c r="B512" s="3" t="inlineStr">
        <is>
          <t>Uncategorized</t>
        </is>
      </c>
      <c r="C512" s="3" t="inlineStr">
        <is>
          <t>UNCATEGORIZED-232</t>
        </is>
      </c>
      <c r="D512" s="3" t="inlineStr">
        <is>
          <t>Construction Equipment Rental Rates</t>
        </is>
      </c>
      <c r="E512" s="3" t="inlineStr">
        <is>
          <t>PKG-22</t>
        </is>
      </c>
      <c r="F512" s="3" t="inlineStr">
        <is>
          <t>A-011</t>
        </is>
      </c>
      <c r="G512" s="3" t="inlineStr">
        <is>
          <t>Construction Equipment Rental Rates</t>
        </is>
      </c>
    </row>
    <row r="513">
      <c r="A513" s="3" t="inlineStr">
        <is>
          <t>UNCATEGORIZED</t>
        </is>
      </c>
      <c r="B513" s="3" t="inlineStr">
        <is>
          <t>Uncategorized</t>
        </is>
      </c>
      <c r="C513" s="3" t="inlineStr">
        <is>
          <t>UNCATEGORIZED-233</t>
        </is>
      </c>
      <c r="D513" s="3" t="inlineStr">
        <is>
          <t>Control Cable Length</t>
        </is>
      </c>
      <c r="E513" s="3" t="inlineStr">
        <is>
          <t>PKG-17</t>
        </is>
      </c>
      <c r="F513" s="3" t="inlineStr">
        <is>
          <t>A-1715</t>
        </is>
      </c>
      <c r="G513" s="3" t="inlineStr">
        <is>
          <t>Control Cable Length</t>
        </is>
      </c>
    </row>
    <row r="514">
      <c r="A514" s="3" t="inlineStr">
        <is>
          <t>UNCATEGORIZED</t>
        </is>
      </c>
      <c r="B514" s="3" t="inlineStr">
        <is>
          <t>Uncategorized</t>
        </is>
      </c>
      <c r="C514" s="3" t="inlineStr">
        <is>
          <t>UNCATEGORIZED-234</t>
        </is>
      </c>
      <c r="D514" s="3" t="inlineStr">
        <is>
          <t>Control valve complexity: 50% standard globe, 30% ball/butterfly, 20% severe ser...</t>
        </is>
      </c>
      <c r="E514" s="3" t="inlineStr">
        <is>
          <t>PKG-16</t>
        </is>
      </c>
      <c r="F514" s="3" t="inlineStr">
        <is>
          <t>A-1605</t>
        </is>
      </c>
      <c r="G514" s="3" t="inlineStr">
        <is>
          <t>Control valve complexity: 50% standard globe, 30% ball/but..</t>
        </is>
      </c>
    </row>
    <row r="515">
      <c r="A515" s="3" t="inlineStr">
        <is>
          <t>UNCATEGORIZED</t>
        </is>
      </c>
      <c r="B515" s="3" t="inlineStr">
        <is>
          <t>Uncategorized</t>
        </is>
      </c>
      <c r="C515" s="3" t="inlineStr">
        <is>
          <t>UNCATEGORIZED-235</t>
        </is>
      </c>
      <c r="D515" s="3" t="inlineStr">
        <is>
          <t>Control valve positioners use **HART protocol** (digital communication with DCS)</t>
        </is>
      </c>
      <c r="E515" s="3" t="inlineStr">
        <is>
          <t>PKG-16</t>
        </is>
      </c>
      <c r="F515" s="3" t="inlineStr">
        <is>
          <t>A-1642</t>
        </is>
      </c>
      <c r="G515" s="3" t="inlineStr">
        <is>
          <t>Control valve positioners use **HART protocol** (digital c..</t>
        </is>
      </c>
    </row>
    <row r="516">
      <c r="A516" s="3" t="inlineStr">
        <is>
          <t>UNCATEGORIZED</t>
        </is>
      </c>
      <c r="B516" s="3" t="inlineStr">
        <is>
          <t>Uncategorized</t>
        </is>
      </c>
      <c r="C516" s="3" t="inlineStr">
        <is>
          <t>UNCATEGORIZED-236</t>
        </is>
      </c>
      <c r="D516" s="3" t="inlineStr">
        <is>
          <t>Crane</t>
        </is>
      </c>
      <c r="E516" s="3" t="inlineStr">
        <is>
          <t>PKG-13</t>
        </is>
      </c>
      <c r="F516" s="3" t="inlineStr">
        <is>
          <t>A-025</t>
        </is>
      </c>
      <c r="G516" s="3" t="inlineStr">
        <is>
          <t>Crane</t>
        </is>
      </c>
    </row>
    <row r="517">
      <c r="A517" s="3" t="inlineStr">
        <is>
          <t>UNCATEGORIZED</t>
        </is>
      </c>
      <c r="B517" s="3" t="inlineStr">
        <is>
          <t>Uncategorized</t>
        </is>
      </c>
      <c r="C517" s="3" t="inlineStr">
        <is>
          <t>UNCATEGORIZED-237</t>
        </is>
      </c>
      <c r="D517" s="3" t="inlineStr">
        <is>
          <t>Data Sheet Preparation</t>
        </is>
      </c>
      <c r="E517" s="3" t="inlineStr">
        <is>
          <t>PKG-20</t>
        </is>
      </c>
      <c r="F517" s="3" t="inlineStr">
        <is>
          <t>A-014</t>
        </is>
      </c>
      <c r="G517" s="3" t="inlineStr">
        <is>
          <t>Data Sheet Preparation</t>
        </is>
      </c>
    </row>
    <row r="518">
      <c r="A518" s="3" t="inlineStr">
        <is>
          <t>UNCATEGORIZED</t>
        </is>
      </c>
      <c r="B518" s="3" t="inlineStr">
        <is>
          <t>Uncategorized</t>
        </is>
      </c>
      <c r="C518" s="3" t="inlineStr">
        <is>
          <t>UNCATEGORIZED-238</t>
        </is>
      </c>
      <c r="D518" s="3" t="inlineStr">
        <is>
          <t>Data sheets</t>
        </is>
      </c>
      <c r="E518" s="3" t="inlineStr">
        <is>
          <t>PKG-13</t>
        </is>
      </c>
      <c r="F518" s="3" t="inlineStr">
        <is>
          <t>A-014</t>
        </is>
      </c>
      <c r="G518" s="3" t="inlineStr">
        <is>
          <t>Data sheets</t>
        </is>
      </c>
    </row>
    <row r="519">
      <c r="A519" s="3" t="inlineStr">
        <is>
          <t>UNCATEGORIZED</t>
        </is>
      </c>
      <c r="B519" s="3" t="inlineStr">
        <is>
          <t>Uncategorized</t>
        </is>
      </c>
      <c r="C519" s="3" t="inlineStr">
        <is>
          <t>UNCATEGORIZED-239</t>
        </is>
      </c>
      <c r="D519" s="3" t="inlineStr">
        <is>
          <t>Defects Liability Period (12 Months)</t>
        </is>
      </c>
      <c r="E519" s="3" t="inlineStr">
        <is>
          <t>PKG-35</t>
        </is>
      </c>
      <c r="F519" s="3" t="inlineStr">
        <is>
          <t>A-008</t>
        </is>
      </c>
      <c r="G519" s="3" t="inlineStr">
        <is>
          <t>Defects Liability Period (12 Months)</t>
        </is>
      </c>
    </row>
    <row r="520">
      <c r="A520" s="3" t="inlineStr">
        <is>
          <t>UNCATEGORIZED</t>
        </is>
      </c>
      <c r="B520" s="3" t="inlineStr">
        <is>
          <t>Uncategorized</t>
        </is>
      </c>
      <c r="C520" s="3" t="inlineStr">
        <is>
          <t>UNCATEGORIZED-240</t>
        </is>
      </c>
      <c r="D520" s="3" t="inlineStr">
        <is>
          <t>Document Management Software/Database</t>
        </is>
      </c>
      <c r="E520" s="3" t="inlineStr">
        <is>
          <t>PKG-31</t>
        </is>
      </c>
      <c r="F520" s="3" t="inlineStr">
        <is>
          <t>A-006</t>
        </is>
      </c>
      <c r="G520" s="3" t="inlineStr">
        <is>
          <t>Document Management Software/Database</t>
        </is>
      </c>
    </row>
    <row r="521">
      <c r="A521" s="3" t="inlineStr">
        <is>
          <t>UNCATEGORIZED</t>
        </is>
      </c>
      <c r="B521" s="3" t="inlineStr">
        <is>
          <t>Uncategorized</t>
        </is>
      </c>
      <c r="C521" s="3" t="inlineStr">
        <is>
          <t>UNCATEGORIZED-241</t>
        </is>
      </c>
      <c r="D521" s="3" t="inlineStr">
        <is>
          <t>ERC is integral with loading arm supply (not separate procurement)</t>
        </is>
      </c>
      <c r="E521" s="3" t="inlineStr">
        <is>
          <t>PKG-11</t>
        </is>
      </c>
      <c r="F521" s="3" t="inlineStr">
        <is>
          <t>A-020</t>
        </is>
      </c>
      <c r="G521" s="3" t="inlineStr">
        <is>
          <t>ERC is integral with loading arm supply (not separate proc..</t>
        </is>
      </c>
    </row>
    <row r="522">
      <c r="A522" s="3" t="inlineStr">
        <is>
          <t>UNCATEGORIZED</t>
        </is>
      </c>
      <c r="B522" s="3" t="inlineStr">
        <is>
          <t>Uncategorized</t>
        </is>
      </c>
      <c r="C522" s="3" t="inlineStr">
        <is>
          <t>UNCATEGORIZED-242</t>
        </is>
      </c>
      <c r="D522" s="3" t="inlineStr">
        <is>
          <t>Electric motors and variable frequency drives (VFDs) estimated as:</t>
        </is>
      </c>
      <c r="E522" s="3" t="inlineStr">
        <is>
          <t>PKG-15</t>
        </is>
      </c>
      <c r="F522" s="3" t="inlineStr">
        <is>
          <t>A-004</t>
        </is>
      </c>
      <c r="G522" s="3" t="inlineStr">
        <is>
          <t>Electric motors and variable frequency drives (VFDs) estim..</t>
        </is>
      </c>
    </row>
    <row r="523">
      <c r="A523" s="3" t="inlineStr">
        <is>
          <t>UNCATEGORIZED</t>
        </is>
      </c>
      <c r="B523" s="3" t="inlineStr">
        <is>
          <t>Uncategorized</t>
        </is>
      </c>
      <c r="C523" s="3" t="inlineStr">
        <is>
          <t>UNCATEGORIZED-243</t>
        </is>
      </c>
      <c r="D523" s="3" t="inlineStr">
        <is>
          <t>Electrical</t>
        </is>
      </c>
      <c r="E523" s="3" t="inlineStr">
        <is>
          <t>PKG-13</t>
        </is>
      </c>
      <c r="F523" s="3" t="inlineStr">
        <is>
          <t>A-023</t>
        </is>
      </c>
      <c r="G523" s="3" t="inlineStr">
        <is>
          <t>Electrical</t>
        </is>
      </c>
    </row>
    <row r="524">
      <c r="A524" s="3" t="inlineStr">
        <is>
          <t>UNCATEGORIZED</t>
        </is>
      </c>
      <c r="B524" s="3" t="inlineStr">
        <is>
          <t>Uncategorized</t>
        </is>
      </c>
      <c r="C524" s="3" t="inlineStr">
        <is>
          <t>UNCATEGORIZED-244</t>
        </is>
      </c>
      <c r="D524" s="3" t="inlineStr">
        <is>
          <t>Emergency lighting covers code-minimum egress paths plus safety-critical operati...</t>
        </is>
      </c>
      <c r="E524" s="3" t="inlineStr">
        <is>
          <t>PKG-18</t>
        </is>
      </c>
      <c r="F524" s="3" t="inlineStr">
        <is>
          <t>A-1825</t>
        </is>
      </c>
      <c r="G524" s="3" t="inlineStr">
        <is>
          <t>Emergency lighting covers code-minimum egress paths plus s..</t>
        </is>
      </c>
    </row>
    <row r="525">
      <c r="A525" s="3" t="inlineStr">
        <is>
          <t>UNCATEGORIZED</t>
        </is>
      </c>
      <c r="B525" s="3" t="inlineStr">
        <is>
          <t>Uncategorized</t>
        </is>
      </c>
      <c r="C525" s="3" t="inlineStr">
        <is>
          <t>UNCATEGORIZED-245</t>
        </is>
      </c>
      <c r="D525" s="3" t="inlineStr">
        <is>
          <t>Environmental and HSE Compliance</t>
        </is>
      </c>
      <c r="E525" s="3" t="inlineStr">
        <is>
          <t>PKG-22</t>
        </is>
      </c>
      <c r="F525" s="3" t="inlineStr">
        <is>
          <t>A-019</t>
        </is>
      </c>
      <c r="G525" s="3" t="inlineStr">
        <is>
          <t>Environmental and HSE Compliance</t>
        </is>
      </c>
    </row>
    <row r="526">
      <c r="A526" s="3" t="inlineStr">
        <is>
          <t>UNCATEGORIZED</t>
        </is>
      </c>
      <c r="B526" s="3" t="inlineStr">
        <is>
          <t>Uncategorized</t>
        </is>
      </c>
      <c r="C526" s="3" t="inlineStr">
        <is>
          <t>UNCATEGORIZED-246</t>
        </is>
      </c>
      <c r="D526" s="3" t="inlineStr">
        <is>
          <t>Exterior lighting poles: 30-40 ft height, steel or aluminum construction, galvan...</t>
        </is>
      </c>
      <c r="E526" s="3" t="inlineStr">
        <is>
          <t>PKG-18</t>
        </is>
      </c>
      <c r="F526" s="3" t="inlineStr">
        <is>
          <t>A-1826</t>
        </is>
      </c>
      <c r="G526" s="3" t="inlineStr">
        <is>
          <t>Exterior lighting poles: 30-40 ft height, steel or aluminu..</t>
        </is>
      </c>
    </row>
    <row r="527">
      <c r="A527" s="3" t="inlineStr">
        <is>
          <t>UNCATEGORIZED</t>
        </is>
      </c>
      <c r="B527" s="3" t="inlineStr">
        <is>
          <t>Uncategorized</t>
        </is>
      </c>
      <c r="C527" s="3" t="inlineStr">
        <is>
          <t>UNCATEGORIZED-247</t>
        </is>
      </c>
      <c r="D527" s="3" t="inlineStr">
        <is>
          <t>Exterior lighting poles: 30-50 poles, steel or aluminum, 30-40 ft height, marine...</t>
        </is>
      </c>
      <c r="E527" s="3" t="inlineStr">
        <is>
          <t>PKG-18</t>
        </is>
      </c>
      <c r="F527" s="3" t="inlineStr">
        <is>
          <t>A-1807</t>
        </is>
      </c>
      <c r="G527" s="3" t="inlineStr">
        <is>
          <t>Exterior lighting poles: 30-50 poles, steel or aluminum, 3..</t>
        </is>
      </c>
    </row>
    <row r="528">
      <c r="A528" s="3" t="inlineStr">
        <is>
          <t>UNCATEGORIZED</t>
        </is>
      </c>
      <c r="B528" s="3" t="inlineStr">
        <is>
          <t>Uncategorized</t>
        </is>
      </c>
      <c r="C528" s="3" t="inlineStr">
        <is>
          <t>UNCATEGORIZED-248</t>
        </is>
      </c>
      <c r="D528" s="3" t="inlineStr">
        <is>
          <t>External coating</t>
        </is>
      </c>
      <c r="E528" s="3" t="inlineStr">
        <is>
          <t>PKG-13</t>
        </is>
      </c>
      <c r="F528" s="3" t="inlineStr">
        <is>
          <t>A-010</t>
        </is>
      </c>
      <c r="G528" s="3" t="inlineStr">
        <is>
          <t>External coating</t>
        </is>
      </c>
    </row>
    <row r="529">
      <c r="A529" s="3" t="inlineStr">
        <is>
          <t>UNCATEGORIZED</t>
        </is>
      </c>
      <c r="B529" s="3" t="inlineStr">
        <is>
          <t>Uncategorized</t>
        </is>
      </c>
      <c r="C529" s="3" t="inlineStr">
        <is>
          <t>UNCATEGORIZED-249</t>
        </is>
      </c>
      <c r="D529" s="3" t="inlineStr">
        <is>
          <t>Fab QA</t>
        </is>
      </c>
      <c r="E529" s="3" t="inlineStr">
        <is>
          <t>PKG-13</t>
        </is>
      </c>
      <c r="F529" s="3" t="inlineStr">
        <is>
          <t>A-016</t>
        </is>
      </c>
      <c r="G529" s="3" t="inlineStr">
        <is>
          <t>Fab QA</t>
        </is>
      </c>
    </row>
    <row r="530">
      <c r="A530" s="3" t="inlineStr">
        <is>
          <t>UNCATEGORIZED</t>
        </is>
      </c>
      <c r="B530" s="3" t="inlineStr">
        <is>
          <t>Uncategorized</t>
        </is>
      </c>
      <c r="C530" s="3" t="inlineStr">
        <is>
          <t>UNCATEGORIZED-250</t>
        </is>
      </c>
      <c r="D530" s="3" t="inlineStr">
        <is>
          <t>Field Touch-Up Painting and Protective Coatings</t>
        </is>
      </c>
      <c r="E530" s="3" t="inlineStr">
        <is>
          <t>PKG-06</t>
        </is>
      </c>
      <c r="F530" s="3" t="inlineStr">
        <is>
          <t>A-013</t>
        </is>
      </c>
      <c r="G530" s="3" t="inlineStr">
        <is>
          <t>Field Touch-Up Painting and Protective Coatings</t>
        </is>
      </c>
    </row>
    <row r="531">
      <c r="A531" s="3" t="inlineStr">
        <is>
          <t>UNCATEGORIZED</t>
        </is>
      </c>
      <c r="B531" s="3" t="inlineStr">
        <is>
          <t>Uncategorized</t>
        </is>
      </c>
      <c r="C531" s="3" t="inlineStr">
        <is>
          <t>UNCATEGORIZED-251</t>
        </is>
      </c>
      <c r="D531" s="3" t="inlineStr">
        <is>
          <t>Fire Alarm Control Panel</t>
        </is>
      </c>
      <c r="E531" s="3" t="inlineStr">
        <is>
          <t>PKG-23</t>
        </is>
      </c>
      <c r="F531" s="3" t="inlineStr">
        <is>
          <t>A-004</t>
        </is>
      </c>
      <c r="G531" s="3" t="inlineStr">
        <is>
          <t>Fire Alarm Control Panel</t>
        </is>
      </c>
    </row>
    <row r="532">
      <c r="A532" s="3" t="inlineStr">
        <is>
          <t>UNCATEGORIZED</t>
        </is>
      </c>
      <c r="B532" s="3" t="inlineStr">
        <is>
          <t>Uncategorized</t>
        </is>
      </c>
      <c r="C532" s="3" t="inlineStr">
        <is>
          <t>UNCATEGORIZED-252</t>
        </is>
      </c>
      <c r="D532" s="3" t="inlineStr">
        <is>
          <t>Fire Alarm Wiring and Conduit</t>
        </is>
      </c>
      <c r="E532" s="3" t="inlineStr">
        <is>
          <t>PKG-23</t>
        </is>
      </c>
      <c r="F532" s="3" t="inlineStr">
        <is>
          <t>A-010</t>
        </is>
      </c>
      <c r="G532" s="3" t="inlineStr">
        <is>
          <t>Fire Alarm Wiring and Conduit</t>
        </is>
      </c>
    </row>
    <row r="533">
      <c r="A533" s="3" t="inlineStr">
        <is>
          <t>UNCATEGORIZED</t>
        </is>
      </c>
      <c r="B533" s="3" t="inlineStr">
        <is>
          <t>Uncategorized</t>
        </is>
      </c>
      <c r="C533" s="3" t="inlineStr">
        <is>
          <t>UNCATEGORIZED-253</t>
        </is>
      </c>
      <c r="D533" s="3" t="inlineStr">
        <is>
          <t>Fire Detection and Notification Devices</t>
        </is>
      </c>
      <c r="E533" s="3" t="inlineStr">
        <is>
          <t>PKG-23</t>
        </is>
      </c>
      <c r="F533" s="3" t="inlineStr">
        <is>
          <t>A-005</t>
        </is>
      </c>
      <c r="G533" s="3" t="inlineStr">
        <is>
          <t>Fire Detection and Notification Devices</t>
        </is>
      </c>
    </row>
    <row r="534">
      <c r="A534" s="3" t="inlineStr">
        <is>
          <t>UNCATEGORIZED</t>
        </is>
      </c>
      <c r="B534" s="3" t="inlineStr">
        <is>
          <t>Uncategorized</t>
        </is>
      </c>
      <c r="C534" s="3" t="inlineStr">
        <is>
          <t>UNCATEGORIZED-254</t>
        </is>
      </c>
      <c r="D534" s="3" t="inlineStr">
        <is>
          <t>Fire Sprinkler Piping and Fittings</t>
        </is>
      </c>
      <c r="E534" s="3" t="inlineStr">
        <is>
          <t>PKG-22</t>
        </is>
      </c>
      <c r="F534" s="3" t="inlineStr">
        <is>
          <t>A-009</t>
        </is>
      </c>
      <c r="G534" s="3" t="inlineStr">
        <is>
          <t>Fire Sprinkler Piping and Fittings</t>
        </is>
      </c>
    </row>
    <row r="535">
      <c r="A535" s="3" t="inlineStr">
        <is>
          <t>UNCATEGORIZED</t>
        </is>
      </c>
      <c r="B535" s="3" t="inlineStr">
        <is>
          <t>Uncategorized</t>
        </is>
      </c>
      <c r="C535" s="3" t="inlineStr">
        <is>
          <t>UNCATEGORIZED-255</t>
        </is>
      </c>
      <c r="D535" s="3" t="inlineStr">
        <is>
          <t>Fire Suppression System (Automatic Sprinklers)</t>
        </is>
      </c>
      <c r="E535" s="3" t="inlineStr">
        <is>
          <t>PKG-22</t>
        </is>
      </c>
      <c r="F535" s="3" t="inlineStr">
        <is>
          <t>A-003</t>
        </is>
      </c>
      <c r="G535" s="3" t="inlineStr">
        <is>
          <t>Fire Suppression System (Automatic Sprinklers)</t>
        </is>
      </c>
    </row>
    <row r="536">
      <c r="A536" s="3" t="inlineStr">
        <is>
          <t>UNCATEGORIZED</t>
        </is>
      </c>
      <c r="B536" s="3" t="inlineStr">
        <is>
          <t>Uncategorized</t>
        </is>
      </c>
      <c r="C536" s="3" t="inlineStr">
        <is>
          <t>UNCATEGORIZED-256</t>
        </is>
      </c>
      <c r="D536" s="3" t="inlineStr">
        <is>
          <t>Fire Water Supply Source</t>
        </is>
      </c>
      <c r="E536" s="3" t="inlineStr">
        <is>
          <t>PKG-23</t>
        </is>
      </c>
      <c r="F536" s="3" t="inlineStr">
        <is>
          <t>A-020</t>
        </is>
      </c>
      <c r="G536" s="3" t="inlineStr">
        <is>
          <t>Fire Water Supply Source</t>
        </is>
      </c>
    </row>
    <row r="537">
      <c r="A537" s="3" t="inlineStr">
        <is>
          <t>UNCATEGORIZED</t>
        </is>
      </c>
      <c r="B537" s="3" t="inlineStr">
        <is>
          <t>Uncategorized</t>
        </is>
      </c>
      <c r="C537" s="3" t="inlineStr">
        <is>
          <t>UNCATEGORIZED-257</t>
        </is>
      </c>
      <c r="D537" s="3" t="inlineStr">
        <is>
          <t>Fire Water Valves and Fittings</t>
        </is>
      </c>
      <c r="E537" s="3" t="inlineStr">
        <is>
          <t>PKG-23</t>
        </is>
      </c>
      <c r="F537" s="3" t="inlineStr">
        <is>
          <t>A-003</t>
        </is>
      </c>
      <c r="G537" s="3" t="inlineStr">
        <is>
          <t>Fire Water Valves and Fittings</t>
        </is>
      </c>
    </row>
    <row r="538">
      <c r="A538" s="3" t="inlineStr">
        <is>
          <t>UNCATEGORIZED</t>
        </is>
      </c>
      <c r="B538" s="3" t="inlineStr">
        <is>
          <t>Uncategorized</t>
        </is>
      </c>
      <c r="C538" s="3" t="inlineStr">
        <is>
          <t>UNCATEGORIZED-258</t>
        </is>
      </c>
      <c r="D538" s="3" t="inlineStr">
        <is>
          <t>Foam Concentrate Storage and Proportioning</t>
        </is>
      </c>
      <c r="E538" s="3" t="inlineStr">
        <is>
          <t>PKG-23</t>
        </is>
      </c>
      <c r="F538" s="3" t="inlineStr">
        <is>
          <t>A-006</t>
        </is>
      </c>
      <c r="G538" s="3" t="inlineStr">
        <is>
          <t>Foam Concentrate Storage and Proportioning</t>
        </is>
      </c>
    </row>
    <row r="539">
      <c r="A539" s="3" t="inlineStr">
        <is>
          <t>UNCATEGORIZED</t>
        </is>
      </c>
      <c r="B539" s="3" t="inlineStr">
        <is>
          <t>Uncategorized</t>
        </is>
      </c>
      <c r="C539" s="3" t="inlineStr">
        <is>
          <t>UNCATEGORIZED-259</t>
        </is>
      </c>
      <c r="D539" s="3" t="inlineStr">
        <is>
          <t>HSE Staffing Model Assumption</t>
        </is>
      </c>
      <c r="E539" s="3" t="inlineStr">
        <is>
          <t>PKG-33</t>
        </is>
      </c>
      <c r="F539" s="3" t="inlineStr">
        <is>
          <t>A-010</t>
        </is>
      </c>
      <c r="G539" s="3" t="inlineStr">
        <is>
          <t>HSE Staffing Model Assumption</t>
        </is>
      </c>
    </row>
    <row r="540">
      <c r="A540" s="3" t="inlineStr">
        <is>
          <t>UNCATEGORIZED</t>
        </is>
      </c>
      <c r="B540" s="3" t="inlineStr">
        <is>
          <t>Uncategorized</t>
        </is>
      </c>
      <c r="C540" s="3" t="inlineStr">
        <is>
          <t>UNCATEGORIZED-260</t>
        </is>
      </c>
      <c r="D540" s="3" t="inlineStr">
        <is>
          <t>HVAC Ductwork and Distribution</t>
        </is>
      </c>
      <c r="E540" s="3" t="inlineStr">
        <is>
          <t>PKG-22</t>
        </is>
      </c>
      <c r="F540" s="3" t="inlineStr">
        <is>
          <t>A-007</t>
        </is>
      </c>
      <c r="G540" s="3" t="inlineStr">
        <is>
          <t>HVAC Ductwork and Distribution</t>
        </is>
      </c>
    </row>
    <row r="541">
      <c r="A541" s="3" t="inlineStr">
        <is>
          <t>UNCATEGORIZED</t>
        </is>
      </c>
      <c r="B541" s="3" t="inlineStr">
        <is>
          <t>Uncategorized</t>
        </is>
      </c>
      <c r="C541" s="3" t="inlineStr">
        <is>
          <t>UNCATEGORIZED-261</t>
        </is>
      </c>
      <c r="D541" s="3" t="inlineStr">
        <is>
          <t>Historian configured for 400-600 process and calculated tags</t>
        </is>
      </c>
      <c r="E541" s="3" t="inlineStr">
        <is>
          <t>PKG-19</t>
        </is>
      </c>
      <c r="F541" s="3" t="inlineStr">
        <is>
          <t>A-008</t>
        </is>
      </c>
      <c r="G541" s="3" t="inlineStr">
        <is>
          <t>Historian configured for 400-600 process and calculated ta..</t>
        </is>
      </c>
    </row>
    <row r="542">
      <c r="A542" s="3" t="inlineStr">
        <is>
          <t>UNCATEGORIZED</t>
        </is>
      </c>
      <c r="B542" s="3" t="inlineStr">
        <is>
          <t>Uncategorized</t>
        </is>
      </c>
      <c r="C542" s="3" t="inlineStr">
        <is>
          <t>UNCATEGORIZED-262</t>
        </is>
      </c>
      <c r="D542" s="3" t="inlineStr">
        <is>
          <t>Hydro test</t>
        </is>
      </c>
      <c r="E542" s="3" t="inlineStr">
        <is>
          <t>PKG-13</t>
        </is>
      </c>
      <c r="F542" s="3" t="inlineStr">
        <is>
          <t>A-021</t>
        </is>
      </c>
      <c r="G542" s="3" t="inlineStr">
        <is>
          <t>Hydro test</t>
        </is>
      </c>
    </row>
    <row r="543">
      <c r="A543" s="3" t="inlineStr">
        <is>
          <t>UNCATEGORIZED</t>
        </is>
      </c>
      <c r="B543" s="3" t="inlineStr">
        <is>
          <t>Uncategorized</t>
        </is>
      </c>
      <c r="C543" s="3" t="inlineStr">
        <is>
          <t>UNCATEGORIZED-263</t>
        </is>
      </c>
      <c r="D543" s="3" t="inlineStr">
        <is>
          <t>Instrument Conduit System</t>
        </is>
      </c>
      <c r="E543" s="3" t="inlineStr">
        <is>
          <t>PKG-20</t>
        </is>
      </c>
      <c r="F543" s="3" t="inlineStr">
        <is>
          <t>A-018</t>
        </is>
      </c>
      <c r="G543" s="3" t="inlineStr">
        <is>
          <t>Instrument Conduit System</t>
        </is>
      </c>
    </row>
    <row r="544">
      <c r="A544" s="3" t="inlineStr">
        <is>
          <t>UNCATEGORIZED</t>
        </is>
      </c>
      <c r="B544" s="3" t="inlineStr">
        <is>
          <t>Uncategorized</t>
        </is>
      </c>
      <c r="C544" s="3" t="inlineStr">
        <is>
          <t>UNCATEGORIZED-264</t>
        </is>
      </c>
      <c r="D544" s="3" t="inlineStr">
        <is>
          <t>Instrument Supports and Mounting</t>
        </is>
      </c>
      <c r="E544" s="3" t="inlineStr">
        <is>
          <t>PKG-20</t>
        </is>
      </c>
      <c r="F544" s="3" t="inlineStr">
        <is>
          <t>A-017</t>
        </is>
      </c>
      <c r="G544" s="3" t="inlineStr">
        <is>
          <t>Instrument Supports and Mounting</t>
        </is>
      </c>
    </row>
    <row r="545">
      <c r="A545" s="3" t="inlineStr">
        <is>
          <t>UNCATEGORIZED</t>
        </is>
      </c>
      <c r="B545" s="3" t="inlineStr">
        <is>
          <t>Uncategorized</t>
        </is>
      </c>
      <c r="C545" s="3" t="inlineStr">
        <is>
          <t>UNCATEGORIZED-265</t>
        </is>
      </c>
      <c r="D545" s="3" t="inlineStr">
        <is>
          <t>Instrument Tubing and Fittings</t>
        </is>
      </c>
      <c r="E545" s="3" t="inlineStr">
        <is>
          <t>PKG-20</t>
        </is>
      </c>
      <c r="F545" s="3" t="inlineStr">
        <is>
          <t>A-010</t>
        </is>
      </c>
      <c r="G545" s="3" t="inlineStr">
        <is>
          <t>Instrument Tubing and Fittings</t>
        </is>
      </c>
    </row>
    <row r="546">
      <c r="A546" s="3" t="inlineStr">
        <is>
          <t>UNCATEGORIZED</t>
        </is>
      </c>
      <c r="B546" s="3" t="inlineStr">
        <is>
          <t>Uncategorized</t>
        </is>
      </c>
      <c r="C546" s="3" t="inlineStr">
        <is>
          <t>UNCATEGORIZED-266</t>
        </is>
      </c>
      <c r="D546" s="3" t="inlineStr">
        <is>
          <t>Instrumentation</t>
        </is>
      </c>
      <c r="E546" s="3" t="inlineStr">
        <is>
          <t>PKG-13</t>
        </is>
      </c>
      <c r="F546" s="3" t="inlineStr">
        <is>
          <t>A-024</t>
        </is>
      </c>
      <c r="G546" s="3" t="inlineStr">
        <is>
          <t>Instrumentation</t>
        </is>
      </c>
    </row>
    <row r="547">
      <c r="A547" s="3" t="inlineStr">
        <is>
          <t>UNCATEGORIZED</t>
        </is>
      </c>
      <c r="B547" s="3" t="inlineStr">
        <is>
          <t>Uncategorized</t>
        </is>
      </c>
      <c r="C547" s="3" t="inlineStr">
        <is>
          <t>UNCATEGORIZED-267</t>
        </is>
      </c>
      <c r="D547" s="3" t="inlineStr">
        <is>
          <t>Interior Electrical (Building Services)</t>
        </is>
      </c>
      <c r="E547" s="3" t="inlineStr">
        <is>
          <t>PKG-22</t>
        </is>
      </c>
      <c r="F547" s="3" t="inlineStr">
        <is>
          <t>A-004</t>
        </is>
      </c>
      <c r="G547" s="3" t="inlineStr">
        <is>
          <t>Interior Electrical (Building Services)</t>
        </is>
      </c>
    </row>
    <row r="548">
      <c r="A548" s="3" t="inlineStr">
        <is>
          <t>UNCATEGORIZED</t>
        </is>
      </c>
      <c r="B548" s="3" t="inlineStr">
        <is>
          <t>Uncategorized</t>
        </is>
      </c>
      <c r="C548" s="3" t="inlineStr">
        <is>
          <t>UNCATEGORIZED-268</t>
        </is>
      </c>
      <c r="D548" s="3" t="inlineStr">
        <is>
          <t>Interior Finishes (Flooring, Walls, Ceilings)</t>
        </is>
      </c>
      <c r="E548" s="3" t="inlineStr">
        <is>
          <t>PKG-22</t>
        </is>
      </c>
      <c r="F548" s="3" t="inlineStr">
        <is>
          <t>A-005</t>
        </is>
      </c>
      <c r="G548" s="3" t="inlineStr">
        <is>
          <t>Interior Finishes (Flooring, Walls, Ceilings)</t>
        </is>
      </c>
    </row>
    <row r="549">
      <c r="A549" s="3" t="inlineStr">
        <is>
          <t>UNCATEGORIZED</t>
        </is>
      </c>
      <c r="B549" s="3" t="inlineStr">
        <is>
          <t>Uncategorized</t>
        </is>
      </c>
      <c r="C549" s="3" t="inlineStr">
        <is>
          <t>UNCATEGORIZED-269</t>
        </is>
      </c>
      <c r="D549" s="3" t="inlineStr">
        <is>
          <t>Internal coating</t>
        </is>
      </c>
      <c r="E549" s="3" t="inlineStr">
        <is>
          <t>PKG-13</t>
        </is>
      </c>
      <c r="F549" s="3" t="inlineStr">
        <is>
          <t>A-009</t>
        </is>
      </c>
      <c r="G549" s="3" t="inlineStr">
        <is>
          <t>Internal coating</t>
        </is>
      </c>
    </row>
    <row r="550">
      <c r="A550" s="3" t="inlineStr">
        <is>
          <t>UNCATEGORIZED</t>
        </is>
      </c>
      <c r="B550" s="3" t="inlineStr">
        <is>
          <t>Uncategorized</t>
        </is>
      </c>
      <c r="C550" s="3" t="inlineStr">
        <is>
          <t>UNCATEGORIZED-270</t>
        </is>
      </c>
      <c r="D550" s="3" t="inlineStr">
        <is>
          <t>Isolation valve hydrostatic testing performed as **part of piping hydrostatic te...</t>
        </is>
      </c>
      <c r="E550" s="3" t="inlineStr">
        <is>
          <t>PKG-16</t>
        </is>
      </c>
      <c r="F550" s="3" t="inlineStr">
        <is>
          <t>A-1631</t>
        </is>
      </c>
      <c r="G550" s="3" t="inlineStr">
        <is>
          <t>Isolation valve hydrostatic testing performed as **part of..</t>
        </is>
      </c>
    </row>
    <row r="551">
      <c r="A551" s="3" t="inlineStr">
        <is>
          <t>UNCATEGORIZED</t>
        </is>
      </c>
      <c r="B551" s="3" t="inlineStr">
        <is>
          <t>Uncategorized</t>
        </is>
      </c>
      <c r="C551" s="3" t="inlineStr">
        <is>
          <t>UNCATEGORIZED-271</t>
        </is>
      </c>
      <c r="D551" s="3" t="inlineStr">
        <is>
          <t>LV Power Cable Length</t>
        </is>
      </c>
      <c r="E551" s="3" t="inlineStr">
        <is>
          <t>PKG-17</t>
        </is>
      </c>
      <c r="F551" s="3" t="inlineStr">
        <is>
          <t>A-1714</t>
        </is>
      </c>
      <c r="G551" s="3" t="inlineStr">
        <is>
          <t>LV Power Cable Length</t>
        </is>
      </c>
    </row>
    <row r="552">
      <c r="A552" s="3" t="inlineStr">
        <is>
          <t>UNCATEGORIZED</t>
        </is>
      </c>
      <c r="B552" s="3" t="inlineStr">
        <is>
          <t>Uncategorized</t>
        </is>
      </c>
      <c r="C552" s="3" t="inlineStr">
        <is>
          <t>UNCATEGORIZED-272</t>
        </is>
      </c>
      <c r="D552" s="3" t="inlineStr">
        <is>
          <t>LV Switchgear Configuration</t>
        </is>
      </c>
      <c r="E552" s="3" t="inlineStr">
        <is>
          <t>PKG-17</t>
        </is>
      </c>
      <c r="F552" s="3" t="inlineStr">
        <is>
          <t>A-1708</t>
        </is>
      </c>
      <c r="G552" s="3" t="inlineStr">
        <is>
          <t>LV Switchgear Configuration</t>
        </is>
      </c>
    </row>
    <row r="553">
      <c r="A553" s="3" t="inlineStr">
        <is>
          <t>UNCATEGORIZED</t>
        </is>
      </c>
      <c r="B553" s="3" t="inlineStr">
        <is>
          <t>Uncategorized</t>
        </is>
      </c>
      <c r="C553" s="3" t="inlineStr">
        <is>
          <t>UNCATEGORIZED-273</t>
        </is>
      </c>
      <c r="D553" s="3" t="inlineStr">
        <is>
          <t>MV Power Cable Length</t>
        </is>
      </c>
      <c r="E553" s="3" t="inlineStr">
        <is>
          <t>PKG-17</t>
        </is>
      </c>
      <c r="F553" s="3" t="inlineStr">
        <is>
          <t>A-1713</t>
        </is>
      </c>
      <c r="G553" s="3" t="inlineStr">
        <is>
          <t>MV Power Cable Length</t>
        </is>
      </c>
    </row>
    <row r="554">
      <c r="A554" s="3" t="inlineStr">
        <is>
          <t>UNCATEGORIZED</t>
        </is>
      </c>
      <c r="B554" s="3" t="inlineStr">
        <is>
          <t>Uncategorized</t>
        </is>
      </c>
      <c r="C554" s="3" t="inlineStr">
        <is>
          <t>UNCATEGORIZED-274</t>
        </is>
      </c>
      <c r="D554" s="3" t="inlineStr">
        <is>
          <t>MV Switchgear Configuration</t>
        </is>
      </c>
      <c r="E554" s="3" t="inlineStr">
        <is>
          <t>PKG-17</t>
        </is>
      </c>
      <c r="F554" s="3" t="inlineStr">
        <is>
          <t>A-1707</t>
        </is>
      </c>
      <c r="G554" s="3" t="inlineStr">
        <is>
          <t>MV Switchgear Configuration</t>
        </is>
      </c>
    </row>
    <row r="555">
      <c r="A555" s="3" t="inlineStr">
        <is>
          <t>UNCATEGORIZED</t>
        </is>
      </c>
      <c r="B555" s="3" t="inlineStr">
        <is>
          <t>Uncategorized</t>
        </is>
      </c>
      <c r="C555" s="3" t="inlineStr">
        <is>
          <t>UNCATEGORIZED-275</t>
        </is>
      </c>
      <c r="D555" s="3" t="inlineStr">
        <is>
          <t>Manholes</t>
        </is>
      </c>
      <c r="E555" s="3" t="inlineStr">
        <is>
          <t>PKG-13</t>
        </is>
      </c>
      <c r="F555" s="3" t="inlineStr">
        <is>
          <t>A-008</t>
        </is>
      </c>
      <c r="G555" s="3" t="inlineStr">
        <is>
          <t>Manholes</t>
        </is>
      </c>
    </row>
    <row r="556">
      <c r="A556" s="3" t="inlineStr">
        <is>
          <t>UNCATEGORIZED</t>
        </is>
      </c>
      <c r="B556" s="3" t="inlineStr">
        <is>
          <t>Uncategorized</t>
        </is>
      </c>
      <c r="C556" s="3" t="inlineStr">
        <is>
          <t>UNCATEGORIZED-276</t>
        </is>
      </c>
      <c r="D556" s="3" t="inlineStr">
        <is>
          <t>Marine Loading Foam System</t>
        </is>
      </c>
      <c r="E556" s="3" t="inlineStr">
        <is>
          <t>PKG-23</t>
        </is>
      </c>
      <c r="F556" s="3" t="inlineStr">
        <is>
          <t>A-008</t>
        </is>
      </c>
      <c r="G556" s="3" t="inlineStr">
        <is>
          <t>Marine Loading Foam System</t>
        </is>
      </c>
    </row>
    <row r="557">
      <c r="A557" s="3" t="inlineStr">
        <is>
          <t>UNCATEGORIZED</t>
        </is>
      </c>
      <c r="B557" s="3" t="inlineStr">
        <is>
          <t>Uncategorized</t>
        </is>
      </c>
      <c r="C557" s="3" t="inlineStr">
        <is>
          <t>UNCATEGORIZED-277</t>
        </is>
      </c>
      <c r="D557" s="3" t="inlineStr">
        <is>
          <t>Marine Loading Instrumentation</t>
        </is>
      </c>
      <c r="E557" s="3" t="inlineStr">
        <is>
          <t>PKG-20</t>
        </is>
      </c>
      <c r="F557" s="3" t="inlineStr">
        <is>
          <t>A-006</t>
        </is>
      </c>
      <c r="G557" s="3" t="inlineStr">
        <is>
          <t>Marine Loading Instrumentation</t>
        </is>
      </c>
    </row>
    <row r="558">
      <c r="A558" s="3" t="inlineStr">
        <is>
          <t>UNCATEGORIZED</t>
        </is>
      </c>
      <c r="B558" s="3" t="inlineStr">
        <is>
          <t>Uncategorized</t>
        </is>
      </c>
      <c r="C558" s="3" t="inlineStr">
        <is>
          <t>UNCATEGORIZED-278</t>
        </is>
      </c>
      <c r="D558" s="3" t="inlineStr">
        <is>
          <t>Miscellaneous Switches</t>
        </is>
      </c>
      <c r="E558" s="3" t="inlineStr">
        <is>
          <t>PKG-20</t>
        </is>
      </c>
      <c r="F558" s="3" t="inlineStr">
        <is>
          <t>A-016</t>
        </is>
      </c>
      <c r="G558" s="3" t="inlineStr">
        <is>
          <t>Miscellaneous Switches</t>
        </is>
      </c>
    </row>
    <row r="559">
      <c r="A559" s="3" t="inlineStr">
        <is>
          <t>UNCATEGORIZED</t>
        </is>
      </c>
      <c r="B559" s="3" t="inlineStr">
        <is>
          <t>Uncategorized</t>
        </is>
      </c>
      <c r="C559" s="3" t="inlineStr">
        <is>
          <t>UNCATEGORIZED-279</t>
        </is>
      </c>
      <c r="D559" s="3" t="inlineStr">
        <is>
          <t>NDE</t>
        </is>
      </c>
      <c r="E559" s="3" t="inlineStr">
        <is>
          <t>PKG-13</t>
        </is>
      </c>
      <c r="F559" s="3" t="inlineStr">
        <is>
          <t>A-022</t>
        </is>
      </c>
      <c r="G559" s="3" t="inlineStr">
        <is>
          <t>NDE</t>
        </is>
      </c>
    </row>
    <row r="560">
      <c r="A560" s="3" t="inlineStr">
        <is>
          <t>UNCATEGORIZED</t>
        </is>
      </c>
      <c r="B560" s="3" t="inlineStr">
        <is>
          <t>Uncategorized</t>
        </is>
      </c>
      <c r="C560" s="3" t="inlineStr">
        <is>
          <t>UNCATEGORIZED-280</t>
        </is>
      </c>
      <c r="D560" s="3" t="inlineStr">
        <is>
          <t>Nozzles</t>
        </is>
      </c>
      <c r="E560" s="3" t="inlineStr">
        <is>
          <t>PKG-13</t>
        </is>
      </c>
      <c r="F560" s="3" t="inlineStr">
        <is>
          <t>A-007</t>
        </is>
      </c>
      <c r="G560" s="3" t="inlineStr">
        <is>
          <t>Nozzles</t>
        </is>
      </c>
    </row>
    <row r="561">
      <c r="A561" s="3" t="inlineStr">
        <is>
          <t>UNCATEGORIZED</t>
        </is>
      </c>
      <c r="B561" s="3" t="inlineStr">
        <is>
          <t>Uncategorized</t>
        </is>
      </c>
      <c r="C561" s="3" t="inlineStr">
        <is>
          <t>UNCATEGORIZED-281</t>
        </is>
      </c>
      <c r="D561" s="3" t="inlineStr">
        <is>
          <t>OEM Training for 8 Major Systems</t>
        </is>
      </c>
      <c r="E561" s="3" t="inlineStr">
        <is>
          <t>PKG-35</t>
        </is>
      </c>
      <c r="F561" s="3" t="inlineStr">
        <is>
          <t>A-007</t>
        </is>
      </c>
      <c r="G561" s="3" t="inlineStr">
        <is>
          <t>OEM Training for 8 Major Systems</t>
        </is>
      </c>
    </row>
    <row r="562">
      <c r="A562" s="3" t="inlineStr">
        <is>
          <t>UNCATEGORIZED</t>
        </is>
      </c>
      <c r="B562" s="3" t="inlineStr">
        <is>
          <t>Uncategorized</t>
        </is>
      </c>
      <c r="C562" s="3" t="inlineStr">
        <is>
          <t>UNCATEGORIZED-282</t>
        </is>
      </c>
      <c r="D562" s="3" t="inlineStr">
        <is>
          <t>Overflow</t>
        </is>
      </c>
      <c r="E562" s="3" t="inlineStr">
        <is>
          <t>PKG-13</t>
        </is>
      </c>
      <c r="F562" s="3" t="inlineStr">
        <is>
          <t>A-017</t>
        </is>
      </c>
      <c r="G562" s="3" t="inlineStr">
        <is>
          <t>Overflow</t>
        </is>
      </c>
    </row>
    <row r="563">
      <c r="A563" s="3" t="inlineStr">
        <is>
          <t>UNCATEGORIZED</t>
        </is>
      </c>
      <c r="B563" s="3" t="inlineStr">
        <is>
          <t>Uncategorized</t>
        </is>
      </c>
      <c r="C563" s="3" t="inlineStr">
        <is>
          <t>UNCATEGORIZED-283</t>
        </is>
      </c>
      <c r="D563" s="3" t="inlineStr">
        <is>
          <t>Phase 2</t>
        </is>
      </c>
      <c r="E563" s="3" t="inlineStr">
        <is>
          <t>PKG-13</t>
        </is>
      </c>
      <c r="F563" s="3" t="inlineStr">
        <is>
          <t>A-020</t>
        </is>
      </c>
      <c r="G563" s="3" t="inlineStr">
        <is>
          <t>Phase 2</t>
        </is>
      </c>
    </row>
    <row r="564">
      <c r="A564" s="3" t="inlineStr">
        <is>
          <t>UNCATEGORIZED</t>
        </is>
      </c>
      <c r="B564" s="3" t="inlineStr">
        <is>
          <t>Uncategorized</t>
        </is>
      </c>
      <c r="C564" s="3" t="inlineStr">
        <is>
          <t>UNCATEGORIZED-284</t>
        </is>
      </c>
      <c r="D564" s="3" t="inlineStr">
        <is>
          <t>Pipe Supports and Racks</t>
        </is>
      </c>
      <c r="E564" s="3" t="inlineStr">
        <is>
          <t>PKG-06</t>
        </is>
      </c>
      <c r="F564" s="3" t="inlineStr">
        <is>
          <t>A-012</t>
        </is>
      </c>
      <c r="G564" s="3" t="inlineStr">
        <is>
          <t>Pipe Supports and Racks</t>
        </is>
      </c>
    </row>
    <row r="565">
      <c r="A565" s="3" t="inlineStr">
        <is>
          <t>UNCATEGORIZED</t>
        </is>
      </c>
      <c r="B565" s="3" t="inlineStr">
        <is>
          <t>Uncategorized</t>
        </is>
      </c>
      <c r="C565" s="3" t="inlineStr">
        <is>
          <t>UNCATEGORIZED-285</t>
        </is>
      </c>
      <c r="D565" s="3" t="inlineStr">
        <is>
          <t>Product Classification</t>
        </is>
      </c>
      <c r="E565" s="3" t="inlineStr">
        <is>
          <t>PKG-23</t>
        </is>
      </c>
      <c r="F565" s="3" t="inlineStr">
        <is>
          <t>A-021</t>
        </is>
      </c>
      <c r="G565" s="3" t="inlineStr">
        <is>
          <t>Product Classification</t>
        </is>
      </c>
    </row>
    <row r="566">
      <c r="A566" s="3" t="inlineStr">
        <is>
          <t>UNCATEGORIZED</t>
        </is>
      </c>
      <c r="B566" s="3" t="inlineStr">
        <is>
          <t>Uncategorized</t>
        </is>
      </c>
      <c r="C566" s="3" t="inlineStr">
        <is>
          <t>UNCATEGORIZED-286</t>
        </is>
      </c>
      <c r="D566" s="3" t="inlineStr">
        <is>
          <t>Railcar Unloading Instrumentation</t>
        </is>
      </c>
      <c r="E566" s="3" t="inlineStr">
        <is>
          <t>PKG-20</t>
        </is>
      </c>
      <c r="F566" s="3" t="inlineStr">
        <is>
          <t>A-005</t>
        </is>
      </c>
      <c r="G566" s="3" t="inlineStr">
        <is>
          <t>Railcar Unloading Instrumentation</t>
        </is>
      </c>
    </row>
    <row r="567">
      <c r="A567" s="3" t="inlineStr">
        <is>
          <t>UNCATEGORIZED</t>
        </is>
      </c>
      <c r="B567" s="3" t="inlineStr">
        <is>
          <t>Uncategorized</t>
        </is>
      </c>
      <c r="C567" s="3" t="inlineStr">
        <is>
          <t>UNCATEGORIZED-287</t>
        </is>
      </c>
      <c r="D567" s="3" t="inlineStr">
        <is>
          <t>Railcar unloading stations (32 stations) require **16 control valves** (one per ...</t>
        </is>
      </c>
      <c r="E567" s="3" t="inlineStr">
        <is>
          <t>PKG-16</t>
        </is>
      </c>
      <c r="F567" s="3" t="inlineStr">
        <is>
          <t>A-1616</t>
        </is>
      </c>
      <c r="G567" s="3" t="inlineStr">
        <is>
          <t>Railcar unloading stations (32 stations) require **16 cont..</t>
        </is>
      </c>
    </row>
    <row r="568">
      <c r="A568" s="3" t="inlineStr">
        <is>
          <t>UNCATEGORIZED</t>
        </is>
      </c>
      <c r="B568" s="3" t="inlineStr">
        <is>
          <t>Uncategorized</t>
        </is>
      </c>
      <c r="C568" s="3" t="inlineStr">
        <is>
          <t>UNCATEGORIZED-288</t>
        </is>
      </c>
      <c r="D568" s="3" t="inlineStr">
        <is>
          <t>Required illuminance levels assumed based on IESNA recommendations pending ER ex...</t>
        </is>
      </c>
      <c r="E568" s="3" t="inlineStr">
        <is>
          <t>PKG-18</t>
        </is>
      </c>
      <c r="F568" s="3" t="inlineStr">
        <is>
          <t>A-1823</t>
        </is>
      </c>
      <c r="G568" s="3" t="inlineStr">
        <is>
          <t>Required illuminance levels assumed based on IESNA recomme..</t>
        </is>
      </c>
    </row>
    <row r="569">
      <c r="A569" s="3" t="inlineStr">
        <is>
          <t>UNCATEGORIZED</t>
        </is>
      </c>
      <c r="B569" s="3" t="inlineStr">
        <is>
          <t>Uncategorized</t>
        </is>
      </c>
      <c r="C569" s="3" t="inlineStr">
        <is>
          <t>UNCATEGORIZED-289</t>
        </is>
      </c>
      <c r="D569" s="3" t="inlineStr">
        <is>
          <t>Roof type</t>
        </is>
      </c>
      <c r="E569" s="3" t="inlineStr">
        <is>
          <t>PKG-13</t>
        </is>
      </c>
      <c r="F569" s="3" t="inlineStr">
        <is>
          <t>A-004</t>
        </is>
      </c>
      <c r="G569" s="3" t="inlineStr">
        <is>
          <t>Roof type</t>
        </is>
      </c>
    </row>
    <row r="570">
      <c r="A570" s="3" t="inlineStr">
        <is>
          <t>UNCATEGORIZED</t>
        </is>
      </c>
      <c r="B570" s="3" t="inlineStr">
        <is>
          <t>Uncategorized</t>
        </is>
      </c>
      <c r="C570" s="3" t="inlineStr">
        <is>
          <t>UNCATEGORIZED-290</t>
        </is>
      </c>
      <c r="D570" s="3" t="inlineStr">
        <is>
          <t>Security Compliance Records — DEL-34.04</t>
        </is>
      </c>
      <c r="E570" s="3" t="inlineStr">
        <is>
          <t>PKG-34</t>
        </is>
      </c>
      <c r="F570" s="3" t="inlineStr">
        <is>
          <t>A-005</t>
        </is>
      </c>
      <c r="G570" s="3" t="inlineStr">
        <is>
          <t>Security Compliance Records — DEL-34.04</t>
        </is>
      </c>
    </row>
    <row r="571">
      <c r="A571" s="3" t="inlineStr">
        <is>
          <t>UNCATEGORIZED</t>
        </is>
      </c>
      <c r="B571" s="3" t="inlineStr">
        <is>
          <t>Uncategorized</t>
        </is>
      </c>
      <c r="C571" s="3" t="inlineStr">
        <is>
          <t>UNCATEGORIZED-291</t>
        </is>
      </c>
      <c r="D571" s="3" t="inlineStr">
        <is>
          <t>Shell courses</t>
        </is>
      </c>
      <c r="E571" s="3" t="inlineStr">
        <is>
          <t>PKG-13</t>
        </is>
      </c>
      <c r="F571" s="3" t="inlineStr">
        <is>
          <t>A-003</t>
        </is>
      </c>
      <c r="G571" s="3" t="inlineStr">
        <is>
          <t>Shell courses</t>
        </is>
      </c>
    </row>
    <row r="572">
      <c r="A572" s="3" t="inlineStr">
        <is>
          <t>UNCATEGORIZED</t>
        </is>
      </c>
      <c r="B572" s="3" t="inlineStr">
        <is>
          <t>Uncategorized</t>
        </is>
      </c>
      <c r="C572" s="3" t="inlineStr">
        <is>
          <t>UNCATEGORIZED-292</t>
        </is>
      </c>
      <c r="D572" s="3" t="inlineStr">
        <is>
          <t>Site Conditions</t>
        </is>
      </c>
      <c r="E572" s="3" t="inlineStr">
        <is>
          <t>PKG-20</t>
        </is>
      </c>
      <c r="F572" s="3" t="inlineStr">
        <is>
          <t>A-001</t>
        </is>
      </c>
      <c r="G572" s="3" t="inlineStr">
        <is>
          <t>Site Conditions</t>
        </is>
      </c>
    </row>
    <row r="573">
      <c r="A573" s="3" t="inlineStr">
        <is>
          <t>UNCATEGORIZED</t>
        </is>
      </c>
      <c r="B573" s="3" t="inlineStr">
        <is>
          <t>Uncategorized</t>
        </is>
      </c>
      <c r="C573" s="3" t="inlineStr">
        <is>
          <t>UNCATEGORIZED-293</t>
        </is>
      </c>
      <c r="D573" s="3" t="inlineStr">
        <is>
          <t>Site Conditions and Access</t>
        </is>
      </c>
      <c r="E573" s="3" t="inlineStr">
        <is>
          <t>PKG-22</t>
        </is>
      </c>
      <c r="F573" s="3" t="inlineStr">
        <is>
          <t>A-018</t>
        </is>
      </c>
      <c r="G573" s="3" t="inlineStr">
        <is>
          <t>Site Conditions and Access</t>
        </is>
      </c>
    </row>
    <row r="574">
      <c r="A574" s="3" t="inlineStr">
        <is>
          <t>UNCATEGORIZED</t>
        </is>
      </c>
      <c r="B574" s="3" t="inlineStr">
        <is>
          <t>Uncategorized</t>
        </is>
      </c>
      <c r="C574" s="3" t="inlineStr">
        <is>
          <t>UNCATEGORIZED-294</t>
        </is>
      </c>
      <c r="D574" s="3" t="inlineStr">
        <is>
          <t>Stairs and Gangways (Fabricated Items)</t>
        </is>
      </c>
      <c r="E574" s="3" t="inlineStr">
        <is>
          <t>PKG-06</t>
        </is>
      </c>
      <c r="F574" s="3" t="inlineStr">
        <is>
          <t>A-011</t>
        </is>
      </c>
      <c r="G574" s="3" t="inlineStr">
        <is>
          <t>Stairs and Gangways (Fabricated Items)</t>
        </is>
      </c>
    </row>
    <row r="575">
      <c r="A575" s="3" t="inlineStr">
        <is>
          <t>UNCATEGORIZED</t>
        </is>
      </c>
      <c r="B575" s="3" t="inlineStr">
        <is>
          <t>Uncategorized</t>
        </is>
      </c>
      <c r="C575" s="3" t="inlineStr">
        <is>
          <t>UNCATEGORIZED-295</t>
        </is>
      </c>
      <c r="D575" s="3" t="inlineStr">
        <is>
          <t>Standard industrial control system complexity (typical liquid terminal)</t>
        </is>
      </c>
      <c r="E575" s="3" t="inlineStr">
        <is>
          <t>PKG-19</t>
        </is>
      </c>
      <c r="F575" s="3" t="inlineStr">
        <is>
          <t>A-013</t>
        </is>
      </c>
      <c r="G575" s="3" t="inlineStr">
        <is>
          <t>Standard industrial control system complexity (typical liq..</t>
        </is>
      </c>
    </row>
    <row r="576">
      <c r="A576" s="3" t="inlineStr">
        <is>
          <t>UNCATEGORIZED</t>
        </is>
      </c>
      <c r="B576" s="3" t="inlineStr">
        <is>
          <t>Uncategorized</t>
        </is>
      </c>
      <c r="C576" s="3" t="inlineStr">
        <is>
          <t>UNCATEGORIZED-296</t>
        </is>
      </c>
      <c r="D576" s="3" t="inlineStr">
        <is>
          <t>Steel weight</t>
        </is>
      </c>
      <c r="E576" s="3" t="inlineStr">
        <is>
          <t>PKG-13</t>
        </is>
      </c>
      <c r="F576" s="3" t="inlineStr">
        <is>
          <t>A-005</t>
        </is>
      </c>
      <c r="G576" s="3" t="inlineStr">
        <is>
          <t>Steel weight</t>
        </is>
      </c>
    </row>
    <row r="577">
      <c r="A577" s="3" t="inlineStr">
        <is>
          <t>UNCATEGORIZED</t>
        </is>
      </c>
      <c r="B577" s="3" t="inlineStr">
        <is>
          <t>Uncategorized</t>
        </is>
      </c>
      <c r="C577" s="3" t="inlineStr">
        <is>
          <t>UNCATEGORIZED-297</t>
        </is>
      </c>
      <c r="D577" s="3" t="inlineStr">
        <is>
          <t>Storage tanks (3 tanks) require **~36 valves total** (12 per tank)</t>
        </is>
      </c>
      <c r="E577" s="3" t="inlineStr">
        <is>
          <t>PKG-16</t>
        </is>
      </c>
      <c r="F577" s="3" t="inlineStr">
        <is>
          <t>A-1617</t>
        </is>
      </c>
      <c r="G577" s="3" t="inlineStr">
        <is>
          <t>Storage tanks (3 tanks) require **~36 valves total** (12 p..</t>
        </is>
      </c>
    </row>
    <row r="578">
      <c r="A578" s="3" t="inlineStr">
        <is>
          <t>UNCATEGORIZED</t>
        </is>
      </c>
      <c r="B578" s="3" t="inlineStr">
        <is>
          <t>Uncategorized</t>
        </is>
      </c>
      <c r="C578" s="3" t="inlineStr">
        <is>
          <t>UNCATEGORIZED-298</t>
        </is>
      </c>
      <c r="D578" s="3" t="inlineStr">
        <is>
          <t>Tank Foam Discharge Systems</t>
        </is>
      </c>
      <c r="E578" s="3" t="inlineStr">
        <is>
          <t>PKG-23</t>
        </is>
      </c>
      <c r="F578" s="3" t="inlineStr">
        <is>
          <t>A-007</t>
        </is>
      </c>
      <c r="G578" s="3" t="inlineStr">
        <is>
          <t>Tank Foam Discharge Systems</t>
        </is>
      </c>
    </row>
    <row r="579">
      <c r="A579" s="3" t="inlineStr">
        <is>
          <t>UNCATEGORIZED</t>
        </is>
      </c>
      <c r="B579" s="3" t="inlineStr">
        <is>
          <t>Uncategorized</t>
        </is>
      </c>
      <c r="C579" s="3" t="inlineStr">
        <is>
          <t>UNCATEGORIZED-299</t>
        </is>
      </c>
      <c r="D579" s="3" t="inlineStr">
        <is>
          <t>Tank Instrumentation Density</t>
        </is>
      </c>
      <c r="E579" s="3" t="inlineStr">
        <is>
          <t>PKG-20</t>
        </is>
      </c>
      <c r="F579" s="3" t="inlineStr">
        <is>
          <t>A-004</t>
        </is>
      </c>
      <c r="G579" s="3" t="inlineStr">
        <is>
          <t>Tank Instrumentation Density</t>
        </is>
      </c>
    </row>
    <row r="580">
      <c r="A580" s="3" t="inlineStr">
        <is>
          <t>UNCATEGORIZED</t>
        </is>
      </c>
      <c r="B580" s="3" t="inlineStr">
        <is>
          <t>Uncategorized</t>
        </is>
      </c>
      <c r="C580" s="3" t="inlineStr">
        <is>
          <t>UNCATEGORIZED-300</t>
        </is>
      </c>
      <c r="D580" s="3" t="inlineStr">
        <is>
          <t>Tank dimensions</t>
        </is>
      </c>
      <c r="E580" s="3" t="inlineStr">
        <is>
          <t>PKG-13</t>
        </is>
      </c>
      <c r="F580" s="3" t="inlineStr">
        <is>
          <t>A-002</t>
        </is>
      </c>
      <c r="G580" s="3" t="inlineStr">
        <is>
          <t>Tank dimensions</t>
        </is>
      </c>
    </row>
    <row r="581">
      <c r="A581" s="3" t="inlineStr">
        <is>
          <t>UNCATEGORIZED</t>
        </is>
      </c>
      <c r="B581" s="3" t="inlineStr">
        <is>
          <t>Uncategorized</t>
        </is>
      </c>
      <c r="C581" s="3" t="inlineStr">
        <is>
          <t>UNCATEGORIZED-301</t>
        </is>
      </c>
      <c r="D581" s="3" t="inlineStr">
        <is>
          <t>Tank sizing</t>
        </is>
      </c>
      <c r="E581" s="3" t="inlineStr">
        <is>
          <t>PKG-13</t>
        </is>
      </c>
      <c r="F581" s="3" t="inlineStr">
        <is>
          <t>A-001</t>
        </is>
      </c>
      <c r="G581" s="3" t="inlineStr">
        <is>
          <t>Tank sizing</t>
        </is>
      </c>
    </row>
    <row r="582">
      <c r="A582" s="3" t="inlineStr">
        <is>
          <t>UNCATEGORIZED</t>
        </is>
      </c>
      <c r="B582" s="3" t="inlineStr">
        <is>
          <t>Uncategorized</t>
        </is>
      </c>
      <c r="C582" s="3" t="inlineStr">
        <is>
          <t>UNCATEGORIZED-302</t>
        </is>
      </c>
      <c r="D582" s="3" t="inlineStr">
        <is>
          <t>Three remote HMI panels at: railcar unloading area, tank farm, marine loading pl...</t>
        </is>
      </c>
      <c r="E582" s="3" t="inlineStr">
        <is>
          <t>PKG-19</t>
        </is>
      </c>
      <c r="F582" s="3" t="inlineStr">
        <is>
          <t>A-005</t>
        </is>
      </c>
      <c r="G582" s="3" t="inlineStr">
        <is>
          <t>Three remote HMI panels at: railcar unloading area, tank f..</t>
        </is>
      </c>
    </row>
    <row r="583">
      <c r="A583" s="3" t="inlineStr">
        <is>
          <t>UNCATEGORIZED</t>
        </is>
      </c>
      <c r="B583" s="3" t="inlineStr">
        <is>
          <t>Uncategorized</t>
        </is>
      </c>
      <c r="C583" s="3" t="inlineStr">
        <is>
          <t>UNCATEGORIZED-303</t>
        </is>
      </c>
      <c r="D583" s="3" t="inlineStr">
        <is>
          <t>Training Population (30-50 Personnel)</t>
        </is>
      </c>
      <c r="E583" s="3" t="inlineStr">
        <is>
          <t>PKG-35</t>
        </is>
      </c>
      <c r="F583" s="3" t="inlineStr">
        <is>
          <t>A-006</t>
        </is>
      </c>
      <c r="G583" s="3" t="inlineStr">
        <is>
          <t>Training Population (30-50 Personnel)</t>
        </is>
      </c>
    </row>
    <row r="584">
      <c r="A584" s="3" t="inlineStr">
        <is>
          <t>UNCATEGORIZED</t>
        </is>
      </c>
      <c r="B584" s="3" t="inlineStr">
        <is>
          <t>Uncategorized</t>
        </is>
      </c>
      <c r="C584" s="3" t="inlineStr">
        <is>
          <t>UNCATEGORIZED-304</t>
        </is>
      </c>
      <c r="D584" s="3" t="inlineStr">
        <is>
          <t>Transfer Piping Instrumentation</t>
        </is>
      </c>
      <c r="E584" s="3" t="inlineStr">
        <is>
          <t>PKG-20</t>
        </is>
      </c>
      <c r="F584" s="3" t="inlineStr">
        <is>
          <t>A-007</t>
        </is>
      </c>
      <c r="G584" s="3" t="inlineStr">
        <is>
          <t>Transfer Piping Instrumentation</t>
        </is>
      </c>
    </row>
    <row r="585">
      <c r="A585" s="3" t="inlineStr">
        <is>
          <t>UNCATEGORIZED</t>
        </is>
      </c>
      <c r="B585" s="3" t="inlineStr">
        <is>
          <t>Uncategorized</t>
        </is>
      </c>
      <c r="C585" s="3" t="inlineStr">
        <is>
          <t>UNCATEGORIZED-305</t>
        </is>
      </c>
      <c r="D585" s="3" t="inlineStr">
        <is>
          <t>Trenchless Crossing Monitoring — DEL-34.05</t>
        </is>
      </c>
      <c r="E585" s="3" t="inlineStr">
        <is>
          <t>PKG-34</t>
        </is>
      </c>
      <c r="F585" s="3" t="inlineStr">
        <is>
          <t>A-001</t>
        </is>
      </c>
      <c r="G585" s="3" t="inlineStr">
        <is>
          <t>Trenchless Crossing Monitoring — DEL-34.05</t>
        </is>
      </c>
    </row>
    <row r="586">
      <c r="A586" s="3" t="inlineStr">
        <is>
          <t>UNCATEGORIZED</t>
        </is>
      </c>
      <c r="B586" s="3" t="inlineStr">
        <is>
          <t>Uncategorized</t>
        </is>
      </c>
      <c r="C586" s="3" t="inlineStr">
        <is>
          <t>UNCATEGORIZED-306</t>
        </is>
      </c>
      <c r="D586" s="3" t="inlineStr">
        <is>
          <t>Two redundant DCS/PLC controllers (primary and standby)</t>
        </is>
      </c>
      <c r="E586" s="3" t="inlineStr">
        <is>
          <t>PKG-19</t>
        </is>
      </c>
      <c r="F586" s="3" t="inlineStr">
        <is>
          <t>A-003</t>
        </is>
      </c>
      <c r="G586" s="3" t="inlineStr">
        <is>
          <t>Two redundant DCS/PLC controllers (primary and standby)</t>
        </is>
      </c>
    </row>
    <row r="587">
      <c r="A587" s="3" t="inlineStr">
        <is>
          <t>UNCATEGORIZED</t>
        </is>
      </c>
      <c r="B587" s="3" t="inlineStr">
        <is>
          <t>Uncategorized</t>
        </is>
      </c>
      <c r="C587" s="3" t="inlineStr">
        <is>
          <t>UNCATEGORIZED-307</t>
        </is>
      </c>
      <c r="D587" s="3" t="inlineStr">
        <is>
          <t>UPS System Sizing</t>
        </is>
      </c>
      <c r="E587" s="3" t="inlineStr">
        <is>
          <t>PKG-17</t>
        </is>
      </c>
      <c r="F587" s="3" t="inlineStr">
        <is>
          <t>A-1711</t>
        </is>
      </c>
      <c r="G587" s="3" t="inlineStr">
        <is>
          <t>UPS System Sizing</t>
        </is>
      </c>
    </row>
    <row r="588">
      <c r="A588" s="3" t="inlineStr">
        <is>
          <t>UNCATEGORIZED</t>
        </is>
      </c>
      <c r="B588" s="3" t="inlineStr">
        <is>
          <t>Uncategorized</t>
        </is>
      </c>
      <c r="C588" s="3" t="inlineStr">
        <is>
          <t>UNCATEGORIZED-308</t>
        </is>
      </c>
      <c r="D588" s="3" t="inlineStr">
        <is>
          <t>Valve size distribution: 60% small (DN50-100), 30% medium (DN150-200), 10% large...</t>
        </is>
      </c>
      <c r="E588" s="3" t="inlineStr">
        <is>
          <t>PKG-16</t>
        </is>
      </c>
      <c r="F588" s="3" t="inlineStr">
        <is>
          <t>A-1602</t>
        </is>
      </c>
      <c r="G588" s="3" t="inlineStr">
        <is>
          <t>Valve size distribution: 60% small (DN50-100), 30% medium ..</t>
        </is>
      </c>
    </row>
    <row r="589">
      <c r="A589" s="3" t="inlineStr">
        <is>
          <t>UNCATEGORIZED</t>
        </is>
      </c>
      <c r="B589" s="3" t="inlineStr">
        <is>
          <t>Uncategorized</t>
        </is>
      </c>
      <c r="C589" s="3" t="inlineStr">
        <is>
          <t>UNCATEGORIZED-309</t>
        </is>
      </c>
      <c r="D589" s="3" t="inlineStr">
        <is>
          <t>Warranty and Spare Parts</t>
        </is>
      </c>
      <c r="E589" s="3" t="inlineStr">
        <is>
          <t>PKG-22</t>
        </is>
      </c>
      <c r="F589" s="3" t="inlineStr">
        <is>
          <t>A-020</t>
        </is>
      </c>
      <c r="G589" s="3" t="inlineStr">
        <is>
          <t>Warranty and Spare Parts</t>
        </is>
      </c>
    </row>
    <row r="590">
      <c r="A590" s="3" t="inlineStr">
        <is>
          <t>UNCATEGORIZED</t>
        </is>
      </c>
      <c r="B590" s="3" t="inlineStr">
        <is>
          <t>Uncategorized</t>
        </is>
      </c>
      <c r="C590" s="3" t="inlineStr">
        <is>
          <t>UNCATEGORIZED-310</t>
        </is>
      </c>
      <c r="D590" s="3" t="inlineStr">
        <is>
          <t>Water draw-off</t>
        </is>
      </c>
      <c r="E590" s="3" t="inlineStr">
        <is>
          <t>PKG-13</t>
        </is>
      </c>
      <c r="F590" s="3" t="inlineStr">
        <is>
          <t>A-018</t>
        </is>
      </c>
      <c r="G590" s="3" t="inlineStr">
        <is>
          <t>Water draw-off</t>
        </is>
      </c>
    </row>
    <row r="591">
      <c r="A591" s="3" t="inlineStr">
        <is>
          <t>UNCATEGORIZED</t>
        </is>
      </c>
      <c r="B591" s="3" t="inlineStr">
        <is>
          <t>Uncategorized</t>
        </is>
      </c>
      <c r="C591" s="3" t="inlineStr">
        <is>
          <t>UNCATEGORIZED-311</t>
        </is>
      </c>
      <c r="D591" s="3" t="inlineStr">
        <is>
          <t>Weld Inspection and NDT</t>
        </is>
      </c>
      <c r="E591" s="3" t="inlineStr">
        <is>
          <t>PKG-06</t>
        </is>
      </c>
      <c r="F591" s="3" t="inlineStr">
        <is>
          <t>A-015</t>
        </is>
      </c>
      <c r="G591" s="3" t="inlineStr">
        <is>
          <t>Weld Inspection and NDT</t>
        </is>
      </c>
    </row>
  </sheetData>
  <hyperlinks>
    <hyperlink xmlns:r="http://schemas.openxmlformats.org/officeDocument/2006/relationships" ref="H1" r:id="rId1"/>
  </hyperlinks>
  <pageMargins left="0.75" right="0.75" top="1" bottom="1" header="0.5" footer="0.5"/>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I123"/>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16" customWidth="1" min="3" max="3"/>
    <col width="40" customWidth="1" min="4" max="4"/>
    <col width="32" customWidth="1" min="5" max="5"/>
    <col width="14" customWidth="1" min="6" max="6"/>
    <col width="44" customWidth="1" min="7" max="7"/>
    <col width="10" customWidth="1" min="8" max="8"/>
  </cols>
  <sheetData>
    <row r="1">
      <c r="A1" s="15" t="inlineStr">
        <is>
          <t>Risks — consolidated groups</t>
        </is>
      </c>
      <c r="I1" s="4" t="inlineStr">
        <is>
          <t>Home</t>
        </is>
      </c>
    </row>
    <row r="3">
      <c r="A3" s="16" t="inlineStr">
        <is>
          <t>CategoryCode</t>
        </is>
      </c>
      <c r="B3" s="16" t="inlineStr">
        <is>
          <t>Category</t>
        </is>
      </c>
      <c r="C3" s="16" t="inlineStr">
        <is>
          <t>GroupID</t>
        </is>
      </c>
      <c r="D3" s="16" t="inlineStr">
        <is>
          <t>GroupTitle</t>
        </is>
      </c>
      <c r="E3" s="16" t="inlineStr">
        <is>
          <t>Theme</t>
        </is>
      </c>
      <c r="F3" s="16" t="inlineStr">
        <is>
          <t>PackagesCount</t>
        </is>
      </c>
      <c r="G3" s="16" t="inlineStr">
        <is>
          <t>Packages</t>
        </is>
      </c>
      <c r="H3" s="16" t="inlineStr">
        <is>
          <t>ItemsCount</t>
        </is>
      </c>
    </row>
    <row r="4">
      <c r="A4" s="3" t="inlineStr">
        <is>
          <t>RSK-ENV</t>
        </is>
      </c>
      <c r="B4" s="3" t="inlineStr">
        <is>
          <t>Environmental Risk</t>
        </is>
      </c>
      <c r="C4" s="3" t="inlineStr">
        <is>
          <t>RSK-ENV-001</t>
        </is>
      </c>
      <c r="D4" s="3" t="inlineStr">
        <is>
          <t>Weather/Environmental Risk</t>
        </is>
      </c>
      <c r="E4" s="3" t="inlineStr">
        <is>
          <t>Weather/Environmental Risk</t>
        </is>
      </c>
      <c r="F4" s="3" t="n">
        <v>9</v>
      </c>
      <c r="G4" s="3" t="inlineStr">
        <is>
          <t>PKG-01, PKG-08, PKG-11, PKG-13, PKG-14, PKG-16, PKG-20, PKG-21, PKG-23</t>
        </is>
      </c>
      <c r="H4" s="3" t="n">
        <v>10</v>
      </c>
    </row>
    <row r="5">
      <c r="A5" s="3" t="inlineStr">
        <is>
          <t>RSK-ENV</t>
        </is>
      </c>
      <c r="B5" s="3" t="inlineStr">
        <is>
          <t>Environmental Risk</t>
        </is>
      </c>
      <c r="C5" s="3" t="inlineStr">
        <is>
          <t>RSK-ENV-002</t>
        </is>
      </c>
      <c r="D5" s="3" t="inlineStr">
        <is>
          <t>Marine Logistics Constraints</t>
        </is>
      </c>
      <c r="E5" s="3" t="inlineStr"/>
      <c r="F5" s="3" t="n">
        <v>1</v>
      </c>
      <c r="G5" s="3" t="inlineStr">
        <is>
          <t>PKG-08</t>
        </is>
      </c>
      <c r="H5" s="3" t="n">
        <v>1</v>
      </c>
    </row>
    <row r="6">
      <c r="A6" s="3" t="inlineStr">
        <is>
          <t>RSK-ESC</t>
        </is>
      </c>
      <c r="B6" s="3" t="inlineStr">
        <is>
          <t>Escalation Risk</t>
        </is>
      </c>
      <c r="C6" s="3" t="inlineStr">
        <is>
          <t>RSK-ESC-003</t>
        </is>
      </c>
      <c r="D6" s="3" t="inlineStr">
        <is>
          <t>Cost Escalation Exposure</t>
        </is>
      </c>
      <c r="E6" s="3" t="inlineStr">
        <is>
          <t>Cost Escalation Exposure</t>
        </is>
      </c>
      <c r="F6" s="3" t="n">
        <v>11</v>
      </c>
      <c r="G6" s="3" t="inlineStr">
        <is>
          <t>PKG-00, PKG-05, PKG-15, PKG-16, PKG-22, PKG-23, PKG-31, PKG-32, PKG-33, PKG-34, PKG-35</t>
        </is>
      </c>
      <c r="H6" s="3" t="n">
        <v>14</v>
      </c>
    </row>
    <row r="7">
      <c r="A7" s="3" t="inlineStr">
        <is>
          <t>RSK-INTF</t>
        </is>
      </c>
      <c r="B7" s="3" t="inlineStr">
        <is>
          <t>Interface Risk</t>
        </is>
      </c>
      <c r="C7" s="3" t="inlineStr">
        <is>
          <t>RSK-INTF-004</t>
        </is>
      </c>
      <c r="D7" s="3" t="inlineStr">
        <is>
          <t>Interface &amp; Coordination Risk</t>
        </is>
      </c>
      <c r="E7" s="3" t="inlineStr">
        <is>
          <t>Interface &amp; Coordination Risk</t>
        </is>
      </c>
      <c r="F7" s="3" t="n">
        <v>9</v>
      </c>
      <c r="G7" s="3" t="inlineStr">
        <is>
          <t>PKG-00, PKG-05, PKG-10, PKG-11, PKG-14, PKG-16, PKG-22, PKG-32, PKG-34</t>
        </is>
      </c>
      <c r="H7" s="3" t="n">
        <v>16</v>
      </c>
    </row>
    <row r="8">
      <c r="A8" s="3" t="inlineStr">
        <is>
          <t>RSK-INTF</t>
        </is>
      </c>
      <c r="B8" s="3" t="inlineStr">
        <is>
          <t>Interface Risk</t>
        </is>
      </c>
      <c r="C8" s="3" t="inlineStr">
        <is>
          <t>RSK-INTF-005</t>
        </is>
      </c>
      <c r="D8" s="3" t="inlineStr">
        <is>
          <t>PKG-27 R-2701</t>
        </is>
      </c>
      <c r="E8" s="3" t="inlineStr"/>
      <c r="F8" s="3" t="n">
        <v>4</v>
      </c>
      <c r="G8" s="3" t="inlineStr">
        <is>
          <t>PKG-27, PKG-28, PKG-29, PKG-30</t>
        </is>
      </c>
      <c r="H8" s="3" t="n">
        <v>38</v>
      </c>
    </row>
    <row r="9">
      <c r="A9" s="3" t="inlineStr">
        <is>
          <t>RSK-INTF</t>
        </is>
      </c>
      <c r="B9" s="3" t="inlineStr">
        <is>
          <t>Interface Risk</t>
        </is>
      </c>
      <c r="C9" s="3" t="inlineStr">
        <is>
          <t>RSK-INTF-006</t>
        </is>
      </c>
      <c r="D9" s="3" t="inlineStr">
        <is>
          <t>PKG-24 risk R-001 - see source</t>
        </is>
      </c>
      <c r="E9" s="3" t="inlineStr"/>
      <c r="F9" s="3" t="n">
        <v>2</v>
      </c>
      <c r="G9" s="3" t="inlineStr">
        <is>
          <t>PKG-24, PKG-25</t>
        </is>
      </c>
      <c r="H9" s="3" t="n">
        <v>18</v>
      </c>
    </row>
    <row r="10">
      <c r="A10" s="3" t="inlineStr">
        <is>
          <t>RSK-INTF</t>
        </is>
      </c>
      <c r="B10" s="3" t="inlineStr">
        <is>
          <t>Interface Risk</t>
        </is>
      </c>
      <c r="C10" s="3" t="inlineStr">
        <is>
          <t>RSK-INTF-007</t>
        </is>
      </c>
      <c r="D10" s="3" t="inlineStr">
        <is>
          <t>PKG-26 risk R-2601</t>
        </is>
      </c>
      <c r="E10" s="3" t="inlineStr"/>
      <c r="F10" s="3" t="n">
        <v>1</v>
      </c>
      <c r="G10" s="3" t="inlineStr">
        <is>
          <t>PKG-26</t>
        </is>
      </c>
      <c r="H10" s="3" t="n">
        <v>8</v>
      </c>
    </row>
    <row r="11">
      <c r="A11" s="3" t="inlineStr">
        <is>
          <t>RSK-INTF</t>
        </is>
      </c>
      <c r="B11" s="3" t="inlineStr">
        <is>
          <t>Interface Risk</t>
        </is>
      </c>
      <c r="C11" s="3" t="inlineStr">
        <is>
          <t>RSK-INTF-008</t>
        </is>
      </c>
      <c r="D11" s="3" t="inlineStr">
        <is>
          <t>Control Room Integration</t>
        </is>
      </c>
      <c r="E11" s="3" t="inlineStr"/>
      <c r="F11" s="3" t="n">
        <v>1</v>
      </c>
      <c r="G11" s="3" t="inlineStr">
        <is>
          <t>PKG-19</t>
        </is>
      </c>
      <c r="H11" s="3" t="n">
        <v>1</v>
      </c>
    </row>
    <row r="12">
      <c r="A12" s="3" t="inlineStr">
        <is>
          <t>RSK-INTF</t>
        </is>
      </c>
      <c r="B12" s="3" t="inlineStr">
        <is>
          <t>Interface Risk</t>
        </is>
      </c>
      <c r="C12" s="3" t="inlineStr">
        <is>
          <t>RSK-INTF-009</t>
        </is>
      </c>
      <c r="D12" s="3" t="inlineStr">
        <is>
          <t>Coordination and Interface Delays</t>
        </is>
      </c>
      <c r="E12" s="3" t="inlineStr"/>
      <c r="F12" s="3" t="n">
        <v>1</v>
      </c>
      <c r="G12" s="3" t="inlineStr">
        <is>
          <t>PKG-15</t>
        </is>
      </c>
      <c r="H12" s="3" t="n">
        <v>1</v>
      </c>
    </row>
    <row r="13">
      <c r="A13" s="3" t="inlineStr">
        <is>
          <t>RSK-INTF</t>
        </is>
      </c>
      <c r="B13" s="3" t="inlineStr">
        <is>
          <t>Interface Risk</t>
        </is>
      </c>
      <c r="C13" s="3" t="inlineStr">
        <is>
          <t>RSK-INTF-010</t>
        </is>
      </c>
      <c r="D13" s="3" t="inlineStr">
        <is>
          <t>Emergency Response Plan Integration Complexity</t>
        </is>
      </c>
      <c r="E13" s="3" t="inlineStr"/>
      <c r="F13" s="3" t="n">
        <v>1</v>
      </c>
      <c r="G13" s="3" t="inlineStr">
        <is>
          <t>PKG-33</t>
        </is>
      </c>
      <c r="H13" s="3" t="n">
        <v>1</v>
      </c>
    </row>
    <row r="14">
      <c r="A14" s="3" t="inlineStr">
        <is>
          <t>RSK-INTF</t>
        </is>
      </c>
      <c r="B14" s="3" t="inlineStr">
        <is>
          <t>Interface Risk</t>
        </is>
      </c>
      <c r="C14" s="3" t="inlineStr">
        <is>
          <t>RSK-INTF-011</t>
        </is>
      </c>
      <c r="D14" s="3" t="inlineStr">
        <is>
          <t>Integration with Control System</t>
        </is>
      </c>
      <c r="E14" s="3" t="inlineStr"/>
      <c r="F14" s="3" t="n">
        <v>1</v>
      </c>
      <c r="G14" s="3" t="inlineStr">
        <is>
          <t>PKG-15</t>
        </is>
      </c>
      <c r="H14" s="3" t="n">
        <v>1</v>
      </c>
    </row>
    <row r="15">
      <c r="A15" s="3" t="inlineStr">
        <is>
          <t>RSK-INTF</t>
        </is>
      </c>
      <c r="B15" s="3" t="inlineStr">
        <is>
          <t>Interface Risk</t>
        </is>
      </c>
      <c r="C15" s="3" t="inlineStr">
        <is>
          <t>RSK-INTF-012</t>
        </is>
      </c>
      <c r="D15" s="3" t="inlineStr">
        <is>
          <t>Integration with Existing Terminal Systems</t>
        </is>
      </c>
      <c r="E15" s="3" t="inlineStr"/>
      <c r="F15" s="3" t="n">
        <v>1</v>
      </c>
      <c r="G15" s="3" t="inlineStr">
        <is>
          <t>PKG-19</t>
        </is>
      </c>
      <c r="H15" s="3" t="n">
        <v>1</v>
      </c>
    </row>
    <row r="16">
      <c r="A16" s="3" t="inlineStr">
        <is>
          <t>RSK-INTF</t>
        </is>
      </c>
      <c r="B16" s="3" t="inlineStr">
        <is>
          <t>Interface Risk</t>
        </is>
      </c>
      <c r="C16" s="3" t="inlineStr">
        <is>
          <t>RSK-INTF-013</t>
        </is>
      </c>
      <c r="D16" s="3" t="inlineStr">
        <is>
          <t>Interface - Marine Access</t>
        </is>
      </c>
      <c r="E16" s="3" t="inlineStr"/>
      <c r="F16" s="3" t="n">
        <v>1</v>
      </c>
      <c r="G16" s="3" t="inlineStr">
        <is>
          <t>PKG-11</t>
        </is>
      </c>
      <c r="H16" s="3" t="n">
        <v>1</v>
      </c>
    </row>
    <row r="17">
      <c r="A17" s="3" t="inlineStr">
        <is>
          <t>RSK-INTF</t>
        </is>
      </c>
      <c r="B17" s="3" t="inlineStr">
        <is>
          <t>Interface Risk</t>
        </is>
      </c>
      <c r="C17" s="3" t="inlineStr">
        <is>
          <t>RSK-INTF-014</t>
        </is>
      </c>
      <c r="D17" s="3" t="inlineStr">
        <is>
          <t>Interface with Other Packages (HSE Dependencies)</t>
        </is>
      </c>
      <c r="E17" s="3" t="inlineStr"/>
      <c r="F17" s="3" t="n">
        <v>1</v>
      </c>
      <c r="G17" s="3" t="inlineStr">
        <is>
          <t>PKG-33</t>
        </is>
      </c>
      <c r="H17" s="3" t="n">
        <v>1</v>
      </c>
    </row>
    <row r="18">
      <c r="A18" s="3" t="inlineStr">
        <is>
          <t>RSK-INTF</t>
        </is>
      </c>
      <c r="B18" s="3" t="inlineStr">
        <is>
          <t>Interface Risk</t>
        </is>
      </c>
      <c r="C18" s="3" t="inlineStr">
        <is>
          <t>RSK-INTF-015</t>
        </is>
      </c>
      <c r="D18" s="3" t="inlineStr">
        <is>
          <t>Loop Testing Coordination</t>
        </is>
      </c>
      <c r="E18" s="3" t="inlineStr"/>
      <c r="F18" s="3" t="n">
        <v>1</v>
      </c>
      <c r="G18" s="3" t="inlineStr">
        <is>
          <t>PKG-20</t>
        </is>
      </c>
      <c r="H18" s="3" t="n">
        <v>1</v>
      </c>
    </row>
    <row r="19">
      <c r="A19" s="3" t="inlineStr">
        <is>
          <t>RSK-INTF</t>
        </is>
      </c>
      <c r="B19" s="3" t="inlineStr">
        <is>
          <t>Interface Risk</t>
        </is>
      </c>
      <c r="C19" s="3" t="inlineStr">
        <is>
          <t>RSK-INTF-016</t>
        </is>
      </c>
      <c r="D19" s="3" t="inlineStr">
        <is>
          <t>Marine Coordination Complexity</t>
        </is>
      </c>
      <c r="E19" s="3" t="inlineStr"/>
      <c r="F19" s="3" t="n">
        <v>1</v>
      </c>
      <c r="G19" s="3" t="inlineStr">
        <is>
          <t>PKG-34</t>
        </is>
      </c>
      <c r="H19" s="3" t="n">
        <v>1</v>
      </c>
    </row>
    <row r="20">
      <c r="A20" s="3" t="inlineStr">
        <is>
          <t>RSK-INTF</t>
        </is>
      </c>
      <c r="B20" s="3" t="inlineStr">
        <is>
          <t>Interface Risk</t>
        </is>
      </c>
      <c r="C20" s="3" t="inlineStr">
        <is>
          <t>RSK-INTF-017</t>
        </is>
      </c>
      <c r="D20" s="3" t="inlineStr">
        <is>
          <t>PKG-21 Building Structure Coordination</t>
        </is>
      </c>
      <c r="E20" s="3" t="inlineStr"/>
      <c r="F20" s="3" t="n">
        <v>1</v>
      </c>
      <c r="G20" s="3" t="inlineStr">
        <is>
          <t>PKG-22</t>
        </is>
      </c>
      <c r="H20" s="3" t="n">
        <v>1</v>
      </c>
    </row>
    <row r="21">
      <c r="A21" s="3" t="inlineStr">
        <is>
          <t>RSK-INTF</t>
        </is>
      </c>
      <c r="B21" s="3" t="inlineStr">
        <is>
          <t>Interface Risk</t>
        </is>
      </c>
      <c r="C21" s="3" t="inlineStr">
        <is>
          <t>RSK-INTF-018</t>
        </is>
      </c>
      <c r="D21" s="3" t="inlineStr">
        <is>
          <t>Site Access and Operational Interface Risk</t>
        </is>
      </c>
      <c r="E21" s="3" t="inlineStr"/>
      <c r="F21" s="3" t="n">
        <v>1</v>
      </c>
      <c r="G21" s="3" t="inlineStr">
        <is>
          <t>PKG-16</t>
        </is>
      </c>
      <c r="H21" s="3" t="n">
        <v>1</v>
      </c>
    </row>
    <row r="22">
      <c r="A22" s="3" t="inlineStr">
        <is>
          <t>RSK-PRICE</t>
        </is>
      </c>
      <c r="B22" s="3" t="inlineStr">
        <is>
          <t>Price Uncertainty</t>
        </is>
      </c>
      <c r="C22" s="3" t="inlineStr">
        <is>
          <t>RSK-PRICE-019</t>
        </is>
      </c>
      <c r="D22" s="3" t="inlineStr">
        <is>
          <t>No Vendor Pricing/Quotes Available</t>
        </is>
      </c>
      <c r="E22" s="3" t="inlineStr">
        <is>
          <t>No Vendor Pricing/Quotes Available</t>
        </is>
      </c>
      <c r="F22" s="3" t="n">
        <v>9</v>
      </c>
      <c r="G22" s="3" t="inlineStr">
        <is>
          <t>PKG-00, PKG-01, PKG-05, PKG-10, PKG-11, PKG-14, PKG-15, PKG-16, PKG-34</t>
        </is>
      </c>
      <c r="H22" s="3" t="n">
        <v>9</v>
      </c>
    </row>
    <row r="23">
      <c r="A23" s="3" t="inlineStr">
        <is>
          <t>RSK-PRICE</t>
        </is>
      </c>
      <c r="B23" s="3" t="inlineStr">
        <is>
          <t>Price Uncertainty</t>
        </is>
      </c>
      <c r="C23" s="3" t="inlineStr">
        <is>
          <t>RSK-PRICE-020</t>
        </is>
      </c>
      <c r="D23" s="3" t="inlineStr">
        <is>
          <t>Control System Vendor Selection</t>
        </is>
      </c>
      <c r="E23" s="3" t="inlineStr"/>
      <c r="F23" s="3" t="n">
        <v>1</v>
      </c>
      <c r="G23" s="3" t="inlineStr">
        <is>
          <t>PKG-19</t>
        </is>
      </c>
      <c r="H23" s="3" t="n">
        <v>1</v>
      </c>
    </row>
    <row r="24">
      <c r="A24" s="3" t="inlineStr">
        <is>
          <t>RSK-PRICE</t>
        </is>
      </c>
      <c r="B24" s="3" t="inlineStr">
        <is>
          <t>Price Uncertainty</t>
        </is>
      </c>
      <c r="C24" s="3" t="inlineStr">
        <is>
          <t>RSK-PRICE-021</t>
        </is>
      </c>
      <c r="D24" s="3" t="inlineStr">
        <is>
          <t>Equipment - Loading Arm Pricing</t>
        </is>
      </c>
      <c r="E24" s="3" t="inlineStr"/>
      <c r="F24" s="3" t="n">
        <v>1</v>
      </c>
      <c r="G24" s="3" t="inlineStr">
        <is>
          <t>PKG-11</t>
        </is>
      </c>
      <c r="H24" s="3" t="n">
        <v>1</v>
      </c>
    </row>
    <row r="25">
      <c r="A25" s="3" t="inlineStr">
        <is>
          <t>RSK-PRICE</t>
        </is>
      </c>
      <c r="B25" s="3" t="inlineStr">
        <is>
          <t>Price Uncertainty</t>
        </is>
      </c>
      <c r="C25" s="3" t="inlineStr">
        <is>
          <t>RSK-PRICE-022</t>
        </is>
      </c>
      <c r="D25" s="3" t="inlineStr">
        <is>
          <t>Marine Contractor Availability and Pricing Volatility</t>
        </is>
      </c>
      <c r="E25" s="3" t="inlineStr"/>
      <c r="F25" s="3" t="n">
        <v>1</v>
      </c>
      <c r="G25" s="3" t="inlineStr">
        <is>
          <t>PKG-08</t>
        </is>
      </c>
      <c r="H25" s="3" t="n">
        <v>1</v>
      </c>
    </row>
    <row r="26">
      <c r="A26" s="3" t="inlineStr">
        <is>
          <t>RSK-PRICE</t>
        </is>
      </c>
      <c r="B26" s="3" t="inlineStr">
        <is>
          <t>Price Uncertainty</t>
        </is>
      </c>
      <c r="C26" s="3" t="inlineStr">
        <is>
          <t>RSK-PRICE-023</t>
        </is>
      </c>
      <c r="D26" s="3" t="inlineStr">
        <is>
          <t>Steel price volatility</t>
        </is>
      </c>
      <c r="E26" s="3" t="inlineStr"/>
      <c r="F26" s="3" t="n">
        <v>1</v>
      </c>
      <c r="G26" s="3" t="inlineStr">
        <is>
          <t>PKG-13</t>
        </is>
      </c>
      <c r="H26" s="3" t="n">
        <v>1</v>
      </c>
    </row>
    <row r="27">
      <c r="A27" s="3" t="inlineStr">
        <is>
          <t>RSK-PRICE</t>
        </is>
      </c>
      <c r="B27" s="3" t="inlineStr">
        <is>
          <t>Price Uncertainty</t>
        </is>
      </c>
      <c r="C27" s="3" t="inlineStr">
        <is>
          <t>RSK-PRICE-024</t>
        </is>
      </c>
      <c r="D27" s="3" t="inlineStr">
        <is>
          <t>Vendor FAT Location</t>
        </is>
      </c>
      <c r="E27" s="3" t="inlineStr"/>
      <c r="F27" s="3" t="n">
        <v>1</v>
      </c>
      <c r="G27" s="3" t="inlineStr">
        <is>
          <t>PKG-19</t>
        </is>
      </c>
      <c r="H27" s="3" t="n">
        <v>1</v>
      </c>
    </row>
    <row r="28">
      <c r="A28" s="3" t="inlineStr">
        <is>
          <t>RSK-PRICE</t>
        </is>
      </c>
      <c r="B28" s="3" t="inlineStr">
        <is>
          <t>Price Uncertainty</t>
        </is>
      </c>
      <c r="C28" s="3" t="inlineStr">
        <is>
          <t>RSK-PRICE-025</t>
        </is>
      </c>
      <c r="D28" s="3" t="inlineStr">
        <is>
          <t>Vendor Quote Unavailability</t>
        </is>
      </c>
      <c r="E28" s="3" t="inlineStr"/>
      <c r="F28" s="3" t="n">
        <v>1</v>
      </c>
      <c r="G28" s="3" t="inlineStr">
        <is>
          <t>PKG-22</t>
        </is>
      </c>
      <c r="H28" s="3" t="n">
        <v>1</v>
      </c>
    </row>
    <row r="29">
      <c r="A29" s="3" t="inlineStr">
        <is>
          <t>RSK-PROD</t>
        </is>
      </c>
      <c r="B29" s="3" t="inlineStr">
        <is>
          <t>Productivity Risk</t>
        </is>
      </c>
      <c r="C29" s="3" t="inlineStr">
        <is>
          <t>RSK-PROD-026</t>
        </is>
      </c>
      <c r="D29" s="3" t="inlineStr">
        <is>
          <t>Labor Availability &amp; Productivity</t>
        </is>
      </c>
      <c r="E29" s="3" t="inlineStr">
        <is>
          <t>Labor Availability &amp; Productivity</t>
        </is>
      </c>
      <c r="F29" s="3" t="n">
        <v>6</v>
      </c>
      <c r="G29" s="3" t="inlineStr">
        <is>
          <t>PKG-05, PKG-10, PKG-15, PKG-16, PKG-21, PKG-22</t>
        </is>
      </c>
      <c r="H29" s="3" t="n">
        <v>7</v>
      </c>
    </row>
    <row r="30">
      <c r="A30" s="3" t="inlineStr">
        <is>
          <t>RSK-PROD</t>
        </is>
      </c>
      <c r="B30" s="3" t="inlineStr">
        <is>
          <t>Productivity Risk</t>
        </is>
      </c>
      <c r="C30" s="3" t="inlineStr">
        <is>
          <t>RSK-PROD-027</t>
        </is>
      </c>
      <c r="D30" s="3" t="inlineStr">
        <is>
          <t>Site Access During Operations</t>
        </is>
      </c>
      <c r="E30" s="3" t="inlineStr"/>
      <c r="F30" s="3" t="n">
        <v>1</v>
      </c>
      <c r="G30" s="3" t="inlineStr">
        <is>
          <t>PKG-20</t>
        </is>
      </c>
      <c r="H30" s="3" t="n">
        <v>1</v>
      </c>
    </row>
    <row r="31">
      <c r="A31" s="3" t="inlineStr">
        <is>
          <t>RSK-QTY</t>
        </is>
      </c>
      <c r="B31" s="3" t="inlineStr">
        <is>
          <t>Quantity Risk</t>
        </is>
      </c>
      <c r="C31" s="3" t="inlineStr">
        <is>
          <t>RSK-QTY-028</t>
        </is>
      </c>
      <c r="D31" s="3" t="inlineStr">
        <is>
          <t>Quantity Uncertainty</t>
        </is>
      </c>
      <c r="E31" s="3" t="inlineStr">
        <is>
          <t>Quantity Uncertainty</t>
        </is>
      </c>
      <c r="F31" s="3" t="n">
        <v>5</v>
      </c>
      <c r="G31" s="3" t="inlineStr">
        <is>
          <t>PKG-05, PKG-15, PKG-16, PKG-20, PKG-33</t>
        </is>
      </c>
      <c r="H31" s="3" t="n">
        <v>5</v>
      </c>
    </row>
    <row r="32">
      <c r="A32" s="3" t="inlineStr">
        <is>
          <t>RSK-QTY</t>
        </is>
      </c>
      <c r="B32" s="3" t="inlineStr">
        <is>
          <t>Quantity Risk</t>
        </is>
      </c>
      <c r="C32" s="3" t="inlineStr">
        <is>
          <t>RSK-QTY-029</t>
        </is>
      </c>
      <c r="D32" s="3" t="inlineStr">
        <is>
          <t>Actuator Sizing and Safety Factor Risk</t>
        </is>
      </c>
      <c r="E32" s="3" t="inlineStr"/>
      <c r="F32" s="3" t="n">
        <v>1</v>
      </c>
      <c r="G32" s="3" t="inlineStr">
        <is>
          <t>PKG-16</t>
        </is>
      </c>
      <c r="H32" s="3" t="n">
        <v>1</v>
      </c>
    </row>
    <row r="33">
      <c r="A33" s="3" t="inlineStr">
        <is>
          <t>RSK-QTY</t>
        </is>
      </c>
      <c r="B33" s="3" t="inlineStr">
        <is>
          <t>Quantity Risk</t>
        </is>
      </c>
      <c r="C33" s="3" t="inlineStr">
        <is>
          <t>RSK-QTY-030</t>
        </is>
      </c>
      <c r="D33" s="3" t="inlineStr">
        <is>
          <t>Method Statement and Risk Assessment Volume</t>
        </is>
      </c>
      <c r="E33" s="3" t="inlineStr"/>
      <c r="F33" s="3" t="n">
        <v>1</v>
      </c>
      <c r="G33" s="3" t="inlineStr">
        <is>
          <t>PKG-33</t>
        </is>
      </c>
      <c r="H33" s="3" t="n">
        <v>1</v>
      </c>
    </row>
    <row r="34">
      <c r="A34" s="3" t="inlineStr">
        <is>
          <t>RSK-QUAL</t>
        </is>
      </c>
      <c r="B34" s="3" t="inlineStr">
        <is>
          <t>Quality Risk</t>
        </is>
      </c>
      <c r="C34" s="3" t="inlineStr">
        <is>
          <t>RSK-QUAL-031</t>
        </is>
      </c>
      <c r="D34" s="3" t="inlineStr">
        <is>
          <t>Quality/Rework Risk</t>
        </is>
      </c>
      <c r="E34" s="3" t="inlineStr">
        <is>
          <t>Quality/Rework Risk</t>
        </is>
      </c>
      <c r="F34" s="3" t="n">
        <v>6</v>
      </c>
      <c r="G34" s="3" t="inlineStr">
        <is>
          <t>PKG-11, PKG-13, PKG-14, PKG-15, PKG-31, PKG-35</t>
        </is>
      </c>
      <c r="H34" s="3" t="n">
        <v>6</v>
      </c>
    </row>
    <row r="35">
      <c r="A35" s="3" t="inlineStr">
        <is>
          <t>RSK-QUAL</t>
        </is>
      </c>
      <c r="B35" s="3" t="inlineStr">
        <is>
          <t>Quality Risk</t>
        </is>
      </c>
      <c r="C35" s="3" t="inlineStr">
        <is>
          <t>RSK-QUAL-032</t>
        </is>
      </c>
      <c r="D35" s="3" t="inlineStr">
        <is>
          <t>Engineering Effort Underestimated (LOW)</t>
        </is>
      </c>
      <c r="E35" s="3" t="inlineStr"/>
      <c r="F35" s="3" t="n">
        <v>1</v>
      </c>
      <c r="G35" s="3" t="inlineStr">
        <is>
          <t>PKG-01</t>
        </is>
      </c>
      <c r="H35" s="3" t="n">
        <v>1</v>
      </c>
    </row>
    <row r="36">
      <c r="A36" s="3" t="inlineStr">
        <is>
          <t>RSK-QUAL</t>
        </is>
      </c>
      <c r="B36" s="3" t="inlineStr">
        <is>
          <t>Quality Risk</t>
        </is>
      </c>
      <c r="C36" s="3" t="inlineStr">
        <is>
          <t>RSK-QUAL-033</t>
        </is>
      </c>
      <c r="D36" s="3" t="inlineStr">
        <is>
          <t>NDE findings</t>
        </is>
      </c>
      <c r="E36" s="3" t="inlineStr"/>
      <c r="F36" s="3" t="n">
        <v>1</v>
      </c>
      <c r="G36" s="3" t="inlineStr">
        <is>
          <t>PKG-13</t>
        </is>
      </c>
      <c r="H36" s="3" t="n">
        <v>1</v>
      </c>
    </row>
    <row r="37">
      <c r="A37" s="3" t="inlineStr">
        <is>
          <t>RSK-QUAL</t>
        </is>
      </c>
      <c r="B37" s="3" t="inlineStr">
        <is>
          <t>Quality Risk</t>
        </is>
      </c>
      <c r="C37" s="3" t="inlineStr">
        <is>
          <t>RSK-QUAL-034</t>
        </is>
      </c>
      <c r="D37" s="3" t="inlineStr">
        <is>
          <t>Underground Utility Conflicts</t>
        </is>
      </c>
      <c r="E37" s="3" t="inlineStr"/>
      <c r="F37" s="3" t="n">
        <v>1</v>
      </c>
      <c r="G37" s="3" t="inlineStr">
        <is>
          <t>PKG-23</t>
        </is>
      </c>
      <c r="H37" s="3" t="n">
        <v>1</v>
      </c>
    </row>
    <row r="38">
      <c r="A38" s="3" t="inlineStr">
        <is>
          <t>RSK-REG</t>
        </is>
      </c>
      <c r="B38" s="3" t="inlineStr">
        <is>
          <t>Regulatory Risk</t>
        </is>
      </c>
      <c r="C38" s="3" t="inlineStr">
        <is>
          <t>RSK-REG-035</t>
        </is>
      </c>
      <c r="D38" s="3" t="inlineStr">
        <is>
          <t>Regulatory/Permitting Risk</t>
        </is>
      </c>
      <c r="E38" s="3" t="inlineStr">
        <is>
          <t>Regulatory/Permitting Risk</t>
        </is>
      </c>
      <c r="F38" s="3" t="n">
        <v>9</v>
      </c>
      <c r="G38" s="3" t="inlineStr">
        <is>
          <t>PKG-00, PKG-08, PKG-10, PKG-11, PKG-15, PKG-21, PKG-23, PKG-32, PKG-33</t>
        </is>
      </c>
      <c r="H38" s="3" t="n">
        <v>10</v>
      </c>
    </row>
    <row r="39">
      <c r="A39" s="3" t="inlineStr">
        <is>
          <t>RSK-SCHED</t>
        </is>
      </c>
      <c r="B39" s="3" t="inlineStr">
        <is>
          <t>Schedule Risk</t>
        </is>
      </c>
      <c r="C39" s="3" t="inlineStr">
        <is>
          <t>RSK-SCHED-036</t>
        </is>
      </c>
      <c r="D39" s="3" t="inlineStr">
        <is>
          <t>Schedule/Lead Time Risk</t>
        </is>
      </c>
      <c r="E39" s="3" t="inlineStr">
        <is>
          <t>Schedule/Lead Time Risk</t>
        </is>
      </c>
      <c r="F39" s="3" t="n">
        <v>11</v>
      </c>
      <c r="G39" s="3" t="inlineStr">
        <is>
          <t>PKG-00, PKG-08, PKG-11, PKG-14, PKG-15, PKG-16, PKG-18, PKG-20, PKG-21, PKG-23, PKG-35</t>
        </is>
      </c>
      <c r="H39" s="3" t="n">
        <v>11</v>
      </c>
    </row>
    <row r="40">
      <c r="A40" s="3" t="inlineStr">
        <is>
          <t>RSK-SCHED</t>
        </is>
      </c>
      <c r="B40" s="3" t="inlineStr">
        <is>
          <t>Schedule Risk</t>
        </is>
      </c>
      <c r="C40" s="3" t="inlineStr">
        <is>
          <t>RSK-SCHED-037</t>
        </is>
      </c>
      <c r="D40" s="3" t="inlineStr">
        <is>
          <t>Construction Schedule Duration Variance</t>
        </is>
      </c>
      <c r="E40" s="3" t="inlineStr"/>
      <c r="F40" s="3" t="n">
        <v>1</v>
      </c>
      <c r="G40" s="3" t="inlineStr">
        <is>
          <t>PKG-33</t>
        </is>
      </c>
      <c r="H40" s="3" t="n">
        <v>1</v>
      </c>
    </row>
    <row r="41">
      <c r="A41" s="3" t="inlineStr">
        <is>
          <t>RSK-SCHED</t>
        </is>
      </c>
      <c r="B41" s="3" t="inlineStr">
        <is>
          <t>Schedule Risk</t>
        </is>
      </c>
      <c r="C41" s="3" t="inlineStr">
        <is>
          <t>RSK-SCHED-038</t>
        </is>
      </c>
      <c r="D41" s="3" t="inlineStr">
        <is>
          <t>Employer Staffing Delays (LOW)</t>
        </is>
      </c>
      <c r="E41" s="3" t="inlineStr"/>
      <c r="F41" s="3" t="n">
        <v>1</v>
      </c>
      <c r="G41" s="3" t="inlineStr">
        <is>
          <t>PKG-35</t>
        </is>
      </c>
      <c r="H41" s="3" t="n">
        <v>1</v>
      </c>
    </row>
    <row r="42">
      <c r="A42" s="3" t="inlineStr">
        <is>
          <t>RSK-SCHED</t>
        </is>
      </c>
      <c r="B42" s="3" t="inlineStr">
        <is>
          <t>Schedule Risk</t>
        </is>
      </c>
      <c r="C42" s="3" t="inlineStr">
        <is>
          <t>RSK-SCHED-039</t>
        </is>
      </c>
      <c r="D42" s="3" t="inlineStr">
        <is>
          <t>Project Duration Extension</t>
        </is>
      </c>
      <c r="E42" s="3" t="inlineStr"/>
      <c r="F42" s="3" t="n">
        <v>1</v>
      </c>
      <c r="G42" s="3" t="inlineStr">
        <is>
          <t>PKG-34</t>
        </is>
      </c>
      <c r="H42" s="3" t="n">
        <v>1</v>
      </c>
    </row>
    <row r="43">
      <c r="A43" s="3" t="inlineStr">
        <is>
          <t>RSK-SCOPE</t>
        </is>
      </c>
      <c r="B43" s="3" t="inlineStr">
        <is>
          <t>Scope Risk</t>
        </is>
      </c>
      <c r="C43" s="3" t="inlineStr">
        <is>
          <t>RSK-SCOPE-040</t>
        </is>
      </c>
      <c r="D43" s="3" t="inlineStr">
        <is>
          <t>Scope Definition/Growth Risk</t>
        </is>
      </c>
      <c r="E43" s="3" t="inlineStr">
        <is>
          <t>Scope Definition/Growth Risk</t>
        </is>
      </c>
      <c r="F43" s="3" t="n">
        <v>8</v>
      </c>
      <c r="G43" s="3" t="inlineStr">
        <is>
          <t>PKG-00, PKG-01, PKG-13, PKG-15, PKG-16, PKG-22, PKG-32, PKG-33</t>
        </is>
      </c>
      <c r="H43" s="3" t="n">
        <v>12</v>
      </c>
    </row>
    <row r="44">
      <c r="A44" s="3" t="inlineStr">
        <is>
          <t>RSK-SCOPE</t>
        </is>
      </c>
      <c r="B44" s="3" t="inlineStr">
        <is>
          <t>Scope Risk</t>
        </is>
      </c>
      <c r="C44" s="3" t="inlineStr">
        <is>
          <t>RSK-SCOPE-041</t>
        </is>
      </c>
      <c r="D44" s="3" t="inlineStr">
        <is>
          <t>Technical Design Complexity</t>
        </is>
      </c>
      <c r="E44" s="3" t="inlineStr">
        <is>
          <t>Technical Design Complexity</t>
        </is>
      </c>
      <c r="F44" s="3" t="n">
        <v>6</v>
      </c>
      <c r="G44" s="3" t="inlineStr">
        <is>
          <t>PKG-05, PKG-08, PKG-13, PKG-14, PKG-18, PKG-21</t>
        </is>
      </c>
      <c r="H44" s="3" t="n">
        <v>7</v>
      </c>
    </row>
    <row r="45">
      <c r="A45" s="3" t="inlineStr">
        <is>
          <t>RSK-SCOPE</t>
        </is>
      </c>
      <c r="B45" s="3" t="inlineStr">
        <is>
          <t>Scope Risk</t>
        </is>
      </c>
      <c r="C45" s="3" t="inlineStr">
        <is>
          <t>RSK-SCOPE-042</t>
        </is>
      </c>
      <c r="D45" s="3" t="inlineStr">
        <is>
          <t>Control System Integration</t>
        </is>
      </c>
      <c r="E45" s="3" t="inlineStr">
        <is>
          <t>Control System Integration</t>
        </is>
      </c>
      <c r="F45" s="3" t="n">
        <v>3</v>
      </c>
      <c r="G45" s="3" t="inlineStr">
        <is>
          <t>PKG-18, PKG-19, PKG-20</t>
        </is>
      </c>
      <c r="H45" s="3" t="n">
        <v>6</v>
      </c>
    </row>
    <row r="46">
      <c r="A46" s="3" t="inlineStr">
        <is>
          <t>RSK-SCOPE</t>
        </is>
      </c>
      <c r="B46" s="3" t="inlineStr">
        <is>
          <t>Scope Risk</t>
        </is>
      </c>
      <c r="C46" s="3" t="inlineStr">
        <is>
          <t>RSK-SCOPE-043</t>
        </is>
      </c>
      <c r="D46" s="3" t="inlineStr">
        <is>
          <t>Commissioning/Testing Complexity</t>
        </is>
      </c>
      <c r="E46" s="3" t="inlineStr">
        <is>
          <t>Commissioning/Testing Complexity</t>
        </is>
      </c>
      <c r="F46" s="3" t="n">
        <v>5</v>
      </c>
      <c r="G46" s="3" t="inlineStr">
        <is>
          <t>PKG-10, PKG-11, PKG-15, PKG-16, PKG-22</t>
        </is>
      </c>
      <c r="H46" s="3" t="n">
        <v>5</v>
      </c>
    </row>
    <row r="47">
      <c r="A47" s="3" t="inlineStr">
        <is>
          <t>RSK-SCOPE</t>
        </is>
      </c>
      <c r="B47" s="3" t="inlineStr">
        <is>
          <t>Scope Risk</t>
        </is>
      </c>
      <c r="C47" s="3" t="inlineStr">
        <is>
          <t>RSK-SCOPE-044</t>
        </is>
      </c>
      <c r="D47" s="3" t="inlineStr">
        <is>
          <t>Equipment Specification Risk</t>
        </is>
      </c>
      <c r="E47" s="3" t="inlineStr">
        <is>
          <t>Equipment Specification Risk</t>
        </is>
      </c>
      <c r="F47" s="3" t="n">
        <v>1</v>
      </c>
      <c r="G47" s="3" t="inlineStr">
        <is>
          <t>PKG-15</t>
        </is>
      </c>
      <c r="H47" s="3" t="n">
        <v>1</v>
      </c>
    </row>
    <row r="48">
      <c r="A48" s="3" t="inlineStr">
        <is>
          <t>RSK-SCOPE</t>
        </is>
      </c>
      <c r="B48" s="3" t="inlineStr">
        <is>
          <t>Scope Risk</t>
        </is>
      </c>
      <c r="C48" s="3" t="inlineStr">
        <is>
          <t>RSK-SCOPE-045</t>
        </is>
      </c>
      <c r="D48" s="3" t="inlineStr">
        <is>
          <t>API 610 Compliance Requirement Interpretation</t>
        </is>
      </c>
      <c r="E48" s="3" t="inlineStr"/>
      <c r="F48" s="3" t="n">
        <v>1</v>
      </c>
      <c r="G48" s="3" t="inlineStr">
        <is>
          <t>PKG-15</t>
        </is>
      </c>
      <c r="H48" s="3" t="n">
        <v>1</v>
      </c>
    </row>
    <row r="49">
      <c r="A49" s="3" t="inlineStr">
        <is>
          <t>RSK-SCOPE</t>
        </is>
      </c>
      <c r="B49" s="3" t="inlineStr">
        <is>
          <t>Scope Risk</t>
        </is>
      </c>
      <c r="C49" s="3" t="inlineStr">
        <is>
          <t>RSK-SCOPE-046</t>
        </is>
      </c>
      <c r="D49" s="3" t="inlineStr">
        <is>
          <t>Actuator and Automation Requirements Risk</t>
        </is>
      </c>
      <c r="E49" s="3" t="inlineStr"/>
      <c r="F49" s="3" t="n">
        <v>1</v>
      </c>
      <c r="G49" s="3" t="inlineStr">
        <is>
          <t>PKG-16</t>
        </is>
      </c>
      <c r="H49" s="3" t="n">
        <v>1</v>
      </c>
    </row>
    <row r="50">
      <c r="A50" s="3" t="inlineStr">
        <is>
          <t>RSK-SCOPE</t>
        </is>
      </c>
      <c r="B50" s="3" t="inlineStr">
        <is>
          <t>Scope Risk</t>
        </is>
      </c>
      <c r="C50" s="3" t="inlineStr">
        <is>
          <t>RSK-SCOPE-047</t>
        </is>
      </c>
      <c r="D50" s="3" t="inlineStr">
        <is>
          <t>Asset Hierarchy / CMMS Requirements Complexity</t>
        </is>
      </c>
      <c r="E50" s="3" t="inlineStr"/>
      <c r="F50" s="3" t="n">
        <v>1</v>
      </c>
      <c r="G50" s="3" t="inlineStr">
        <is>
          <t>PKG-31</t>
        </is>
      </c>
      <c r="H50" s="3" t="n">
        <v>1</v>
      </c>
    </row>
    <row r="51">
      <c r="A51" s="3" t="inlineStr">
        <is>
          <t>RSK-SCOPE</t>
        </is>
      </c>
      <c r="B51" s="3" t="inlineStr">
        <is>
          <t>Scope Risk</t>
        </is>
      </c>
      <c r="C51" s="3" t="inlineStr">
        <is>
          <t>RSK-SCOPE-048</t>
        </is>
      </c>
      <c r="D51" s="3" t="inlineStr">
        <is>
          <t>Canola Oil Fluid Properties and Heating Requirements</t>
        </is>
      </c>
      <c r="E51" s="3" t="inlineStr"/>
      <c r="F51" s="3" t="n">
        <v>1</v>
      </c>
      <c r="G51" s="3" t="inlineStr">
        <is>
          <t>PKG-15</t>
        </is>
      </c>
      <c r="H51" s="3" t="n">
        <v>1</v>
      </c>
    </row>
    <row r="52">
      <c r="A52" s="3" t="inlineStr">
        <is>
          <t>RSK-SCOPE</t>
        </is>
      </c>
      <c r="B52" s="3" t="inlineStr">
        <is>
          <t>Scope Risk</t>
        </is>
      </c>
      <c r="C52" s="3" t="inlineStr">
        <is>
          <t>RSK-SCOPE-049</t>
        </is>
      </c>
      <c r="D52" s="3" t="inlineStr">
        <is>
          <t>Containment Performance Requirements</t>
        </is>
      </c>
      <c r="E52" s="3" t="inlineStr"/>
      <c r="F52" s="3" t="n">
        <v>1</v>
      </c>
      <c r="G52" s="3" t="inlineStr">
        <is>
          <t>PKG-05</t>
        </is>
      </c>
      <c r="H52" s="3" t="n">
        <v>1</v>
      </c>
    </row>
    <row r="53">
      <c r="A53" s="3" t="inlineStr">
        <is>
          <t>RSK-SCOPE</t>
        </is>
      </c>
      <c r="B53" s="3" t="inlineStr">
        <is>
          <t>Scope Risk</t>
        </is>
      </c>
      <c r="C53" s="3" t="inlineStr">
        <is>
          <t>RSK-SCOPE-050</t>
        </is>
      </c>
      <c r="D53" s="3" t="inlineStr">
        <is>
          <t>ER Illumination Requirements Exceed Typical Standards</t>
        </is>
      </c>
      <c r="E53" s="3" t="inlineStr"/>
      <c r="F53" s="3" t="n">
        <v>1</v>
      </c>
      <c r="G53" s="3" t="inlineStr">
        <is>
          <t>PKG-18</t>
        </is>
      </c>
      <c r="H53" s="3" t="n">
        <v>1</v>
      </c>
    </row>
    <row r="54">
      <c r="A54" s="3" t="inlineStr">
        <is>
          <t>RSK-SCOPE</t>
        </is>
      </c>
      <c r="B54" s="3" t="inlineStr">
        <is>
          <t>Scope Risk</t>
        </is>
      </c>
      <c r="C54" s="3" t="inlineStr">
        <is>
          <t>RSK-SCOPE-051</t>
        </is>
      </c>
      <c r="D54" s="3" t="inlineStr">
        <is>
          <t>Employer's Requirements Interpretation Risk</t>
        </is>
      </c>
      <c r="E54" s="3" t="inlineStr"/>
      <c r="F54" s="3" t="n">
        <v>1</v>
      </c>
      <c r="G54" s="3" t="inlineStr">
        <is>
          <t>PKG-32</t>
        </is>
      </c>
      <c r="H54" s="3" t="n">
        <v>1</v>
      </c>
    </row>
    <row r="55">
      <c r="A55" s="3" t="inlineStr">
        <is>
          <t>RSK-SCOPE</t>
        </is>
      </c>
      <c r="B55" s="3" t="inlineStr">
        <is>
          <t>Scope Risk</t>
        </is>
      </c>
      <c r="C55" s="3" t="inlineStr">
        <is>
          <t>RSK-SCOPE-052</t>
        </is>
      </c>
      <c r="D55" s="3" t="inlineStr">
        <is>
          <t>Employer's Requirements Not Extracted</t>
        </is>
      </c>
      <c r="E55" s="3" t="inlineStr"/>
      <c r="F55" s="3" t="n">
        <v>1</v>
      </c>
      <c r="G55" s="3" t="inlineStr">
        <is>
          <t>PKG-05</t>
        </is>
      </c>
      <c r="H55" s="3" t="n">
        <v>1</v>
      </c>
    </row>
    <row r="56">
      <c r="A56" s="3" t="inlineStr">
        <is>
          <t>RSK-SCOPE</t>
        </is>
      </c>
      <c r="B56" s="3" t="inlineStr">
        <is>
          <t>Scope Risk</t>
        </is>
      </c>
      <c r="C56" s="3" t="inlineStr">
        <is>
          <t>RSK-SCOPE-053</t>
        </is>
      </c>
      <c r="D56" s="3" t="inlineStr">
        <is>
          <t>Food-Grade Material Requirements</t>
        </is>
      </c>
      <c r="E56" s="3" t="inlineStr"/>
      <c r="F56" s="3" t="n">
        <v>1</v>
      </c>
      <c r="G56" s="3" t="inlineStr">
        <is>
          <t>PKG-15</t>
        </is>
      </c>
      <c r="H56" s="3" t="n">
        <v>1</v>
      </c>
    </row>
    <row r="57">
      <c r="A57" s="3" t="inlineStr">
        <is>
          <t>RSK-SCOPE</t>
        </is>
      </c>
      <c r="B57" s="3" t="inlineStr">
        <is>
          <t>Scope Risk</t>
        </is>
      </c>
      <c r="C57" s="3" t="inlineStr">
        <is>
          <t>RSK-SCOPE-054</t>
        </is>
      </c>
      <c r="D57" s="3" t="inlineStr">
        <is>
          <t>Food-Grade Material Requirements Risk</t>
        </is>
      </c>
      <c r="E57" s="3" t="inlineStr"/>
      <c r="F57" s="3" t="n">
        <v>1</v>
      </c>
      <c r="G57" s="3" t="inlineStr">
        <is>
          <t>PKG-10</t>
        </is>
      </c>
      <c r="H57" s="3" t="n">
        <v>1</v>
      </c>
    </row>
    <row r="58">
      <c r="A58" s="3" t="inlineStr">
        <is>
          <t>RSK-SCOPE</t>
        </is>
      </c>
      <c r="B58" s="3" t="inlineStr">
        <is>
          <t>Scope Risk</t>
        </is>
      </c>
      <c r="C58" s="3" t="inlineStr">
        <is>
          <t>RSK-SCOPE-055</t>
        </is>
      </c>
      <c r="D58" s="3" t="inlineStr">
        <is>
          <t>Language/Translation Requirements (LOW)</t>
        </is>
      </c>
      <c r="E58" s="3" t="inlineStr"/>
      <c r="F58" s="3" t="n">
        <v>1</v>
      </c>
      <c r="G58" s="3" t="inlineStr">
        <is>
          <t>PKG-35</t>
        </is>
      </c>
      <c r="H58" s="3" t="n">
        <v>1</v>
      </c>
    </row>
    <row r="59">
      <c r="A59" s="3" t="inlineStr">
        <is>
          <t>RSK-SCOPE</t>
        </is>
      </c>
      <c r="B59" s="3" t="inlineStr">
        <is>
          <t>Scope Risk</t>
        </is>
      </c>
      <c r="C59" s="3" t="inlineStr">
        <is>
          <t>RSK-SCOPE-056</t>
        </is>
      </c>
      <c r="D59" s="3" t="inlineStr">
        <is>
          <t>Plumbing Fixture Count and Hot Water Requirements</t>
        </is>
      </c>
      <c r="E59" s="3" t="inlineStr"/>
      <c r="F59" s="3" t="n">
        <v>1</v>
      </c>
      <c r="G59" s="3" t="inlineStr">
        <is>
          <t>PKG-22</t>
        </is>
      </c>
      <c r="H59" s="3" t="n">
        <v>1</v>
      </c>
    </row>
    <row r="60">
      <c r="A60" s="3" t="inlineStr">
        <is>
          <t>RSK-SCOPE</t>
        </is>
      </c>
      <c r="B60" s="3" t="inlineStr">
        <is>
          <t>Scope Risk</t>
        </is>
      </c>
      <c r="C60" s="3" t="inlineStr">
        <is>
          <t>RSK-SCOPE-057</t>
        </is>
      </c>
      <c r="D60" s="3" t="inlineStr">
        <is>
          <t>Scope - Arm Configuration</t>
        </is>
      </c>
      <c r="E60" s="3" t="inlineStr"/>
      <c r="F60" s="3" t="n">
        <v>1</v>
      </c>
      <c r="G60" s="3" t="inlineStr">
        <is>
          <t>PKG-11</t>
        </is>
      </c>
      <c r="H60" s="3" t="n">
        <v>1</v>
      </c>
    </row>
    <row r="61">
      <c r="A61" s="3" t="inlineStr">
        <is>
          <t>RSK-SCOPE</t>
        </is>
      </c>
      <c r="B61" s="3" t="inlineStr">
        <is>
          <t>Scope Risk</t>
        </is>
      </c>
      <c r="C61" s="3" t="inlineStr">
        <is>
          <t>RSK-SCOPE-058</t>
        </is>
      </c>
      <c r="D61" s="3" t="inlineStr">
        <is>
          <t>Scope - Header Sizing</t>
        </is>
      </c>
      <c r="E61" s="3" t="inlineStr"/>
      <c r="F61" s="3" t="n">
        <v>1</v>
      </c>
      <c r="G61" s="3" t="inlineStr">
        <is>
          <t>PKG-14</t>
        </is>
      </c>
      <c r="H61" s="3" t="n">
        <v>1</v>
      </c>
    </row>
    <row r="62">
      <c r="A62" s="3" t="inlineStr">
        <is>
          <t>RSK-SCOPE</t>
        </is>
      </c>
      <c r="B62" s="3" t="inlineStr">
        <is>
          <t>Scope Risk</t>
        </is>
      </c>
      <c r="C62" s="3" t="inlineStr">
        <is>
          <t>RSK-SCOPE-059</t>
        </is>
      </c>
      <c r="D62" s="3" t="inlineStr">
        <is>
          <t>Scope - Phase 2 Provisions</t>
        </is>
      </c>
      <c r="E62" s="3" t="inlineStr"/>
      <c r="F62" s="3" t="n">
        <v>1</v>
      </c>
      <c r="G62" s="3" t="inlineStr">
        <is>
          <t>PKG-14</t>
        </is>
      </c>
      <c r="H62" s="3" t="n">
        <v>1</v>
      </c>
    </row>
    <row r="63">
      <c r="A63" s="3" t="inlineStr">
        <is>
          <t>RSK-SCOPE</t>
        </is>
      </c>
      <c r="B63" s="3" t="inlineStr">
        <is>
          <t>Scope Risk</t>
        </is>
      </c>
      <c r="C63" s="3" t="inlineStr">
        <is>
          <t>RSK-SCOPE-060</t>
        </is>
      </c>
      <c r="D63" s="3" t="inlineStr">
        <is>
          <t>Scope - Pipe Routing</t>
        </is>
      </c>
      <c r="E63" s="3" t="inlineStr"/>
      <c r="F63" s="3" t="n">
        <v>1</v>
      </c>
      <c r="G63" s="3" t="inlineStr">
        <is>
          <t>PKG-11</t>
        </is>
      </c>
      <c r="H63" s="3" t="n">
        <v>1</v>
      </c>
    </row>
    <row r="64">
      <c r="A64" s="3" t="inlineStr">
        <is>
          <t>RSK-SCOPE</t>
        </is>
      </c>
      <c r="B64" s="3" t="inlineStr">
        <is>
          <t>Scope Risk</t>
        </is>
      </c>
      <c r="C64" s="3" t="inlineStr">
        <is>
          <t>RSK-SCOPE-061</t>
        </is>
      </c>
      <c r="D64" s="3" t="inlineStr">
        <is>
          <t>Scope - Piping Quantities</t>
        </is>
      </c>
      <c r="E64" s="3" t="inlineStr"/>
      <c r="F64" s="3" t="n">
        <v>1</v>
      </c>
      <c r="G64" s="3" t="inlineStr">
        <is>
          <t>PKG-14</t>
        </is>
      </c>
      <c r="H64" s="3" t="n">
        <v>1</v>
      </c>
    </row>
    <row r="65">
      <c r="A65" s="3" t="inlineStr">
        <is>
          <t>RSK-SCOPE</t>
        </is>
      </c>
      <c r="B65" s="3" t="inlineStr">
        <is>
          <t>Scope Risk</t>
        </is>
      </c>
      <c r="C65" s="3" t="inlineStr">
        <is>
          <t>RSK-SCOPE-062</t>
        </is>
      </c>
      <c r="D65" s="3" t="inlineStr">
        <is>
          <t>Security Compliance Scope</t>
        </is>
      </c>
      <c r="E65" s="3" t="inlineStr"/>
      <c r="F65" s="3" t="n">
        <v>1</v>
      </c>
      <c r="G65" s="3" t="inlineStr">
        <is>
          <t>PKG-34</t>
        </is>
      </c>
      <c r="H65" s="3" t="n">
        <v>1</v>
      </c>
    </row>
    <row r="66">
      <c r="A66" s="3" t="inlineStr">
        <is>
          <t>RSK-SCOPE</t>
        </is>
      </c>
      <c r="B66" s="3" t="inlineStr">
        <is>
          <t>Scope Risk</t>
        </is>
      </c>
      <c r="C66" s="3" t="inlineStr">
        <is>
          <t>RSK-SCOPE-063</t>
        </is>
      </c>
      <c r="D66" s="3" t="inlineStr">
        <is>
          <t>Site Reinstatement Scope (HIGH)</t>
        </is>
      </c>
      <c r="E66" s="3" t="inlineStr"/>
      <c r="F66" s="3" t="n">
        <v>1</v>
      </c>
      <c r="G66" s="3" t="inlineStr">
        <is>
          <t>PKG-35</t>
        </is>
      </c>
      <c r="H66" s="3" t="n">
        <v>1</v>
      </c>
    </row>
    <row r="67">
      <c r="A67" s="3" t="inlineStr">
        <is>
          <t>RSK-SCOPE</t>
        </is>
      </c>
      <c r="B67" s="3" t="inlineStr">
        <is>
          <t>Scope Risk</t>
        </is>
      </c>
      <c r="C67" s="3" t="inlineStr">
        <is>
          <t>RSK-SCOPE-064</t>
        </is>
      </c>
      <c r="D67" s="3" t="inlineStr">
        <is>
          <t>Technical - Insulation Scope</t>
        </is>
      </c>
      <c r="E67" s="3" t="inlineStr"/>
      <c r="F67" s="3" t="n">
        <v>1</v>
      </c>
      <c r="G67" s="3" t="inlineStr">
        <is>
          <t>PKG-14</t>
        </is>
      </c>
      <c r="H67" s="3" t="n">
        <v>1</v>
      </c>
    </row>
    <row r="68">
      <c r="A68" s="3" t="inlineStr">
        <is>
          <t>RSK-SCOPE</t>
        </is>
      </c>
      <c r="B68" s="3" t="inlineStr">
        <is>
          <t>Scope Risk</t>
        </is>
      </c>
      <c r="C68" s="3" t="inlineStr">
        <is>
          <t>RSK-SCOPE-065</t>
        </is>
      </c>
      <c r="D68" s="3" t="inlineStr">
        <is>
          <t>Training Scope Expansion (HIGH)</t>
        </is>
      </c>
      <c r="E68" s="3" t="inlineStr"/>
      <c r="F68" s="3" t="n">
        <v>1</v>
      </c>
      <c r="G68" s="3" t="inlineStr">
        <is>
          <t>PKG-35</t>
        </is>
      </c>
      <c r="H68" s="3" t="n">
        <v>1</v>
      </c>
    </row>
    <row r="69">
      <c r="A69" s="3" t="inlineStr">
        <is>
          <t>RSK-SCOPE</t>
        </is>
      </c>
      <c r="B69" s="3" t="inlineStr">
        <is>
          <t>Scope Risk</t>
        </is>
      </c>
      <c r="C69" s="3" t="inlineStr">
        <is>
          <t>RSK-SCOPE-066</t>
        </is>
      </c>
      <c r="D69" s="3" t="inlineStr">
        <is>
          <t>Trenchless Crossing Monitoring Scope</t>
        </is>
      </c>
      <c r="E69" s="3" t="inlineStr"/>
      <c r="F69" s="3" t="n">
        <v>1</v>
      </c>
      <c r="G69" s="3" t="inlineStr">
        <is>
          <t>PKG-34</t>
        </is>
      </c>
      <c r="H69" s="3" t="n">
        <v>1</v>
      </c>
    </row>
    <row r="70">
      <c r="A70" s="3" t="inlineStr">
        <is>
          <t>RSK-TECH</t>
        </is>
      </c>
      <c r="B70" s="3" t="inlineStr">
        <is>
          <t>Technical Risk</t>
        </is>
      </c>
      <c r="C70" s="3" t="inlineStr">
        <is>
          <t>RSK-TECH-067</t>
        </is>
      </c>
      <c r="D70" s="3" t="inlineStr">
        <is>
          <t>Geotechnical/Foundation Risk</t>
        </is>
      </c>
      <c r="E70" s="3" t="inlineStr">
        <is>
          <t>Geotechnical/Foundation Risk</t>
        </is>
      </c>
      <c r="F70" s="3" t="n">
        <v>4</v>
      </c>
      <c r="G70" s="3" t="inlineStr">
        <is>
          <t>PKG-05, PKG-08, PKG-13, PKG-21</t>
        </is>
      </c>
      <c r="H70" s="3" t="n">
        <v>6</v>
      </c>
    </row>
    <row r="71">
      <c r="A71" s="3" t="inlineStr">
        <is>
          <t>RSK-TECH</t>
        </is>
      </c>
      <c r="B71" s="3" t="inlineStr">
        <is>
          <t>Technical Risk</t>
        </is>
      </c>
      <c r="C71" s="3" t="inlineStr">
        <is>
          <t>RSK-TECH-068</t>
        </is>
      </c>
      <c r="D71" s="3" t="inlineStr">
        <is>
          <t>As-Built Markup Complexity</t>
        </is>
      </c>
      <c r="E71" s="3" t="inlineStr"/>
      <c r="F71" s="3" t="n">
        <v>1</v>
      </c>
      <c r="G71" s="3" t="inlineStr">
        <is>
          <t>PKG-31</t>
        </is>
      </c>
      <c r="H71" s="3" t="n">
        <v>1</v>
      </c>
    </row>
    <row r="72">
      <c r="A72" s="3" t="inlineStr">
        <is>
          <t>RSK-TECH</t>
        </is>
      </c>
      <c r="B72" s="3" t="inlineStr">
        <is>
          <t>Technical Risk</t>
        </is>
      </c>
      <c r="C72" s="3" t="inlineStr">
        <is>
          <t>RSK-TECH-069</t>
        </is>
      </c>
      <c r="D72" s="3" t="inlineStr">
        <is>
          <t>Control Valve Complexity and Trim Selection Risk</t>
        </is>
      </c>
      <c r="E72" s="3" t="inlineStr"/>
      <c r="F72" s="3" t="n">
        <v>1</v>
      </c>
      <c r="G72" s="3" t="inlineStr">
        <is>
          <t>PKG-16</t>
        </is>
      </c>
      <c r="H72" s="3" t="n">
        <v>1</v>
      </c>
    </row>
    <row r="73">
      <c r="A73" s="3" t="inlineStr">
        <is>
          <t>RSK-TECH</t>
        </is>
      </c>
      <c r="B73" s="3" t="inlineStr">
        <is>
          <t>Technical Risk</t>
        </is>
      </c>
      <c r="C73" s="3" t="inlineStr">
        <is>
          <t>RSK-TECH-070</t>
        </is>
      </c>
      <c r="D73" s="3" t="inlineStr">
        <is>
          <t>Network Infrastructure Complexity</t>
        </is>
      </c>
      <c r="E73" s="3" t="inlineStr"/>
      <c r="F73" s="3" t="n">
        <v>1</v>
      </c>
      <c r="G73" s="3" t="inlineStr">
        <is>
          <t>PKG-19</t>
        </is>
      </c>
      <c r="H73" s="3" t="n">
        <v>1</v>
      </c>
    </row>
    <row r="74">
      <c r="A74" s="3" t="inlineStr">
        <is>
          <t>RSK-TECH</t>
        </is>
      </c>
      <c r="B74" s="3" t="inlineStr">
        <is>
          <t>Technical Risk</t>
        </is>
      </c>
      <c r="C74" s="3" t="inlineStr">
        <is>
          <t>RSK-TECH-071</t>
        </is>
      </c>
      <c r="D74" s="3" t="inlineStr">
        <is>
          <t>Salt Tent Structure Complexity Unknown (LOW)</t>
        </is>
      </c>
      <c r="E74" s="3" t="inlineStr"/>
      <c r="F74" s="3" t="n">
        <v>1</v>
      </c>
      <c r="G74" s="3" t="inlineStr">
        <is>
          <t>PKG-01</t>
        </is>
      </c>
      <c r="H74" s="3" t="n">
        <v>1</v>
      </c>
    </row>
    <row r="75">
      <c r="A75" s="3" t="inlineStr">
        <is>
          <t>RSK-TECH</t>
        </is>
      </c>
      <c r="B75" s="3" t="inlineStr">
        <is>
          <t>Technical Risk</t>
        </is>
      </c>
      <c r="C75" s="3" t="inlineStr">
        <is>
          <t>RSK-TECH-072</t>
        </is>
      </c>
      <c r="D75" s="3" t="inlineStr">
        <is>
          <t>Seal System Complexity</t>
        </is>
      </c>
      <c r="E75" s="3" t="inlineStr"/>
      <c r="F75" s="3" t="n">
        <v>1</v>
      </c>
      <c r="G75" s="3" t="inlineStr">
        <is>
          <t>PKG-15</t>
        </is>
      </c>
      <c r="H75" s="3" t="n">
        <v>1</v>
      </c>
    </row>
    <row r="76">
      <c r="A76" s="3" t="inlineStr">
        <is>
          <t>RSK-TECH</t>
        </is>
      </c>
      <c r="B76" s="3" t="inlineStr">
        <is>
          <t>Technical Risk</t>
        </is>
      </c>
      <c r="C76" s="3" t="inlineStr">
        <is>
          <t>RSK-TECH-073</t>
        </is>
      </c>
      <c r="D76" s="3" t="inlineStr">
        <is>
          <t>Technical - Expansion Provisions</t>
        </is>
      </c>
      <c r="E76" s="3" t="inlineStr"/>
      <c r="F76" s="3" t="n">
        <v>1</v>
      </c>
      <c r="G76" s="3" t="inlineStr">
        <is>
          <t>PKG-14</t>
        </is>
      </c>
      <c r="H76" s="3" t="n">
        <v>1</v>
      </c>
    </row>
    <row r="77">
      <c r="A77" s="3" t="inlineStr">
        <is>
          <t>RSK-TECH</t>
        </is>
      </c>
      <c r="B77" s="3" t="inlineStr">
        <is>
          <t>Technical Risk</t>
        </is>
      </c>
      <c r="C77" s="3" t="inlineStr">
        <is>
          <t>RSK-TECH-074</t>
        </is>
      </c>
      <c r="D77" s="3" t="inlineStr">
        <is>
          <t>Technical - Vessel Envelope</t>
        </is>
      </c>
      <c r="E77" s="3" t="inlineStr"/>
      <c r="F77" s="3" t="n">
        <v>1</v>
      </c>
      <c r="G77" s="3" t="inlineStr">
        <is>
          <t>PKG-11</t>
        </is>
      </c>
      <c r="H77" s="3" t="n">
        <v>1</v>
      </c>
    </row>
    <row r="78">
      <c r="A78" s="3" t="inlineStr">
        <is>
          <t>UNCATEGORIZED</t>
        </is>
      </c>
      <c r="B78" s="3" t="inlineStr">
        <is>
          <t>Uncategorized</t>
        </is>
      </c>
      <c r="C78" s="3" t="inlineStr">
        <is>
          <t>UNCATEGORIZED-075</t>
        </is>
      </c>
      <c r="D78" s="3" t="inlineStr">
        <is>
          <t>Fire Protection Requirements</t>
        </is>
      </c>
      <c r="E78" s="3" t="inlineStr">
        <is>
          <t>Fire Protection Requirements</t>
        </is>
      </c>
      <c r="F78" s="3" t="n">
        <v>1</v>
      </c>
      <c r="G78" s="3" t="inlineStr">
        <is>
          <t>PKG-23</t>
        </is>
      </c>
      <c r="H78" s="3" t="n">
        <v>4</v>
      </c>
    </row>
    <row r="79">
      <c r="A79" s="3" t="inlineStr">
        <is>
          <t>UNCATEGORIZED</t>
        </is>
      </c>
      <c r="B79" s="3" t="inlineStr">
        <is>
          <t>Uncategorized</t>
        </is>
      </c>
      <c r="C79" s="3" t="inlineStr">
        <is>
          <t>UNCATEGORIZED-076</t>
        </is>
      </c>
      <c r="D79" s="3" t="inlineStr">
        <is>
          <t>Hazardous Area Classification</t>
        </is>
      </c>
      <c r="E79" s="3" t="inlineStr">
        <is>
          <t>Hazardous Area Classification</t>
        </is>
      </c>
      <c r="F79" s="3" t="n">
        <v>4</v>
      </c>
      <c r="G79" s="3" t="inlineStr">
        <is>
          <t>PKG-16, PKG-18, PKG-20, PKG-21</t>
        </is>
      </c>
      <c r="H79" s="3" t="n">
        <v>4</v>
      </c>
    </row>
    <row r="80">
      <c r="A80" s="3" t="inlineStr">
        <is>
          <t>UNCATEGORIZED</t>
        </is>
      </c>
      <c r="B80" s="3" t="inlineStr">
        <is>
          <t>Uncategorized</t>
        </is>
      </c>
      <c r="C80" s="3" t="inlineStr">
        <is>
          <t>UNCATEGORIZED-077</t>
        </is>
      </c>
      <c r="D80" s="3" t="inlineStr">
        <is>
          <t>Installation/Construction Complexity</t>
        </is>
      </c>
      <c r="E80" s="3" t="inlineStr">
        <is>
          <t>Installation/Construction Complexity</t>
        </is>
      </c>
      <c r="F80" s="3" t="n">
        <v>1</v>
      </c>
      <c r="G80" s="3" t="inlineStr">
        <is>
          <t>PKG-15</t>
        </is>
      </c>
      <c r="H80" s="3" t="n">
        <v>1</v>
      </c>
    </row>
    <row r="81">
      <c r="A81" s="3" t="inlineStr">
        <is>
          <t>UNCATEGORIZED</t>
        </is>
      </c>
      <c r="B81" s="3" t="inlineStr">
        <is>
          <t>Uncategorized</t>
        </is>
      </c>
      <c r="C81" s="3" t="inlineStr">
        <is>
          <t>UNCATEGORIZED-078</t>
        </is>
      </c>
      <c r="D81" s="3" t="inlineStr">
        <is>
          <t>Agitator selection</t>
        </is>
      </c>
      <c r="E81" s="3" t="inlineStr"/>
      <c r="F81" s="3" t="n">
        <v>1</v>
      </c>
      <c r="G81" s="3" t="inlineStr">
        <is>
          <t>PKG-13</t>
        </is>
      </c>
      <c r="H81" s="3" t="n">
        <v>1</v>
      </c>
    </row>
    <row r="82">
      <c r="A82" s="3" t="inlineStr">
        <is>
          <t>UNCATEGORIZED</t>
        </is>
      </c>
      <c r="B82" s="3" t="inlineStr">
        <is>
          <t>Uncategorized</t>
        </is>
      </c>
      <c r="C82" s="3" t="inlineStr">
        <is>
          <t>UNCATEGORIZED-079</t>
        </is>
      </c>
      <c r="D82" s="3" t="inlineStr">
        <is>
          <t>Building Configuration Changes Affecting Interior Lighting</t>
        </is>
      </c>
      <c r="E82" s="3" t="inlineStr"/>
      <c r="F82" s="3" t="n">
        <v>1</v>
      </c>
      <c r="G82" s="3" t="inlineStr">
        <is>
          <t>PKG-18</t>
        </is>
      </c>
      <c r="H82" s="3" t="n">
        <v>1</v>
      </c>
    </row>
    <row r="83">
      <c r="A83" s="3" t="inlineStr">
        <is>
          <t>UNCATEGORIZED</t>
        </is>
      </c>
      <c r="B83" s="3" t="inlineStr">
        <is>
          <t>Uncategorized</t>
        </is>
      </c>
      <c r="C83" s="3" t="inlineStr">
        <is>
          <t>UNCATEGORIZED-080</t>
        </is>
      </c>
      <c r="D83" s="3" t="inlineStr">
        <is>
          <t>Building Size Uncertainty</t>
        </is>
      </c>
      <c r="E83" s="3" t="inlineStr"/>
      <c r="F83" s="3" t="n">
        <v>1</v>
      </c>
      <c r="G83" s="3" t="inlineStr">
        <is>
          <t>PKG-22</t>
        </is>
      </c>
      <c r="H83" s="3" t="n">
        <v>1</v>
      </c>
    </row>
    <row r="84">
      <c r="A84" s="3" t="inlineStr">
        <is>
          <t>UNCATEGORIZED</t>
        </is>
      </c>
      <c r="B84" s="3" t="inlineStr">
        <is>
          <t>Uncategorized</t>
        </is>
      </c>
      <c r="C84" s="3" t="inlineStr">
        <is>
          <t>UNCATEGORIZED-081</t>
        </is>
      </c>
      <c r="D84" s="3" t="inlineStr">
        <is>
          <t>Cable Routing and Length Uncertainty</t>
        </is>
      </c>
      <c r="E84" s="3" t="inlineStr"/>
      <c r="F84" s="3" t="n">
        <v>1</v>
      </c>
      <c r="G84" s="3" t="inlineStr">
        <is>
          <t>PKG-20</t>
        </is>
      </c>
      <c r="H84" s="3" t="n">
        <v>1</v>
      </c>
    </row>
    <row r="85">
      <c r="A85" s="3" t="inlineStr">
        <is>
          <t>UNCATEGORIZED</t>
        </is>
      </c>
      <c r="B85" s="3" t="inlineStr">
        <is>
          <t>Uncategorized</t>
        </is>
      </c>
      <c r="C85" s="3" t="inlineStr">
        <is>
          <t>UNCATEGORIZED-082</t>
        </is>
      </c>
      <c r="D85" s="3" t="inlineStr">
        <is>
          <t>Calibration Equipment Availability</t>
        </is>
      </c>
      <c r="E85" s="3" t="inlineStr"/>
      <c r="F85" s="3" t="n">
        <v>1</v>
      </c>
      <c r="G85" s="3" t="inlineStr">
        <is>
          <t>PKG-20</t>
        </is>
      </c>
      <c r="H85" s="3" t="n">
        <v>1</v>
      </c>
    </row>
    <row r="86">
      <c r="A86" s="3" t="inlineStr">
        <is>
          <t>UNCATEGORIZED</t>
        </is>
      </c>
      <c r="B86" s="3" t="inlineStr">
        <is>
          <t>Uncategorized</t>
        </is>
      </c>
      <c r="C86" s="3" t="inlineStr">
        <is>
          <t>UNCATEGORIZED-083</t>
        </is>
      </c>
      <c r="D86" s="3" t="inlineStr">
        <is>
          <t>Canola Oil Product Compatibility</t>
        </is>
      </c>
      <c r="E86" s="3" t="inlineStr"/>
      <c r="F86" s="3" t="n">
        <v>1</v>
      </c>
      <c r="G86" s="3" t="inlineStr">
        <is>
          <t>PKG-20</t>
        </is>
      </c>
      <c r="H86" s="3" t="n">
        <v>1</v>
      </c>
    </row>
    <row r="87">
      <c r="A87" s="3" t="inlineStr">
        <is>
          <t>UNCATEGORIZED</t>
        </is>
      </c>
      <c r="B87" s="3" t="inlineStr">
        <is>
          <t>Uncategorized</t>
        </is>
      </c>
      <c r="C87" s="3" t="inlineStr">
        <is>
          <t>UNCATEGORIZED-084</t>
        </is>
      </c>
      <c r="D87" s="3" t="inlineStr">
        <is>
          <t>Commissioning - Flushing</t>
        </is>
      </c>
      <c r="E87" s="3" t="inlineStr"/>
      <c r="F87" s="3" t="n">
        <v>1</v>
      </c>
      <c r="G87" s="3" t="inlineStr">
        <is>
          <t>PKG-14</t>
        </is>
      </c>
      <c r="H87" s="3" t="n">
        <v>1</v>
      </c>
    </row>
    <row r="88">
      <c r="A88" s="3" t="inlineStr">
        <is>
          <t>UNCATEGORIZED</t>
        </is>
      </c>
      <c r="B88" s="3" t="inlineStr">
        <is>
          <t>Uncategorized</t>
        </is>
      </c>
      <c r="C88" s="3" t="inlineStr">
        <is>
          <t>UNCATEGORIZED-085</t>
        </is>
      </c>
      <c r="D88" s="3" t="inlineStr">
        <is>
          <t>Containment Configuration Uncertainty</t>
        </is>
      </c>
      <c r="E88" s="3" t="inlineStr"/>
      <c r="F88" s="3" t="n">
        <v>1</v>
      </c>
      <c r="G88" s="3" t="inlineStr">
        <is>
          <t>PKG-10</t>
        </is>
      </c>
      <c r="H88" s="3" t="n">
        <v>1</v>
      </c>
    </row>
    <row r="89">
      <c r="A89" s="3" t="inlineStr">
        <is>
          <t>UNCATEGORIZED</t>
        </is>
      </c>
      <c r="B89" s="3" t="inlineStr">
        <is>
          <t>Uncategorized</t>
        </is>
      </c>
      <c r="C89" s="3" t="inlineStr">
        <is>
          <t>UNCATEGORIZED-086</t>
        </is>
      </c>
      <c r="D89" s="3" t="inlineStr">
        <is>
          <t>Control Valve Positioner and Communication Protocol Risk</t>
        </is>
      </c>
      <c r="E89" s="3" t="inlineStr"/>
      <c r="F89" s="3" t="n">
        <v>1</v>
      </c>
      <c r="G89" s="3" t="inlineStr">
        <is>
          <t>PKG-16</t>
        </is>
      </c>
      <c r="H89" s="3" t="n">
        <v>1</v>
      </c>
    </row>
    <row r="90">
      <c r="A90" s="3" t="inlineStr">
        <is>
          <t>UNCATEGORIZED</t>
        </is>
      </c>
      <c r="B90" s="3" t="inlineStr">
        <is>
          <t>Uncategorized</t>
        </is>
      </c>
      <c r="C90" s="3" t="inlineStr">
        <is>
          <t>UNCATEGORIZED-087</t>
        </is>
      </c>
      <c r="D90" s="3" t="inlineStr">
        <is>
          <t>Disposal Facility Capacity/Cost Changes (MEDIUM)</t>
        </is>
      </c>
      <c r="E90" s="3" t="inlineStr"/>
      <c r="F90" s="3" t="n">
        <v>1</v>
      </c>
      <c r="G90" s="3" t="inlineStr">
        <is>
          <t>PKG-01</t>
        </is>
      </c>
      <c r="H90" s="3" t="n">
        <v>1</v>
      </c>
    </row>
    <row r="91">
      <c r="A91" s="3" t="inlineStr">
        <is>
          <t>UNCATEGORIZED</t>
        </is>
      </c>
      <c r="B91" s="3" t="inlineStr">
        <is>
          <t>Uncategorized</t>
        </is>
      </c>
      <c r="C91" s="3" t="inlineStr">
        <is>
          <t>UNCATEGORIZED-088</t>
        </is>
      </c>
      <c r="D91" s="3" t="inlineStr">
        <is>
          <t>Documentation Completeness (LOW)</t>
        </is>
      </c>
      <c r="E91" s="3" t="inlineStr"/>
      <c r="F91" s="3" t="n">
        <v>1</v>
      </c>
      <c r="G91" s="3" t="inlineStr">
        <is>
          <t>PKG-35</t>
        </is>
      </c>
      <c r="H91" s="3" t="n">
        <v>1</v>
      </c>
    </row>
    <row r="92">
      <c r="A92" s="3" t="inlineStr">
        <is>
          <t>UNCATEGORIZED</t>
        </is>
      </c>
      <c r="B92" s="3" t="inlineStr">
        <is>
          <t>Uncategorized</t>
        </is>
      </c>
      <c r="C92" s="3" t="inlineStr">
        <is>
          <t>UNCATEGORIZED-089</t>
        </is>
      </c>
      <c r="D92" s="3" t="inlineStr">
        <is>
          <t>Drawing Count Variance</t>
        </is>
      </c>
      <c r="E92" s="3" t="inlineStr"/>
      <c r="F92" s="3" t="n">
        <v>1</v>
      </c>
      <c r="G92" s="3" t="inlineStr">
        <is>
          <t>PKG-31</t>
        </is>
      </c>
      <c r="H92" s="3" t="n">
        <v>1</v>
      </c>
    </row>
    <row r="93">
      <c r="A93" s="3" t="inlineStr">
        <is>
          <t>UNCATEGORIZED</t>
        </is>
      </c>
      <c r="B93" s="3" t="inlineStr">
        <is>
          <t>Uncategorized</t>
        </is>
      </c>
      <c r="C93" s="3" t="inlineStr">
        <is>
          <t>UNCATEGORIZED-090</t>
        </is>
      </c>
      <c r="D93" s="3" t="inlineStr">
        <is>
          <t>Emergency Lighting Extent Beyond Code Minimum</t>
        </is>
      </c>
      <c r="E93" s="3" t="inlineStr"/>
      <c r="F93" s="3" t="n">
        <v>1</v>
      </c>
      <c r="G93" s="3" t="inlineStr">
        <is>
          <t>PKG-18</t>
        </is>
      </c>
      <c r="H93" s="3" t="n">
        <v>1</v>
      </c>
    </row>
    <row r="94">
      <c r="A94" s="3" t="inlineStr">
        <is>
          <t>UNCATEGORIZED</t>
        </is>
      </c>
      <c r="B94" s="3" t="inlineStr">
        <is>
          <t>Uncategorized</t>
        </is>
      </c>
      <c r="C94" s="3" t="inlineStr">
        <is>
          <t>UNCATEGORIZED-091</t>
        </is>
      </c>
      <c r="D94" s="3" t="inlineStr">
        <is>
          <t>Equipment Count Variance</t>
        </is>
      </c>
      <c r="E94" s="3" t="inlineStr"/>
      <c r="F94" s="3" t="n">
        <v>1</v>
      </c>
      <c r="G94" s="3" t="inlineStr">
        <is>
          <t>PKG-31</t>
        </is>
      </c>
      <c r="H94" s="3" t="n">
        <v>1</v>
      </c>
    </row>
    <row r="95">
      <c r="A95" s="3" t="inlineStr">
        <is>
          <t>UNCATEGORIZED</t>
        </is>
      </c>
      <c r="B95" s="3" t="inlineStr">
        <is>
          <t>Uncategorized</t>
        </is>
      </c>
      <c r="C95" s="3" t="inlineStr">
        <is>
          <t>UNCATEGORIZED-092</t>
        </is>
      </c>
      <c r="D95" s="3" t="inlineStr">
        <is>
          <t>Fabrication - Welder Availability</t>
        </is>
      </c>
      <c r="E95" s="3" t="inlineStr"/>
      <c r="F95" s="3" t="n">
        <v>1</v>
      </c>
      <c r="G95" s="3" t="inlineStr">
        <is>
          <t>PKG-14</t>
        </is>
      </c>
      <c r="H95" s="3" t="n">
        <v>1</v>
      </c>
    </row>
    <row r="96">
      <c r="A96" s="3" t="inlineStr">
        <is>
          <t>UNCATEGORIZED</t>
        </is>
      </c>
      <c r="B96" s="3" t="inlineStr">
        <is>
          <t>Uncategorized</t>
        </is>
      </c>
      <c r="C96" s="3" t="inlineStr">
        <is>
          <t>UNCATEGORIZED-093</t>
        </is>
      </c>
      <c r="D96" s="3" t="inlineStr">
        <is>
          <t>Fabricator capacity</t>
        </is>
      </c>
      <c r="E96" s="3" t="inlineStr"/>
      <c r="F96" s="3" t="n">
        <v>1</v>
      </c>
      <c r="G96" s="3" t="inlineStr">
        <is>
          <t>PKG-13</t>
        </is>
      </c>
      <c r="H96" s="3" t="n">
        <v>1</v>
      </c>
    </row>
    <row r="97">
      <c r="A97" s="3" t="inlineStr">
        <is>
          <t>UNCATEGORIZED</t>
        </is>
      </c>
      <c r="B97" s="3" t="inlineStr">
        <is>
          <t>Uncategorized</t>
        </is>
      </c>
      <c r="C97" s="3" t="inlineStr">
        <is>
          <t>UNCATEGORIZED-094</t>
        </is>
      </c>
      <c r="D97" s="3" t="inlineStr">
        <is>
          <t>Freight and Logistics Costs</t>
        </is>
      </c>
      <c r="E97" s="3" t="inlineStr"/>
      <c r="F97" s="3" t="n">
        <v>1</v>
      </c>
      <c r="G97" s="3" t="inlineStr">
        <is>
          <t>PKG-15</t>
        </is>
      </c>
      <c r="H97" s="3" t="n">
        <v>1</v>
      </c>
    </row>
    <row r="98">
      <c r="A98" s="3" t="inlineStr">
        <is>
          <t>UNCATEGORIZED</t>
        </is>
      </c>
      <c r="B98" s="3" t="inlineStr">
        <is>
          <t>Uncategorized</t>
        </is>
      </c>
      <c r="C98" s="3" t="inlineStr">
        <is>
          <t>UNCATEGORIZED-095</t>
        </is>
      </c>
      <c r="D98" s="3" t="inlineStr">
        <is>
          <t>HVAC Load Calculation Uncertainty</t>
        </is>
      </c>
      <c r="E98" s="3" t="inlineStr"/>
      <c r="F98" s="3" t="n">
        <v>1</v>
      </c>
      <c r="G98" s="3" t="inlineStr">
        <is>
          <t>PKG-22</t>
        </is>
      </c>
      <c r="H98" s="3" t="n">
        <v>1</v>
      </c>
    </row>
    <row r="99">
      <c r="A99" s="3" t="inlineStr">
        <is>
          <t>UNCATEGORIZED</t>
        </is>
      </c>
      <c r="B99" s="3" t="inlineStr">
        <is>
          <t>Uncategorized</t>
        </is>
      </c>
      <c r="C99" s="3" t="inlineStr">
        <is>
          <t>UNCATEGORIZED-096</t>
        </is>
      </c>
      <c r="D99" s="3" t="inlineStr">
        <is>
          <t>Hazardous Materials Discovery (HIGH)</t>
        </is>
      </c>
      <c r="E99" s="3" t="inlineStr"/>
      <c r="F99" s="3" t="n">
        <v>1</v>
      </c>
      <c r="G99" s="3" t="inlineStr">
        <is>
          <t>PKG-01</t>
        </is>
      </c>
      <c r="H99" s="3" t="n">
        <v>1</v>
      </c>
    </row>
    <row r="100">
      <c r="A100" s="3" t="inlineStr">
        <is>
          <t>UNCATEGORIZED</t>
        </is>
      </c>
      <c r="B100" s="3" t="inlineStr">
        <is>
          <t>Uncategorized</t>
        </is>
      </c>
      <c r="C100" s="3" t="inlineStr">
        <is>
          <t>UNCATEGORIZED-097</t>
        </is>
      </c>
      <c r="D100" s="3" t="inlineStr">
        <is>
          <t>Header Piping Length Variance</t>
        </is>
      </c>
      <c r="E100" s="3" t="inlineStr"/>
      <c r="F100" s="3" t="n">
        <v>1</v>
      </c>
      <c r="G100" s="3" t="inlineStr">
        <is>
          <t>PKG-10</t>
        </is>
      </c>
      <c r="H100" s="3" t="n">
        <v>1</v>
      </c>
    </row>
    <row r="101">
      <c r="A101" s="3" t="inlineStr">
        <is>
          <t>UNCATEGORIZED</t>
        </is>
      </c>
      <c r="B101" s="3" t="inlineStr">
        <is>
          <t>Uncategorized</t>
        </is>
      </c>
      <c r="C101" s="3" t="inlineStr">
        <is>
          <t>UNCATEGORIZED-098</t>
        </is>
      </c>
      <c r="D101" s="3" t="inlineStr">
        <is>
          <t>Heavy lift availability</t>
        </is>
      </c>
      <c r="E101" s="3" t="inlineStr"/>
      <c r="F101" s="3" t="n">
        <v>1</v>
      </c>
      <c r="G101" s="3" t="inlineStr">
        <is>
          <t>PKG-13</t>
        </is>
      </c>
      <c r="H101" s="3" t="n">
        <v>1</v>
      </c>
    </row>
    <row r="102">
      <c r="A102" s="3" t="inlineStr">
        <is>
          <t>UNCATEGORIZED</t>
        </is>
      </c>
      <c r="B102" s="3" t="inlineStr">
        <is>
          <t>Uncategorized</t>
        </is>
      </c>
      <c r="C102" s="3" t="inlineStr">
        <is>
          <t>UNCATEGORIZED-099</t>
        </is>
      </c>
      <c r="D102" s="3" t="inlineStr">
        <is>
          <t>Historian Platform Selection</t>
        </is>
      </c>
      <c r="E102" s="3" t="inlineStr"/>
      <c r="F102" s="3" t="n">
        <v>1</v>
      </c>
      <c r="G102" s="3" t="inlineStr">
        <is>
          <t>PKG-19</t>
        </is>
      </c>
      <c r="H102" s="3" t="n">
        <v>1</v>
      </c>
    </row>
    <row r="103">
      <c r="A103" s="3" t="inlineStr">
        <is>
          <t>UNCATEGORIZED</t>
        </is>
      </c>
      <c r="B103" s="3" t="inlineStr">
        <is>
          <t>Uncategorized</t>
        </is>
      </c>
      <c r="C103" s="3" t="inlineStr">
        <is>
          <t>UNCATEGORIZED-100</t>
        </is>
      </c>
      <c r="D103" s="3" t="inlineStr">
        <is>
          <t>Hydro test water</t>
        </is>
      </c>
      <c r="E103" s="3" t="inlineStr"/>
      <c r="F103" s="3" t="n">
        <v>1</v>
      </c>
      <c r="G103" s="3" t="inlineStr">
        <is>
          <t>PKG-13</t>
        </is>
      </c>
      <c r="H103" s="3" t="n">
        <v>1</v>
      </c>
    </row>
    <row r="104">
      <c r="A104" s="3" t="inlineStr">
        <is>
          <t>UNCATEGORIZED</t>
        </is>
      </c>
      <c r="B104" s="3" t="inlineStr">
        <is>
          <t>Uncategorized</t>
        </is>
      </c>
      <c r="C104" s="3" t="inlineStr">
        <is>
          <t>UNCATEGORIZED-101</t>
        </is>
      </c>
      <c r="D104" s="3" t="inlineStr">
        <is>
          <t>Instrument Supply Chain Disruption</t>
        </is>
      </c>
      <c r="E104" s="3" t="inlineStr"/>
      <c r="F104" s="3" t="n">
        <v>1</v>
      </c>
      <c r="G104" s="3" t="inlineStr">
        <is>
          <t>PKG-20</t>
        </is>
      </c>
      <c r="H104" s="3" t="n">
        <v>1</v>
      </c>
    </row>
    <row r="105">
      <c r="A105" s="3" t="inlineStr">
        <is>
          <t>UNCATEGORIZED</t>
        </is>
      </c>
      <c r="B105" s="3" t="inlineStr">
        <is>
          <t>Uncategorized</t>
        </is>
      </c>
      <c r="C105" s="3" t="inlineStr">
        <is>
          <t>UNCATEGORIZED-102</t>
        </is>
      </c>
      <c r="D105" s="3" t="inlineStr">
        <is>
          <t>Interfacing Equipment Loads Exceed Structural Capacity</t>
        </is>
      </c>
      <c r="E105" s="3" t="inlineStr"/>
      <c r="F105" s="3" t="n">
        <v>1</v>
      </c>
      <c r="G105" s="3" t="inlineStr">
        <is>
          <t>PKG-08</t>
        </is>
      </c>
      <c r="H105" s="3" t="n">
        <v>1</v>
      </c>
    </row>
    <row r="106">
      <c r="A106" s="3" t="inlineStr">
        <is>
          <t>UNCATEGORIZED</t>
        </is>
      </c>
      <c r="B106" s="3" t="inlineStr">
        <is>
          <t>Uncategorized</t>
        </is>
      </c>
      <c r="C106" s="3" t="inlineStr">
        <is>
          <t>UNCATEGORIZED-103</t>
        </is>
      </c>
      <c r="D106" s="3" t="inlineStr">
        <is>
          <t>MCC Building Size Larger Than Assumed</t>
        </is>
      </c>
      <c r="E106" s="3" t="inlineStr"/>
      <c r="F106" s="3" t="n">
        <v>1</v>
      </c>
      <c r="G106" s="3" t="inlineStr">
        <is>
          <t>PKG-21</t>
        </is>
      </c>
      <c r="H106" s="3" t="n">
        <v>1</v>
      </c>
    </row>
    <row r="107">
      <c r="A107" s="3" t="inlineStr">
        <is>
          <t>UNCATEGORIZED</t>
        </is>
      </c>
      <c r="B107" s="3" t="inlineStr">
        <is>
          <t>Uncategorized</t>
        </is>
      </c>
      <c r="C107" s="3" t="inlineStr">
        <is>
          <t>UNCATEGORIZED-104</t>
        </is>
      </c>
      <c r="D107" s="3" t="inlineStr">
        <is>
          <t>Missing Physical Quantities (Site Facilities &amp; Infrastructure)</t>
        </is>
      </c>
      <c r="E107" s="3" t="inlineStr"/>
      <c r="F107" s="3" t="n">
        <v>1</v>
      </c>
      <c r="G107" s="3" t="inlineStr">
        <is>
          <t>PKG-00</t>
        </is>
      </c>
      <c r="H107" s="3" t="n">
        <v>1</v>
      </c>
    </row>
    <row r="108">
      <c r="A108" s="3" t="inlineStr">
        <is>
          <t>UNCATEGORIZED</t>
        </is>
      </c>
      <c r="B108" s="3" t="inlineStr">
        <is>
          <t>Uncategorized</t>
        </is>
      </c>
      <c r="C108" s="3" t="inlineStr">
        <is>
          <t>UNCATEGORIZED-105</t>
        </is>
      </c>
      <c r="D108" s="3" t="inlineStr">
        <is>
          <t>OEM Training Cost Overrun (MEDIUM)</t>
        </is>
      </c>
      <c r="E108" s="3" t="inlineStr"/>
      <c r="F108" s="3" t="n">
        <v>1</v>
      </c>
      <c r="G108" s="3" t="inlineStr">
        <is>
          <t>PKG-35</t>
        </is>
      </c>
      <c r="H108" s="3" t="n">
        <v>1</v>
      </c>
    </row>
    <row r="109">
      <c r="A109" s="3" t="inlineStr">
        <is>
          <t>UNCATEGORIZED</t>
        </is>
      </c>
      <c r="B109" s="3" t="inlineStr">
        <is>
          <t>Uncategorized</t>
        </is>
      </c>
      <c r="C109" s="3" t="inlineStr">
        <is>
          <t>UNCATEGORIZED-106</t>
        </is>
      </c>
      <c r="D109" s="3" t="inlineStr">
        <is>
          <t>Operator Shelter Count Increase</t>
        </is>
      </c>
      <c r="E109" s="3" t="inlineStr"/>
      <c r="F109" s="3" t="n">
        <v>1</v>
      </c>
      <c r="G109" s="3" t="inlineStr">
        <is>
          <t>PKG-21</t>
        </is>
      </c>
      <c r="H109" s="3" t="n">
        <v>1</v>
      </c>
    </row>
    <row r="110">
      <c r="A110" s="3" t="inlineStr">
        <is>
          <t>UNCATEGORIZED</t>
        </is>
      </c>
      <c r="B110" s="3" t="inlineStr">
        <is>
          <t>Uncategorized</t>
        </is>
      </c>
      <c r="C110" s="3" t="inlineStr">
        <is>
          <t>UNCATEGORIZED-107</t>
        </is>
      </c>
      <c r="D110" s="3" t="inlineStr">
        <is>
          <t>Pump Redundancy and N+1 Configuration</t>
        </is>
      </c>
      <c r="E110" s="3" t="inlineStr"/>
      <c r="F110" s="3" t="n">
        <v>1</v>
      </c>
      <c r="G110" s="3" t="inlineStr">
        <is>
          <t>PKG-15</t>
        </is>
      </c>
      <c r="H110" s="3" t="n">
        <v>1</v>
      </c>
    </row>
    <row r="111">
      <c r="A111" s="3" t="inlineStr">
        <is>
          <t>UNCATEGORIZED</t>
        </is>
      </c>
      <c r="B111" s="3" t="inlineStr">
        <is>
          <t>Uncategorized</t>
        </is>
      </c>
      <c r="C111" s="3" t="inlineStr">
        <is>
          <t>UNCATEGORIZED-108</t>
        </is>
      </c>
      <c r="D111" s="3" t="inlineStr">
        <is>
          <t>Relief Valve Scenario Identification Risk</t>
        </is>
      </c>
      <c r="E111" s="3" t="inlineStr"/>
      <c r="F111" s="3" t="n">
        <v>1</v>
      </c>
      <c r="G111" s="3" t="inlineStr">
        <is>
          <t>PKG-16</t>
        </is>
      </c>
      <c r="H111" s="3" t="n">
        <v>1</v>
      </c>
    </row>
    <row r="112">
      <c r="A112" s="3" t="inlineStr">
        <is>
          <t>UNCATEGORIZED</t>
        </is>
      </c>
      <c r="B112" s="3" t="inlineStr">
        <is>
          <t>Uncategorized</t>
        </is>
      </c>
      <c r="C112" s="3" t="inlineStr">
        <is>
          <t>UNCATEGORIZED-109</t>
        </is>
      </c>
      <c r="D112" s="3" t="inlineStr">
        <is>
          <t>Simultaneous Operations and Throughput Risk</t>
        </is>
      </c>
      <c r="E112" s="3" t="inlineStr"/>
      <c r="F112" s="3" t="n">
        <v>1</v>
      </c>
      <c r="G112" s="3" t="inlineStr">
        <is>
          <t>PKG-10</t>
        </is>
      </c>
      <c r="H112" s="3" t="n">
        <v>1</v>
      </c>
    </row>
    <row r="113">
      <c r="A113" s="3" t="inlineStr">
        <is>
          <t>UNCATEGORIZED</t>
        </is>
      </c>
      <c r="B113" s="3" t="inlineStr">
        <is>
          <t>Uncategorized</t>
        </is>
      </c>
      <c r="C113" s="3" t="inlineStr">
        <is>
          <t>UNCATEGORIZED-110</t>
        </is>
      </c>
      <c r="D113" s="3" t="inlineStr">
        <is>
          <t>Site Layout Changes Affecting Exterior Lighting Design</t>
        </is>
      </c>
      <c r="E113" s="3" t="inlineStr"/>
      <c r="F113" s="3" t="n">
        <v>1</v>
      </c>
      <c r="G113" s="3" t="inlineStr">
        <is>
          <t>PKG-18</t>
        </is>
      </c>
      <c r="H113" s="3" t="n">
        <v>1</v>
      </c>
    </row>
    <row r="114">
      <c r="A114" s="3" t="inlineStr">
        <is>
          <t>UNCATEGORIZED</t>
        </is>
      </c>
      <c r="B114" s="3" t="inlineStr">
        <is>
          <t>Uncategorized</t>
        </is>
      </c>
      <c r="C114" s="3" t="inlineStr">
        <is>
          <t>UNCATEGORIZED-111</t>
        </is>
      </c>
      <c r="D114" s="3" t="inlineStr">
        <is>
          <t>Spare Parts Strategy Unknown</t>
        </is>
      </c>
      <c r="E114" s="3" t="inlineStr"/>
      <c r="F114" s="3" t="n">
        <v>1</v>
      </c>
      <c r="G114" s="3" t="inlineStr">
        <is>
          <t>PKG-15</t>
        </is>
      </c>
      <c r="H114" s="3" t="n">
        <v>1</v>
      </c>
    </row>
    <row r="115">
      <c r="A115" s="3" t="inlineStr">
        <is>
          <t>UNCATEGORIZED</t>
        </is>
      </c>
      <c r="B115" s="3" t="inlineStr">
        <is>
          <t>Uncategorized</t>
        </is>
      </c>
      <c r="C115" s="3" t="inlineStr">
        <is>
          <t>UNCATEGORIZED-112</t>
        </is>
      </c>
      <c r="D115" s="3" t="inlineStr">
        <is>
          <t>Stainless Steel Material Premium Risk</t>
        </is>
      </c>
      <c r="E115" s="3" t="inlineStr"/>
      <c r="F115" s="3" t="n">
        <v>1</v>
      </c>
      <c r="G115" s="3" t="inlineStr">
        <is>
          <t>PKG-16</t>
        </is>
      </c>
      <c r="H115" s="3" t="n">
        <v>1</v>
      </c>
    </row>
    <row r="116">
      <c r="A116" s="3" t="inlineStr">
        <is>
          <t>UNCATEGORIZED</t>
        </is>
      </c>
      <c r="B116" s="3" t="inlineStr">
        <is>
          <t>Uncategorized</t>
        </is>
      </c>
      <c r="C116" s="3" t="inlineStr">
        <is>
          <t>UNCATEGORIZED-113</t>
        </is>
      </c>
      <c r="D116" s="3" t="inlineStr">
        <is>
          <t>System Breakdown Variance</t>
        </is>
      </c>
      <c r="E116" s="3" t="inlineStr"/>
      <c r="F116" s="3" t="n">
        <v>1</v>
      </c>
      <c r="G116" s="3" t="inlineStr">
        <is>
          <t>PKG-31</t>
        </is>
      </c>
      <c r="H116" s="3" t="n">
        <v>1</v>
      </c>
    </row>
    <row r="117">
      <c r="A117" s="3" t="inlineStr">
        <is>
          <t>UNCATEGORIZED</t>
        </is>
      </c>
      <c r="B117" s="3" t="inlineStr">
        <is>
          <t>Uncategorized</t>
        </is>
      </c>
      <c r="C117" s="3" t="inlineStr">
        <is>
          <t>UNCATEGORIZED-114</t>
        </is>
      </c>
      <c r="D117" s="3" t="inlineStr">
        <is>
          <t>Temporary Power and Utilities for Commissioning</t>
        </is>
      </c>
      <c r="E117" s="3" t="inlineStr"/>
      <c r="F117" s="3" t="n">
        <v>1</v>
      </c>
      <c r="G117" s="3" t="inlineStr">
        <is>
          <t>PKG-15</t>
        </is>
      </c>
      <c r="H117" s="3" t="n">
        <v>1</v>
      </c>
    </row>
    <row r="118">
      <c r="A118" s="3" t="inlineStr">
        <is>
          <t>UNCATEGORIZED</t>
        </is>
      </c>
      <c r="B118" s="3" t="inlineStr">
        <is>
          <t>Uncategorized</t>
        </is>
      </c>
      <c r="C118" s="3" t="inlineStr">
        <is>
          <t>UNCATEGORIZED-115</t>
        </is>
      </c>
      <c r="D118" s="3" t="inlineStr">
        <is>
          <t>Terminal Operations Conflicts (MEDIUM)</t>
        </is>
      </c>
      <c r="E118" s="3" t="inlineStr"/>
      <c r="F118" s="3" t="n">
        <v>1</v>
      </c>
      <c r="G118" s="3" t="inlineStr">
        <is>
          <t>PKG-35</t>
        </is>
      </c>
      <c r="H118" s="3" t="n">
        <v>1</v>
      </c>
    </row>
    <row r="119">
      <c r="A119" s="3" t="inlineStr">
        <is>
          <t>UNCATEGORIZED</t>
        </is>
      </c>
      <c r="B119" s="3" t="inlineStr">
        <is>
          <t>Uncategorized</t>
        </is>
      </c>
      <c r="C119" s="3" t="inlineStr">
        <is>
          <t>UNCATEGORIZED-116</t>
        </is>
      </c>
      <c r="D119" s="3" t="inlineStr">
        <is>
          <t>Terminal Operations Interference</t>
        </is>
      </c>
      <c r="E119" s="3" t="inlineStr"/>
      <c r="F119" s="3" t="n">
        <v>1</v>
      </c>
      <c r="G119" s="3" t="inlineStr">
        <is>
          <t>PKG-23</t>
        </is>
      </c>
      <c r="H119" s="3" t="n">
        <v>1</v>
      </c>
    </row>
    <row r="120">
      <c r="A120" s="3" t="inlineStr">
        <is>
          <t>UNCATEGORIZED</t>
        </is>
      </c>
      <c r="B120" s="3" t="inlineStr">
        <is>
          <t>Uncategorized</t>
        </is>
      </c>
      <c r="C120" s="3" t="inlineStr">
        <is>
          <t>UNCATEGORIZED-117</t>
        </is>
      </c>
      <c r="D120" s="3" t="inlineStr">
        <is>
          <t>Terminal Operations Interference (MEDIUM)</t>
        </is>
      </c>
      <c r="E120" s="3" t="inlineStr"/>
      <c r="F120" s="3" t="n">
        <v>1</v>
      </c>
      <c r="G120" s="3" t="inlineStr">
        <is>
          <t>PKG-01</t>
        </is>
      </c>
      <c r="H120" s="3" t="n">
        <v>1</v>
      </c>
    </row>
    <row r="121">
      <c r="A121" s="3" t="inlineStr">
        <is>
          <t>UNCATEGORIZED</t>
        </is>
      </c>
      <c r="B121" s="3" t="inlineStr">
        <is>
          <t>Uncategorized</t>
        </is>
      </c>
      <c r="C121" s="3" t="inlineStr">
        <is>
          <t>UNCATEGORIZED-118</t>
        </is>
      </c>
      <c r="D121" s="3" t="inlineStr">
        <is>
          <t>Track 6 Ballast Contamination (HIGH)</t>
        </is>
      </c>
      <c r="E121" s="3" t="inlineStr"/>
      <c r="F121" s="3" t="n">
        <v>1</v>
      </c>
      <c r="G121" s="3" t="inlineStr">
        <is>
          <t>PKG-01</t>
        </is>
      </c>
      <c r="H121" s="3" t="n">
        <v>1</v>
      </c>
    </row>
    <row r="122">
      <c r="A122" s="3" t="inlineStr">
        <is>
          <t>UNCATEGORIZED</t>
        </is>
      </c>
      <c r="B122" s="3" t="inlineStr">
        <is>
          <t>Uncategorized</t>
        </is>
      </c>
      <c r="C122" s="3" t="inlineStr">
        <is>
          <t>UNCATEGORIZED-119</t>
        </is>
      </c>
      <c r="D122" s="3" t="inlineStr">
        <is>
          <t>VFPA Standards Compliance Effort</t>
        </is>
      </c>
      <c r="E122" s="3" t="inlineStr"/>
      <c r="F122" s="3" t="n">
        <v>1</v>
      </c>
      <c r="G122" s="3" t="inlineStr">
        <is>
          <t>PKG-31</t>
        </is>
      </c>
      <c r="H122" s="3" t="n">
        <v>1</v>
      </c>
    </row>
    <row r="123">
      <c r="A123" s="3" t="inlineStr">
        <is>
          <t>UNCATEGORIZED</t>
        </is>
      </c>
      <c r="B123" s="3" t="inlineStr">
        <is>
          <t>Uncategorized</t>
        </is>
      </c>
      <c r="C123" s="3" t="inlineStr">
        <is>
          <t>UNCATEGORIZED-120</t>
        </is>
      </c>
      <c r="D123" s="3" t="inlineStr">
        <is>
          <t>Valve Size and Specification Risk</t>
        </is>
      </c>
      <c r="E123" s="3" t="inlineStr"/>
      <c r="F123" s="3" t="n">
        <v>1</v>
      </c>
      <c r="G123" s="3" t="inlineStr">
        <is>
          <t>PKG-16</t>
        </is>
      </c>
      <c r="H123" s="3" t="n">
        <v>1</v>
      </c>
    </row>
  </sheetData>
  <hyperlinks>
    <hyperlink xmlns:r="http://schemas.openxmlformats.org/officeDocument/2006/relationships" ref="I1"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I300"/>
  <sheetViews>
    <sheetView showGridLines="0" workbookViewId="0">
      <pane ySplit="3" topLeftCell="A4" activePane="bottomLeft" state="frozen"/>
      <selection pane="bottomLeft" activeCell="A1" sqref="A1"/>
    </sheetView>
  </sheetViews>
  <sheetFormatPr baseColWidth="8" defaultRowHeight="15"/>
  <cols>
    <col width="14" customWidth="1" min="1" max="1"/>
    <col width="28" customWidth="1" min="2" max="2"/>
    <col width="16" customWidth="1" min="3" max="3"/>
    <col width="40" customWidth="1" min="4" max="4"/>
    <col width="10" customWidth="1" min="5" max="5"/>
    <col width="12" customWidth="1" min="6" max="6"/>
    <col width="70" customWidth="1" min="7" max="7"/>
    <col width="10" customWidth="1" min="8" max="8"/>
  </cols>
  <sheetData>
    <row r="1">
      <c r="A1" s="15" t="inlineStr">
        <is>
          <t>Risks — source items</t>
        </is>
      </c>
      <c r="I1" s="4" t="inlineStr">
        <is>
          <t>Home</t>
        </is>
      </c>
    </row>
    <row r="3">
      <c r="A3" s="16" t="inlineStr">
        <is>
          <t>CategoryCode</t>
        </is>
      </c>
      <c r="B3" s="16" t="inlineStr">
        <is>
          <t>Category</t>
        </is>
      </c>
      <c r="C3" s="16" t="inlineStr">
        <is>
          <t>GroupID</t>
        </is>
      </c>
      <c r="D3" s="16" t="inlineStr">
        <is>
          <t>GroupTitle</t>
        </is>
      </c>
      <c r="E3" s="16" t="inlineStr">
        <is>
          <t>Package</t>
        </is>
      </c>
      <c r="F3" s="16" t="inlineStr">
        <is>
          <t>RiskID</t>
        </is>
      </c>
      <c r="G3" s="16" t="inlineStr">
        <is>
          <t>RiskTitle</t>
        </is>
      </c>
      <c r="H3" s="16" t="inlineStr">
        <is>
          <t>Severity</t>
        </is>
      </c>
    </row>
    <row r="4">
      <c r="A4" s="3" t="inlineStr">
        <is>
          <t>RSK-ENV</t>
        </is>
      </c>
      <c r="B4" s="3" t="inlineStr">
        <is>
          <t>Environmental Risk</t>
        </is>
      </c>
      <c r="C4" s="3" t="inlineStr">
        <is>
          <t>RSK-ENV-001</t>
        </is>
      </c>
      <c r="D4" s="3" t="inlineStr">
        <is>
          <t>Weather/Environmental Risk</t>
        </is>
      </c>
      <c r="E4" s="3" t="inlineStr">
        <is>
          <t>PKG-01</t>
        </is>
      </c>
      <c r="F4" s="3" t="inlineStr">
        <is>
          <t>R-104</t>
        </is>
      </c>
      <c r="G4" s="3" t="inlineStr">
        <is>
          <t>Marine Weather/Tide Delays (MEDIUM)</t>
        </is>
      </c>
      <c r="H4" s="3" t="inlineStr">
        <is>
          <t>MEDIUM</t>
        </is>
      </c>
    </row>
    <row r="5">
      <c r="A5" s="3" t="inlineStr">
        <is>
          <t>RSK-ENV</t>
        </is>
      </c>
      <c r="B5" s="3" t="inlineStr">
        <is>
          <t>Environmental Risk</t>
        </is>
      </c>
      <c r="C5" s="3" t="inlineStr">
        <is>
          <t>RSK-ENV-001</t>
        </is>
      </c>
      <c r="D5" s="3" t="inlineStr">
        <is>
          <t>Weather/Environmental Risk</t>
        </is>
      </c>
      <c r="E5" s="3" t="inlineStr">
        <is>
          <t>PKG-08</t>
        </is>
      </c>
      <c r="F5" s="3" t="inlineStr">
        <is>
          <t>R-805</t>
        </is>
      </c>
      <c r="G5" s="3" t="inlineStr">
        <is>
          <t>Environmental Design Basis More Severe Than Assumed</t>
        </is>
      </c>
      <c r="H5" s="3" t="inlineStr"/>
    </row>
    <row r="6">
      <c r="A6" s="3" t="inlineStr">
        <is>
          <t>RSK-ENV</t>
        </is>
      </c>
      <c r="B6" s="3" t="inlineStr">
        <is>
          <t>Environmental Risk</t>
        </is>
      </c>
      <c r="C6" s="3" t="inlineStr">
        <is>
          <t>RSK-ENV-001</t>
        </is>
      </c>
      <c r="D6" s="3" t="inlineStr">
        <is>
          <t>Weather/Environmental Risk</t>
        </is>
      </c>
      <c r="E6" s="3" t="inlineStr">
        <is>
          <t>PKG-11</t>
        </is>
      </c>
      <c r="F6" s="3" t="inlineStr">
        <is>
          <t>R-011</t>
        </is>
      </c>
      <c r="G6" s="3" t="inlineStr">
        <is>
          <t>Environmental - Weather</t>
        </is>
      </c>
      <c r="H6" s="3" t="inlineStr"/>
    </row>
    <row r="7">
      <c r="A7" s="3" t="inlineStr">
        <is>
          <t>RSK-ENV</t>
        </is>
      </c>
      <c r="B7" s="3" t="inlineStr">
        <is>
          <t>Environmental Risk</t>
        </is>
      </c>
      <c r="C7" s="3" t="inlineStr">
        <is>
          <t>RSK-ENV-001</t>
        </is>
      </c>
      <c r="D7" s="3" t="inlineStr">
        <is>
          <t>Weather/Environmental Risk</t>
        </is>
      </c>
      <c r="E7" s="3" t="inlineStr">
        <is>
          <t>PKG-13</t>
        </is>
      </c>
      <c r="F7" s="3" t="inlineStr">
        <is>
          <t>R-008</t>
        </is>
      </c>
      <c r="G7" s="3" t="inlineStr">
        <is>
          <t>Weather impacts</t>
        </is>
      </c>
      <c r="H7" s="3" t="inlineStr"/>
    </row>
    <row r="8">
      <c r="A8" s="3" t="inlineStr">
        <is>
          <t>RSK-ENV</t>
        </is>
      </c>
      <c r="B8" s="3" t="inlineStr">
        <is>
          <t>Environmental Risk</t>
        </is>
      </c>
      <c r="C8" s="3" t="inlineStr">
        <is>
          <t>RSK-ENV-001</t>
        </is>
      </c>
      <c r="D8" s="3" t="inlineStr">
        <is>
          <t>Weather/Environmental Risk</t>
        </is>
      </c>
      <c r="E8" s="3" t="inlineStr">
        <is>
          <t>PKG-14</t>
        </is>
      </c>
      <c r="F8" s="3" t="inlineStr">
        <is>
          <t>R-016</t>
        </is>
      </c>
      <c r="G8" s="3" t="inlineStr">
        <is>
          <t>Environmental - Material Storage</t>
        </is>
      </c>
      <c r="H8" s="3" t="inlineStr"/>
    </row>
    <row r="9">
      <c r="A9" s="3" t="inlineStr">
        <is>
          <t>RSK-ENV</t>
        </is>
      </c>
      <c r="B9" s="3" t="inlineStr">
        <is>
          <t>Environmental Risk</t>
        </is>
      </c>
      <c r="C9" s="3" t="inlineStr">
        <is>
          <t>RSK-ENV-001</t>
        </is>
      </c>
      <c r="D9" s="3" t="inlineStr">
        <is>
          <t>Weather/Environmental Risk</t>
        </is>
      </c>
      <c r="E9" s="3" t="inlineStr">
        <is>
          <t>PKG-16</t>
        </is>
      </c>
      <c r="F9" s="3" t="inlineStr">
        <is>
          <t>R-1620</t>
        </is>
      </c>
      <c r="G9" s="3" t="inlineStr">
        <is>
          <t>Winter Construction Productivity Impact</t>
        </is>
      </c>
      <c r="H9" s="3" t="inlineStr"/>
    </row>
    <row r="10">
      <c r="A10" s="3" t="inlineStr">
        <is>
          <t>RSK-ENV</t>
        </is>
      </c>
      <c r="B10" s="3" t="inlineStr">
        <is>
          <t>Environmental Risk</t>
        </is>
      </c>
      <c r="C10" s="3" t="inlineStr">
        <is>
          <t>RSK-ENV-001</t>
        </is>
      </c>
      <c r="D10" s="3" t="inlineStr">
        <is>
          <t>Weather/Environmental Risk</t>
        </is>
      </c>
      <c r="E10" s="3" t="inlineStr">
        <is>
          <t>PKG-20</t>
        </is>
      </c>
      <c r="F10" s="3" t="inlineStr">
        <is>
          <t>R-006</t>
        </is>
      </c>
      <c r="G10" s="3" t="inlineStr">
        <is>
          <t>Marine Environment Corrosion</t>
        </is>
      </c>
      <c r="H10" s="3" t="inlineStr"/>
    </row>
    <row r="11">
      <c r="A11" s="3" t="inlineStr">
        <is>
          <t>RSK-ENV</t>
        </is>
      </c>
      <c r="B11" s="3" t="inlineStr">
        <is>
          <t>Environmental Risk</t>
        </is>
      </c>
      <c r="C11" s="3" t="inlineStr">
        <is>
          <t>RSK-ENV-001</t>
        </is>
      </c>
      <c r="D11" s="3" t="inlineStr">
        <is>
          <t>Weather/Environmental Risk</t>
        </is>
      </c>
      <c r="E11" s="3" t="inlineStr">
        <is>
          <t>PKG-20</t>
        </is>
      </c>
      <c r="F11" s="3" t="inlineStr">
        <is>
          <t>R-012</t>
        </is>
      </c>
      <c r="G11" s="3" t="inlineStr">
        <is>
          <t>Winter Weather Impact</t>
        </is>
      </c>
      <c r="H11" s="3" t="inlineStr"/>
    </row>
    <row r="12">
      <c r="A12" s="3" t="inlineStr">
        <is>
          <t>RSK-ENV</t>
        </is>
      </c>
      <c r="B12" s="3" t="inlineStr">
        <is>
          <t>Environmental Risk</t>
        </is>
      </c>
      <c r="C12" s="3" t="inlineStr">
        <is>
          <t>RSK-ENV-001</t>
        </is>
      </c>
      <c r="D12" s="3" t="inlineStr">
        <is>
          <t>Weather/Environmental Risk</t>
        </is>
      </c>
      <c r="E12" s="3" t="inlineStr">
        <is>
          <t>PKG-21</t>
        </is>
      </c>
      <c r="F12" s="3" t="inlineStr">
        <is>
          <t>R-004</t>
        </is>
      </c>
      <c r="G12" s="3" t="inlineStr">
        <is>
          <t>Marine Environment Corrosion Protection</t>
        </is>
      </c>
      <c r="H12" s="3" t="inlineStr"/>
    </row>
    <row r="13">
      <c r="A13" s="3" t="inlineStr">
        <is>
          <t>RSK-ENV</t>
        </is>
      </c>
      <c r="B13" s="3" t="inlineStr">
        <is>
          <t>Environmental Risk</t>
        </is>
      </c>
      <c r="C13" s="3" t="inlineStr">
        <is>
          <t>RSK-ENV-001</t>
        </is>
      </c>
      <c r="D13" s="3" t="inlineStr">
        <is>
          <t>Weather/Environmental Risk</t>
        </is>
      </c>
      <c r="E13" s="3" t="inlineStr">
        <is>
          <t>PKG-23</t>
        </is>
      </c>
      <c r="F13" s="3" t="inlineStr">
        <is>
          <t>R-010</t>
        </is>
      </c>
      <c r="G13" s="3" t="inlineStr">
        <is>
          <t>Marine Environment Corrosion</t>
        </is>
      </c>
      <c r="H13" s="3" t="inlineStr"/>
    </row>
    <row r="14">
      <c r="A14" s="3" t="inlineStr">
        <is>
          <t>RSK-ENV</t>
        </is>
      </c>
      <c r="B14" s="3" t="inlineStr">
        <is>
          <t>Environmental Risk</t>
        </is>
      </c>
      <c r="C14" s="3" t="inlineStr">
        <is>
          <t>RSK-ENV-002</t>
        </is>
      </c>
      <c r="D14" s="3" t="inlineStr">
        <is>
          <t>Marine Logistics Constraints</t>
        </is>
      </c>
      <c r="E14" s="3" t="inlineStr">
        <is>
          <t>PKG-08</t>
        </is>
      </c>
      <c r="F14" s="3" t="inlineStr">
        <is>
          <t>R-802</t>
        </is>
      </c>
      <c r="G14" s="3" t="inlineStr">
        <is>
          <t>Marine Logistics Constraints</t>
        </is>
      </c>
      <c r="H14" s="3" t="inlineStr"/>
    </row>
    <row r="15">
      <c r="A15" s="3" t="inlineStr">
        <is>
          <t>RSK-ESC</t>
        </is>
      </c>
      <c r="B15" s="3" t="inlineStr">
        <is>
          <t>Escalation Risk</t>
        </is>
      </c>
      <c r="C15" s="3" t="inlineStr">
        <is>
          <t>RSK-ESC-003</t>
        </is>
      </c>
      <c r="D15" s="3" t="inlineStr">
        <is>
          <t>Cost Escalation Exposure</t>
        </is>
      </c>
      <c r="E15" s="3" t="inlineStr">
        <is>
          <t>PKG-00</t>
        </is>
      </c>
      <c r="F15" s="3" t="inlineStr">
        <is>
          <t>R-008</t>
        </is>
      </c>
      <c r="G15" s="3" t="inlineStr">
        <is>
          <t>Currency and Escalation Exposure</t>
        </is>
      </c>
      <c r="H15" s="3" t="inlineStr"/>
    </row>
    <row r="16">
      <c r="A16" s="3" t="inlineStr">
        <is>
          <t>RSK-ESC</t>
        </is>
      </c>
      <c r="B16" s="3" t="inlineStr">
        <is>
          <t>Escalation Risk</t>
        </is>
      </c>
      <c r="C16" s="3" t="inlineStr">
        <is>
          <t>RSK-ESC-003</t>
        </is>
      </c>
      <c r="D16" s="3" t="inlineStr">
        <is>
          <t>Cost Escalation Exposure</t>
        </is>
      </c>
      <c r="E16" s="3" t="inlineStr">
        <is>
          <t>PKG-05</t>
        </is>
      </c>
      <c r="F16" s="3" t="inlineStr">
        <is>
          <t>R-008</t>
        </is>
      </c>
      <c r="G16" s="3" t="inlineStr">
        <is>
          <t>Escalation Exposure</t>
        </is>
      </c>
      <c r="H16" s="3" t="inlineStr"/>
    </row>
    <row r="17">
      <c r="A17" s="3" t="inlineStr">
        <is>
          <t>RSK-ESC</t>
        </is>
      </c>
      <c r="B17" s="3" t="inlineStr">
        <is>
          <t>Escalation Risk</t>
        </is>
      </c>
      <c r="C17" s="3" t="inlineStr">
        <is>
          <t>RSK-ESC-003</t>
        </is>
      </c>
      <c r="D17" s="3" t="inlineStr">
        <is>
          <t>Cost Escalation Exposure</t>
        </is>
      </c>
      <c r="E17" s="3" t="inlineStr">
        <is>
          <t>PKG-15</t>
        </is>
      </c>
      <c r="F17" s="3" t="inlineStr">
        <is>
          <t>R-009</t>
        </is>
      </c>
      <c r="G17" s="3" t="inlineStr">
        <is>
          <t>Labor Rate Escalation</t>
        </is>
      </c>
      <c r="H17" s="3" t="inlineStr"/>
    </row>
    <row r="18">
      <c r="A18" s="3" t="inlineStr">
        <is>
          <t>RSK-ESC</t>
        </is>
      </c>
      <c r="B18" s="3" t="inlineStr">
        <is>
          <t>Escalation Risk</t>
        </is>
      </c>
      <c r="C18" s="3" t="inlineStr">
        <is>
          <t>RSK-ESC-003</t>
        </is>
      </c>
      <c r="D18" s="3" t="inlineStr">
        <is>
          <t>Cost Escalation Exposure</t>
        </is>
      </c>
      <c r="E18" s="3" t="inlineStr">
        <is>
          <t>PKG-15</t>
        </is>
      </c>
      <c r="F18" s="3" t="inlineStr">
        <is>
          <t>R-010</t>
        </is>
      </c>
      <c r="G18" s="3" t="inlineStr">
        <is>
          <t>Currency Exchange Rate Fluctuation</t>
        </is>
      </c>
      <c r="H18" s="3" t="inlineStr"/>
    </row>
    <row r="19">
      <c r="A19" s="3" t="inlineStr">
        <is>
          <t>RSK-ESC</t>
        </is>
      </c>
      <c r="B19" s="3" t="inlineStr">
        <is>
          <t>Escalation Risk</t>
        </is>
      </c>
      <c r="C19" s="3" t="inlineStr">
        <is>
          <t>RSK-ESC-003</t>
        </is>
      </c>
      <c r="D19" s="3" t="inlineStr">
        <is>
          <t>Cost Escalation Exposure</t>
        </is>
      </c>
      <c r="E19" s="3" t="inlineStr">
        <is>
          <t>PKG-16</t>
        </is>
      </c>
      <c r="F19" s="3" t="inlineStr">
        <is>
          <t>R-1616</t>
        </is>
      </c>
      <c r="G19" s="3" t="inlineStr">
        <is>
          <t>Material Escalation Risk</t>
        </is>
      </c>
      <c r="H19" s="3" t="inlineStr"/>
    </row>
    <row r="20">
      <c r="A20" s="3" t="inlineStr">
        <is>
          <t>RSK-ESC</t>
        </is>
      </c>
      <c r="B20" s="3" t="inlineStr">
        <is>
          <t>Escalation Risk</t>
        </is>
      </c>
      <c r="C20" s="3" t="inlineStr">
        <is>
          <t>RSK-ESC-003</t>
        </is>
      </c>
      <c r="D20" s="3" t="inlineStr">
        <is>
          <t>Cost Escalation Exposure</t>
        </is>
      </c>
      <c r="E20" s="3" t="inlineStr">
        <is>
          <t>PKG-16</t>
        </is>
      </c>
      <c r="F20" s="3" t="inlineStr">
        <is>
          <t>R-1619</t>
        </is>
      </c>
      <c r="G20" s="3" t="inlineStr">
        <is>
          <t>Currency Exchange Risk</t>
        </is>
      </c>
      <c r="H20" s="3" t="inlineStr"/>
    </row>
    <row r="21">
      <c r="A21" s="3" t="inlineStr">
        <is>
          <t>RSK-ESC</t>
        </is>
      </c>
      <c r="B21" s="3" t="inlineStr">
        <is>
          <t>Escalation Risk</t>
        </is>
      </c>
      <c r="C21" s="3" t="inlineStr">
        <is>
          <t>RSK-ESC-003</t>
        </is>
      </c>
      <c r="D21" s="3" t="inlineStr">
        <is>
          <t>Cost Escalation Exposure</t>
        </is>
      </c>
      <c r="E21" s="3" t="inlineStr">
        <is>
          <t>PKG-22</t>
        </is>
      </c>
      <c r="F21" s="3" t="inlineStr">
        <is>
          <t>R-008</t>
        </is>
      </c>
      <c r="G21" s="3" t="inlineStr">
        <is>
          <t>Escalation Risk (2-3 Year Project Duration)</t>
        </is>
      </c>
      <c r="H21" s="3" t="inlineStr"/>
    </row>
    <row r="22">
      <c r="A22" s="3" t="inlineStr">
        <is>
          <t>RSK-ESC</t>
        </is>
      </c>
      <c r="B22" s="3" t="inlineStr">
        <is>
          <t>Escalation Risk</t>
        </is>
      </c>
      <c r="C22" s="3" t="inlineStr">
        <is>
          <t>RSK-ESC-003</t>
        </is>
      </c>
      <c r="D22" s="3" t="inlineStr">
        <is>
          <t>Cost Escalation Exposure</t>
        </is>
      </c>
      <c r="E22" s="3" t="inlineStr">
        <is>
          <t>PKG-23</t>
        </is>
      </c>
      <c r="F22" s="3" t="inlineStr">
        <is>
          <t>R-008</t>
        </is>
      </c>
      <c r="G22" s="3" t="inlineStr">
        <is>
          <t>Escalation Risk</t>
        </is>
      </c>
      <c r="H22" s="3" t="inlineStr"/>
    </row>
    <row r="23">
      <c r="A23" s="3" t="inlineStr">
        <is>
          <t>RSK-ESC</t>
        </is>
      </c>
      <c r="B23" s="3" t="inlineStr">
        <is>
          <t>Escalation Risk</t>
        </is>
      </c>
      <c r="C23" s="3" t="inlineStr">
        <is>
          <t>RSK-ESC-003</t>
        </is>
      </c>
      <c r="D23" s="3" t="inlineStr">
        <is>
          <t>Cost Escalation Exposure</t>
        </is>
      </c>
      <c r="E23" s="3" t="inlineStr">
        <is>
          <t>PKG-31</t>
        </is>
      </c>
      <c r="F23" s="3" t="inlineStr">
        <is>
          <t>R-008</t>
        </is>
      </c>
      <c r="G23" s="3" t="inlineStr">
        <is>
          <t>Printing/Binding Cost Escalation</t>
        </is>
      </c>
      <c r="H23" s="3" t="inlineStr"/>
    </row>
    <row r="24">
      <c r="A24" s="3" t="inlineStr">
        <is>
          <t>RSK-ESC</t>
        </is>
      </c>
      <c r="B24" s="3" t="inlineStr">
        <is>
          <t>Escalation Risk</t>
        </is>
      </c>
      <c r="C24" s="3" t="inlineStr">
        <is>
          <t>RSK-ESC-003</t>
        </is>
      </c>
      <c r="D24" s="3" t="inlineStr">
        <is>
          <t>Cost Escalation Exposure</t>
        </is>
      </c>
      <c r="E24" s="3" t="inlineStr">
        <is>
          <t>PKG-32</t>
        </is>
      </c>
      <c r="F24" s="3" t="inlineStr">
        <is>
          <t>R-3205</t>
        </is>
      </c>
      <c r="G24" s="3" t="inlineStr">
        <is>
          <t>Permit Fee Escalation</t>
        </is>
      </c>
      <c r="H24" s="3" t="inlineStr"/>
    </row>
    <row r="25">
      <c r="A25" s="3" t="inlineStr">
        <is>
          <t>RSK-ESC</t>
        </is>
      </c>
      <c r="B25" s="3" t="inlineStr">
        <is>
          <t>Escalation Risk</t>
        </is>
      </c>
      <c r="C25" s="3" t="inlineStr">
        <is>
          <t>RSK-ESC-003</t>
        </is>
      </c>
      <c r="D25" s="3" t="inlineStr">
        <is>
          <t>Cost Escalation Exposure</t>
        </is>
      </c>
      <c r="E25" s="3" t="inlineStr">
        <is>
          <t>PKG-32</t>
        </is>
      </c>
      <c r="F25" s="3" t="inlineStr">
        <is>
          <t>R-3206</t>
        </is>
      </c>
      <c r="G25" s="3" t="inlineStr">
        <is>
          <t>Resource Rate Escalation</t>
        </is>
      </c>
      <c r="H25" s="3" t="inlineStr"/>
    </row>
    <row r="26">
      <c r="A26" s="3" t="inlineStr">
        <is>
          <t>RSK-ESC</t>
        </is>
      </c>
      <c r="B26" s="3" t="inlineStr">
        <is>
          <t>Escalation Risk</t>
        </is>
      </c>
      <c r="C26" s="3" t="inlineStr">
        <is>
          <t>RSK-ESC-003</t>
        </is>
      </c>
      <c r="D26" s="3" t="inlineStr">
        <is>
          <t>Cost Escalation Exposure</t>
        </is>
      </c>
      <c r="E26" s="3" t="inlineStr">
        <is>
          <t>PKG-33</t>
        </is>
      </c>
      <c r="F26" s="3" t="inlineStr">
        <is>
          <t>R-007</t>
        </is>
      </c>
      <c r="G26" s="3" t="inlineStr">
        <is>
          <t>HSE Labor Market Escalation</t>
        </is>
      </c>
      <c r="H26" s="3" t="inlineStr"/>
    </row>
    <row r="27">
      <c r="A27" s="3" t="inlineStr">
        <is>
          <t>RSK-ESC</t>
        </is>
      </c>
      <c r="B27" s="3" t="inlineStr">
        <is>
          <t>Escalation Risk</t>
        </is>
      </c>
      <c r="C27" s="3" t="inlineStr">
        <is>
          <t>RSK-ESC-003</t>
        </is>
      </c>
      <c r="D27" s="3" t="inlineStr">
        <is>
          <t>Cost Escalation Exposure</t>
        </is>
      </c>
      <c r="E27" s="3" t="inlineStr">
        <is>
          <t>PKG-34</t>
        </is>
      </c>
      <c r="F27" s="3" t="inlineStr">
        <is>
          <t>R-008</t>
        </is>
      </c>
      <c r="G27" s="3" t="inlineStr">
        <is>
          <t>Escalation Exposure — Labor Rate Increases</t>
        </is>
      </c>
      <c r="H27" s="3" t="inlineStr"/>
    </row>
    <row r="28">
      <c r="A28" s="3" t="inlineStr">
        <is>
          <t>RSK-ESC</t>
        </is>
      </c>
      <c r="B28" s="3" t="inlineStr">
        <is>
          <t>Escalation Risk</t>
        </is>
      </c>
      <c r="C28" s="3" t="inlineStr">
        <is>
          <t>RSK-ESC-003</t>
        </is>
      </c>
      <c r="D28" s="3" t="inlineStr">
        <is>
          <t>Cost Escalation Exposure</t>
        </is>
      </c>
      <c r="E28" s="3" t="inlineStr">
        <is>
          <t>PKG-35</t>
        </is>
      </c>
      <c r="F28" s="3" t="inlineStr">
        <is>
          <t>R-008</t>
        </is>
      </c>
      <c r="G28" s="3" t="inlineStr">
        <is>
          <t>Escalation Exposure (MEDIUM)</t>
        </is>
      </c>
      <c r="H28" s="3" t="inlineStr">
        <is>
          <t>MEDIUM</t>
        </is>
      </c>
    </row>
    <row r="29">
      <c r="A29" s="3" t="inlineStr">
        <is>
          <t>RSK-INTF</t>
        </is>
      </c>
      <c r="B29" s="3" t="inlineStr">
        <is>
          <t>Interface Risk</t>
        </is>
      </c>
      <c r="C29" s="3" t="inlineStr">
        <is>
          <t>RSK-INTF-004</t>
        </is>
      </c>
      <c r="D29" s="3" t="inlineStr">
        <is>
          <t>Interface &amp; Coordination Risk</t>
        </is>
      </c>
      <c r="E29" s="3" t="inlineStr">
        <is>
          <t>PKG-00</t>
        </is>
      </c>
      <c r="F29" s="3" t="inlineStr">
        <is>
          <t>R-004</t>
        </is>
      </c>
      <c r="G29" s="3" t="inlineStr">
        <is>
          <t>Terminal Operational Constraints and Interface Complexity</t>
        </is>
      </c>
      <c r="H29" s="3" t="inlineStr"/>
    </row>
    <row r="30">
      <c r="A30" s="3" t="inlineStr">
        <is>
          <t>RSK-INTF</t>
        </is>
      </c>
      <c r="B30" s="3" t="inlineStr">
        <is>
          <t>Interface Risk</t>
        </is>
      </c>
      <c r="C30" s="3" t="inlineStr">
        <is>
          <t>RSK-INTF-004</t>
        </is>
      </c>
      <c r="D30" s="3" t="inlineStr">
        <is>
          <t>Interface &amp; Coordination Risk</t>
        </is>
      </c>
      <c r="E30" s="3" t="inlineStr">
        <is>
          <t>PKG-05</t>
        </is>
      </c>
      <c r="F30" s="3" t="inlineStr">
        <is>
          <t>R-006</t>
        </is>
      </c>
      <c r="G30" s="3" t="inlineStr">
        <is>
          <t>Interface Coordination Complexity</t>
        </is>
      </c>
      <c r="H30" s="3" t="inlineStr"/>
    </row>
    <row r="31">
      <c r="A31" s="3" t="inlineStr">
        <is>
          <t>RSK-INTF</t>
        </is>
      </c>
      <c r="B31" s="3" t="inlineStr">
        <is>
          <t>Interface Risk</t>
        </is>
      </c>
      <c r="C31" s="3" t="inlineStr">
        <is>
          <t>RSK-INTF-004</t>
        </is>
      </c>
      <c r="D31" s="3" t="inlineStr">
        <is>
          <t>Interface &amp; Coordination Risk</t>
        </is>
      </c>
      <c r="E31" s="3" t="inlineStr">
        <is>
          <t>PKG-10</t>
        </is>
      </c>
      <c r="F31" s="3" t="inlineStr">
        <is>
          <t>R-005</t>
        </is>
      </c>
      <c r="G31" s="3" t="inlineStr">
        <is>
          <t>Interface Coordination Risk</t>
        </is>
      </c>
      <c r="H31" s="3" t="inlineStr"/>
    </row>
    <row r="32">
      <c r="A32" s="3" t="inlineStr">
        <is>
          <t>RSK-INTF</t>
        </is>
      </c>
      <c r="B32" s="3" t="inlineStr">
        <is>
          <t>Interface Risk</t>
        </is>
      </c>
      <c r="C32" s="3" t="inlineStr">
        <is>
          <t>RSK-INTF-004</t>
        </is>
      </c>
      <c r="D32" s="3" t="inlineStr">
        <is>
          <t>Interface &amp; Coordination Risk</t>
        </is>
      </c>
      <c r="E32" s="3" t="inlineStr">
        <is>
          <t>PKG-10</t>
        </is>
      </c>
      <c r="F32" s="3" t="inlineStr">
        <is>
          <t>R-010</t>
        </is>
      </c>
      <c r="G32" s="3" t="inlineStr">
        <is>
          <t>PKG-07 Rail Track Interface Risk</t>
        </is>
      </c>
      <c r="H32" s="3" t="inlineStr"/>
    </row>
    <row r="33">
      <c r="A33" s="3" t="inlineStr">
        <is>
          <t>RSK-INTF</t>
        </is>
      </c>
      <c r="B33" s="3" t="inlineStr">
        <is>
          <t>Interface Risk</t>
        </is>
      </c>
      <c r="C33" s="3" t="inlineStr">
        <is>
          <t>RSK-INTF-004</t>
        </is>
      </c>
      <c r="D33" s="3" t="inlineStr">
        <is>
          <t>Interface &amp; Coordination Risk</t>
        </is>
      </c>
      <c r="E33" s="3" t="inlineStr">
        <is>
          <t>PKG-11</t>
        </is>
      </c>
      <c r="F33" s="3" t="inlineStr">
        <is>
          <t>R-005</t>
        </is>
      </c>
      <c r="G33" s="3" t="inlineStr">
        <is>
          <t>Interface - PKG-08</t>
        </is>
      </c>
      <c r="H33" s="3" t="inlineStr"/>
    </row>
    <row r="34">
      <c r="A34" s="3" t="inlineStr">
        <is>
          <t>RSK-INTF</t>
        </is>
      </c>
      <c r="B34" s="3" t="inlineStr">
        <is>
          <t>Interface Risk</t>
        </is>
      </c>
      <c r="C34" s="3" t="inlineStr">
        <is>
          <t>RSK-INTF-004</t>
        </is>
      </c>
      <c r="D34" s="3" t="inlineStr">
        <is>
          <t>Interface &amp; Coordination Risk</t>
        </is>
      </c>
      <c r="E34" s="3" t="inlineStr">
        <is>
          <t>PKG-11</t>
        </is>
      </c>
      <c r="F34" s="3" t="inlineStr">
        <is>
          <t>R-009</t>
        </is>
      </c>
      <c r="G34" s="3" t="inlineStr">
        <is>
          <t>Interface - PKG-19</t>
        </is>
      </c>
      <c r="H34" s="3" t="inlineStr"/>
    </row>
    <row r="35">
      <c r="A35" s="3" t="inlineStr">
        <is>
          <t>RSK-INTF</t>
        </is>
      </c>
      <c r="B35" s="3" t="inlineStr">
        <is>
          <t>Interface Risk</t>
        </is>
      </c>
      <c r="C35" s="3" t="inlineStr">
        <is>
          <t>RSK-INTF-004</t>
        </is>
      </c>
      <c r="D35" s="3" t="inlineStr">
        <is>
          <t>Interface &amp; Coordination Risk</t>
        </is>
      </c>
      <c r="E35" s="3" t="inlineStr">
        <is>
          <t>PKG-14</t>
        </is>
      </c>
      <c r="F35" s="3" t="inlineStr">
        <is>
          <t>R-006</t>
        </is>
      </c>
      <c r="G35" s="3" t="inlineStr">
        <is>
          <t>Interface - PKG-10</t>
        </is>
      </c>
      <c r="H35" s="3" t="inlineStr"/>
    </row>
    <row r="36">
      <c r="A36" s="3" t="inlineStr">
        <is>
          <t>RSK-INTF</t>
        </is>
      </c>
      <c r="B36" s="3" t="inlineStr">
        <is>
          <t>Interface Risk</t>
        </is>
      </c>
      <c r="C36" s="3" t="inlineStr">
        <is>
          <t>RSK-INTF-004</t>
        </is>
      </c>
      <c r="D36" s="3" t="inlineStr">
        <is>
          <t>Interface &amp; Coordination Risk</t>
        </is>
      </c>
      <c r="E36" s="3" t="inlineStr">
        <is>
          <t>PKG-14</t>
        </is>
      </c>
      <c r="F36" s="3" t="inlineStr">
        <is>
          <t>R-007</t>
        </is>
      </c>
      <c r="G36" s="3" t="inlineStr">
        <is>
          <t>Interface - PKG-11</t>
        </is>
      </c>
      <c r="H36" s="3" t="inlineStr"/>
    </row>
    <row r="37">
      <c r="A37" s="3" t="inlineStr">
        <is>
          <t>RSK-INTF</t>
        </is>
      </c>
      <c r="B37" s="3" t="inlineStr">
        <is>
          <t>Interface Risk</t>
        </is>
      </c>
      <c r="C37" s="3" t="inlineStr">
        <is>
          <t>RSK-INTF-004</t>
        </is>
      </c>
      <c r="D37" s="3" t="inlineStr">
        <is>
          <t>Interface &amp; Coordination Risk</t>
        </is>
      </c>
      <c r="E37" s="3" t="inlineStr">
        <is>
          <t>PKG-14</t>
        </is>
      </c>
      <c r="F37" s="3" t="inlineStr">
        <is>
          <t>R-008</t>
        </is>
      </c>
      <c r="G37" s="3" t="inlineStr">
        <is>
          <t>Interface - PKG-13</t>
        </is>
      </c>
      <c r="H37" s="3" t="inlineStr"/>
    </row>
    <row r="38">
      <c r="A38" s="3" t="inlineStr">
        <is>
          <t>RSK-INTF</t>
        </is>
      </c>
      <c r="B38" s="3" t="inlineStr">
        <is>
          <t>Interface Risk</t>
        </is>
      </c>
      <c r="C38" s="3" t="inlineStr">
        <is>
          <t>RSK-INTF-004</t>
        </is>
      </c>
      <c r="D38" s="3" t="inlineStr">
        <is>
          <t>Interface &amp; Coordination Risk</t>
        </is>
      </c>
      <c r="E38" s="3" t="inlineStr">
        <is>
          <t>PKG-14</t>
        </is>
      </c>
      <c r="F38" s="3" t="inlineStr">
        <is>
          <t>R-009</t>
        </is>
      </c>
      <c r="G38" s="3" t="inlineStr">
        <is>
          <t>Interface - PKG-15</t>
        </is>
      </c>
      <c r="H38" s="3" t="inlineStr"/>
    </row>
    <row r="39">
      <c r="A39" s="3" t="inlineStr">
        <is>
          <t>RSK-INTF</t>
        </is>
      </c>
      <c r="B39" s="3" t="inlineStr">
        <is>
          <t>Interface Risk</t>
        </is>
      </c>
      <c r="C39" s="3" t="inlineStr">
        <is>
          <t>RSK-INTF-004</t>
        </is>
      </c>
      <c r="D39" s="3" t="inlineStr">
        <is>
          <t>Interface &amp; Coordination Risk</t>
        </is>
      </c>
      <c r="E39" s="3" t="inlineStr">
        <is>
          <t>PKG-16</t>
        </is>
      </c>
      <c r="F39" s="3" t="inlineStr">
        <is>
          <t>R-1608</t>
        </is>
      </c>
      <c r="G39" s="3" t="inlineStr">
        <is>
          <t>Relief Valve Set Pressure and Protected Equipment Coordina..</t>
        </is>
      </c>
      <c r="H39" s="3" t="inlineStr"/>
    </row>
    <row r="40">
      <c r="A40" s="3" t="inlineStr">
        <is>
          <t>RSK-INTF</t>
        </is>
      </c>
      <c r="B40" s="3" t="inlineStr">
        <is>
          <t>Interface Risk</t>
        </is>
      </c>
      <c r="C40" s="3" t="inlineStr">
        <is>
          <t>RSK-INTF-004</t>
        </is>
      </c>
      <c r="D40" s="3" t="inlineStr">
        <is>
          <t>Interface &amp; Coordination Risk</t>
        </is>
      </c>
      <c r="E40" s="3" t="inlineStr">
        <is>
          <t>PKG-22</t>
        </is>
      </c>
      <c r="F40" s="3" t="inlineStr">
        <is>
          <t>R-007</t>
        </is>
      </c>
      <c r="G40" s="3" t="inlineStr">
        <is>
          <t>PKG-19 Control System Interface Scope Split</t>
        </is>
      </c>
      <c r="H40" s="3" t="inlineStr"/>
    </row>
    <row r="41">
      <c r="A41" s="3" t="inlineStr">
        <is>
          <t>RSK-INTF</t>
        </is>
      </c>
      <c r="B41" s="3" t="inlineStr">
        <is>
          <t>Interface Risk</t>
        </is>
      </c>
      <c r="C41" s="3" t="inlineStr">
        <is>
          <t>RSK-INTF-004</t>
        </is>
      </c>
      <c r="D41" s="3" t="inlineStr">
        <is>
          <t>Interface &amp; Coordination Risk</t>
        </is>
      </c>
      <c r="E41" s="3" t="inlineStr">
        <is>
          <t>PKG-22</t>
        </is>
      </c>
      <c r="F41" s="3" t="inlineStr">
        <is>
          <t>R-011</t>
        </is>
      </c>
      <c r="G41" s="3" t="inlineStr">
        <is>
          <t>Fire Alarm System Interface (PKG-23 vs PKG-22)</t>
        </is>
      </c>
      <c r="H41" s="3" t="inlineStr"/>
    </row>
    <row r="42">
      <c r="A42" s="3" t="inlineStr">
        <is>
          <t>RSK-INTF</t>
        </is>
      </c>
      <c r="B42" s="3" t="inlineStr">
        <is>
          <t>Interface Risk</t>
        </is>
      </c>
      <c r="C42" s="3" t="inlineStr">
        <is>
          <t>RSK-INTF-004</t>
        </is>
      </c>
      <c r="D42" s="3" t="inlineStr">
        <is>
          <t>Interface &amp; Coordination Risk</t>
        </is>
      </c>
      <c r="E42" s="3" t="inlineStr">
        <is>
          <t>PKG-32</t>
        </is>
      </c>
      <c r="F42" s="3" t="inlineStr">
        <is>
          <t>R-3207</t>
        </is>
      </c>
      <c r="G42" s="3" t="inlineStr">
        <is>
          <t>Coordination and Interface Complexity</t>
        </is>
      </c>
      <c r="H42" s="3" t="inlineStr"/>
    </row>
    <row r="43">
      <c r="A43" s="3" t="inlineStr">
        <is>
          <t>RSK-INTF</t>
        </is>
      </c>
      <c r="B43" s="3" t="inlineStr">
        <is>
          <t>Interface Risk</t>
        </is>
      </c>
      <c r="C43" s="3" t="inlineStr">
        <is>
          <t>RSK-INTF-004</t>
        </is>
      </c>
      <c r="D43" s="3" t="inlineStr">
        <is>
          <t>Interface &amp; Coordination Risk</t>
        </is>
      </c>
      <c r="E43" s="3" t="inlineStr">
        <is>
          <t>PKG-34</t>
        </is>
      </c>
      <c r="F43" s="3" t="inlineStr">
        <is>
          <t>R-001</t>
        </is>
      </c>
      <c r="G43" s="3" t="inlineStr">
        <is>
          <t>Interface Agreement Complexity and Count</t>
        </is>
      </c>
      <c r="H43" s="3" t="inlineStr"/>
    </row>
    <row r="44">
      <c r="A44" s="3" t="inlineStr">
        <is>
          <t>RSK-INTF</t>
        </is>
      </c>
      <c r="B44" s="3" t="inlineStr">
        <is>
          <t>Interface Risk</t>
        </is>
      </c>
      <c r="C44" s="3" t="inlineStr">
        <is>
          <t>RSK-INTF-004</t>
        </is>
      </c>
      <c r="D44" s="3" t="inlineStr">
        <is>
          <t>Interface &amp; Coordination Risk</t>
        </is>
      </c>
      <c r="E44" s="3" t="inlineStr">
        <is>
          <t>PKG-34</t>
        </is>
      </c>
      <c r="F44" s="3" t="inlineStr">
        <is>
          <t>R-006</t>
        </is>
      </c>
      <c r="G44" s="3" t="inlineStr">
        <is>
          <t>Terminal Operations Interface Complexity</t>
        </is>
      </c>
      <c r="H44" s="3" t="inlineStr"/>
    </row>
    <row r="45">
      <c r="A45" s="3" t="inlineStr">
        <is>
          <t>RSK-INTF</t>
        </is>
      </c>
      <c r="B45" s="3" t="inlineStr">
        <is>
          <t>Interface Risk</t>
        </is>
      </c>
      <c r="C45" s="3" t="inlineStr">
        <is>
          <t>RSK-INTF-005</t>
        </is>
      </c>
      <c r="D45" s="3" t="inlineStr">
        <is>
          <t>PKG-27 R-2701</t>
        </is>
      </c>
      <c r="E45" s="3" t="inlineStr">
        <is>
          <t>PKG-27</t>
        </is>
      </c>
      <c r="F45" s="3" t="inlineStr">
        <is>
          <t>R-2701</t>
        </is>
      </c>
      <c r="G45" s="3" t="inlineStr">
        <is>
          <t>PKG-27 R-2701</t>
        </is>
      </c>
      <c r="H45" s="3" t="inlineStr"/>
    </row>
    <row r="46">
      <c r="A46" s="3" t="inlineStr">
        <is>
          <t>RSK-INTF</t>
        </is>
      </c>
      <c r="B46" s="3" t="inlineStr">
        <is>
          <t>Interface Risk</t>
        </is>
      </c>
      <c r="C46" s="3" t="inlineStr">
        <is>
          <t>RSK-INTF-005</t>
        </is>
      </c>
      <c r="D46" s="3" t="inlineStr">
        <is>
          <t>PKG-27 R-2701</t>
        </is>
      </c>
      <c r="E46" s="3" t="inlineStr">
        <is>
          <t>PKG-27</t>
        </is>
      </c>
      <c r="F46" s="3" t="inlineStr">
        <is>
          <t>R-2702</t>
        </is>
      </c>
      <c r="G46" s="3" t="inlineStr">
        <is>
          <t>PKG-27 R-2702</t>
        </is>
      </c>
      <c r="H46" s="3" t="inlineStr"/>
    </row>
    <row r="47">
      <c r="A47" s="3" t="inlineStr">
        <is>
          <t>RSK-INTF</t>
        </is>
      </c>
      <c r="B47" s="3" t="inlineStr">
        <is>
          <t>Interface Risk</t>
        </is>
      </c>
      <c r="C47" s="3" t="inlineStr">
        <is>
          <t>RSK-INTF-005</t>
        </is>
      </c>
      <c r="D47" s="3" t="inlineStr">
        <is>
          <t>PKG-27 R-2701</t>
        </is>
      </c>
      <c r="E47" s="3" t="inlineStr">
        <is>
          <t>PKG-27</t>
        </is>
      </c>
      <c r="F47" s="3" t="inlineStr">
        <is>
          <t>R-2703</t>
        </is>
      </c>
      <c r="G47" s="3" t="inlineStr">
        <is>
          <t>PKG-27 R-2703</t>
        </is>
      </c>
      <c r="H47" s="3" t="inlineStr"/>
    </row>
    <row r="48">
      <c r="A48" s="3" t="inlineStr">
        <is>
          <t>RSK-INTF</t>
        </is>
      </c>
      <c r="B48" s="3" t="inlineStr">
        <is>
          <t>Interface Risk</t>
        </is>
      </c>
      <c r="C48" s="3" t="inlineStr">
        <is>
          <t>RSK-INTF-005</t>
        </is>
      </c>
      <c r="D48" s="3" t="inlineStr">
        <is>
          <t>PKG-27 R-2701</t>
        </is>
      </c>
      <c r="E48" s="3" t="inlineStr">
        <is>
          <t>PKG-27</t>
        </is>
      </c>
      <c r="F48" s="3" t="inlineStr">
        <is>
          <t>R-2704</t>
        </is>
      </c>
      <c r="G48" s="3" t="inlineStr">
        <is>
          <t>PKG-27 R-2704</t>
        </is>
      </c>
      <c r="H48" s="3" t="inlineStr"/>
    </row>
    <row r="49">
      <c r="A49" s="3" t="inlineStr">
        <is>
          <t>RSK-INTF</t>
        </is>
      </c>
      <c r="B49" s="3" t="inlineStr">
        <is>
          <t>Interface Risk</t>
        </is>
      </c>
      <c r="C49" s="3" t="inlineStr">
        <is>
          <t>RSK-INTF-005</t>
        </is>
      </c>
      <c r="D49" s="3" t="inlineStr">
        <is>
          <t>PKG-27 R-2701</t>
        </is>
      </c>
      <c r="E49" s="3" t="inlineStr">
        <is>
          <t>PKG-27</t>
        </is>
      </c>
      <c r="F49" s="3" t="inlineStr">
        <is>
          <t>R-2705</t>
        </is>
      </c>
      <c r="G49" s="3" t="inlineStr">
        <is>
          <t>PKG-27 R-2705</t>
        </is>
      </c>
      <c r="H49" s="3" t="inlineStr"/>
    </row>
    <row r="50">
      <c r="A50" s="3" t="inlineStr">
        <is>
          <t>RSK-INTF</t>
        </is>
      </c>
      <c r="B50" s="3" t="inlineStr">
        <is>
          <t>Interface Risk</t>
        </is>
      </c>
      <c r="C50" s="3" t="inlineStr">
        <is>
          <t>RSK-INTF-005</t>
        </is>
      </c>
      <c r="D50" s="3" t="inlineStr">
        <is>
          <t>PKG-27 R-2701</t>
        </is>
      </c>
      <c r="E50" s="3" t="inlineStr">
        <is>
          <t>PKG-27</t>
        </is>
      </c>
      <c r="F50" s="3" t="inlineStr">
        <is>
          <t>R-2706</t>
        </is>
      </c>
      <c r="G50" s="3" t="inlineStr">
        <is>
          <t>PKG-27 R-2706</t>
        </is>
      </c>
      <c r="H50" s="3" t="inlineStr"/>
    </row>
    <row r="51">
      <c r="A51" s="3" t="inlineStr">
        <is>
          <t>RSK-INTF</t>
        </is>
      </c>
      <c r="B51" s="3" t="inlineStr">
        <is>
          <t>Interface Risk</t>
        </is>
      </c>
      <c r="C51" s="3" t="inlineStr">
        <is>
          <t>RSK-INTF-005</t>
        </is>
      </c>
      <c r="D51" s="3" t="inlineStr">
        <is>
          <t>PKG-27 R-2701</t>
        </is>
      </c>
      <c r="E51" s="3" t="inlineStr">
        <is>
          <t>PKG-27</t>
        </is>
      </c>
      <c r="F51" s="3" t="inlineStr">
        <is>
          <t>R-2707</t>
        </is>
      </c>
      <c r="G51" s="3" t="inlineStr">
        <is>
          <t>PKG-27 R-2707</t>
        </is>
      </c>
      <c r="H51" s="3" t="inlineStr"/>
    </row>
    <row r="52">
      <c r="A52" s="3" t="inlineStr">
        <is>
          <t>RSK-INTF</t>
        </is>
      </c>
      <c r="B52" s="3" t="inlineStr">
        <is>
          <t>Interface Risk</t>
        </is>
      </c>
      <c r="C52" s="3" t="inlineStr">
        <is>
          <t>RSK-INTF-005</t>
        </is>
      </c>
      <c r="D52" s="3" t="inlineStr">
        <is>
          <t>PKG-27 R-2701</t>
        </is>
      </c>
      <c r="E52" s="3" t="inlineStr">
        <is>
          <t>PKG-27</t>
        </is>
      </c>
      <c r="F52" s="3" t="inlineStr">
        <is>
          <t>R-2708</t>
        </is>
      </c>
      <c r="G52" s="3" t="inlineStr">
        <is>
          <t>PKG-27 R-2708</t>
        </is>
      </c>
      <c r="H52" s="3" t="inlineStr"/>
    </row>
    <row r="53">
      <c r="A53" s="3" t="inlineStr">
        <is>
          <t>RSK-INTF</t>
        </is>
      </c>
      <c r="B53" s="3" t="inlineStr">
        <is>
          <t>Interface Risk</t>
        </is>
      </c>
      <c r="C53" s="3" t="inlineStr">
        <is>
          <t>RSK-INTF-005</t>
        </is>
      </c>
      <c r="D53" s="3" t="inlineStr">
        <is>
          <t>PKG-27 R-2701</t>
        </is>
      </c>
      <c r="E53" s="3" t="inlineStr">
        <is>
          <t>PKG-27</t>
        </is>
      </c>
      <c r="F53" s="3" t="inlineStr">
        <is>
          <t>R-2709</t>
        </is>
      </c>
      <c r="G53" s="3" t="inlineStr">
        <is>
          <t>PKG-27 R-2709</t>
        </is>
      </c>
      <c r="H53" s="3" t="inlineStr"/>
    </row>
    <row r="54">
      <c r="A54" s="3" t="inlineStr">
        <is>
          <t>RSK-INTF</t>
        </is>
      </c>
      <c r="B54" s="3" t="inlineStr">
        <is>
          <t>Interface Risk</t>
        </is>
      </c>
      <c r="C54" s="3" t="inlineStr">
        <is>
          <t>RSK-INTF-005</t>
        </is>
      </c>
      <c r="D54" s="3" t="inlineStr">
        <is>
          <t>PKG-27 R-2701</t>
        </is>
      </c>
      <c r="E54" s="3" t="inlineStr">
        <is>
          <t>PKG-27</t>
        </is>
      </c>
      <c r="F54" s="3" t="inlineStr">
        <is>
          <t>R-2710</t>
        </is>
      </c>
      <c r="G54" s="3" t="inlineStr">
        <is>
          <t>PKG-27 R-2710</t>
        </is>
      </c>
      <c r="H54" s="3" t="inlineStr"/>
    </row>
    <row r="55">
      <c r="A55" s="3" t="inlineStr">
        <is>
          <t>RSK-INTF</t>
        </is>
      </c>
      <c r="B55" s="3" t="inlineStr">
        <is>
          <t>Interface Risk</t>
        </is>
      </c>
      <c r="C55" s="3" t="inlineStr">
        <is>
          <t>RSK-INTF-005</t>
        </is>
      </c>
      <c r="D55" s="3" t="inlineStr">
        <is>
          <t>PKG-27 R-2701</t>
        </is>
      </c>
      <c r="E55" s="3" t="inlineStr">
        <is>
          <t>PKG-28</t>
        </is>
      </c>
      <c r="F55" s="3" t="inlineStr">
        <is>
          <t>R-2801</t>
        </is>
      </c>
      <c r="G55" s="3" t="inlineStr">
        <is>
          <t>PKG-28 R-2801</t>
        </is>
      </c>
      <c r="H55" s="3" t="inlineStr"/>
    </row>
    <row r="56">
      <c r="A56" s="3" t="inlineStr">
        <is>
          <t>RSK-INTF</t>
        </is>
      </c>
      <c r="B56" s="3" t="inlineStr">
        <is>
          <t>Interface Risk</t>
        </is>
      </c>
      <c r="C56" s="3" t="inlineStr">
        <is>
          <t>RSK-INTF-005</t>
        </is>
      </c>
      <c r="D56" s="3" t="inlineStr">
        <is>
          <t>PKG-27 R-2701</t>
        </is>
      </c>
      <c r="E56" s="3" t="inlineStr">
        <is>
          <t>PKG-28</t>
        </is>
      </c>
      <c r="F56" s="3" t="inlineStr">
        <is>
          <t>R-2802</t>
        </is>
      </c>
      <c r="G56" s="3" t="inlineStr">
        <is>
          <t>PKG-28 R-2802</t>
        </is>
      </c>
      <c r="H56" s="3" t="inlineStr"/>
    </row>
    <row r="57">
      <c r="A57" s="3" t="inlineStr">
        <is>
          <t>RSK-INTF</t>
        </is>
      </c>
      <c r="B57" s="3" t="inlineStr">
        <is>
          <t>Interface Risk</t>
        </is>
      </c>
      <c r="C57" s="3" t="inlineStr">
        <is>
          <t>RSK-INTF-005</t>
        </is>
      </c>
      <c r="D57" s="3" t="inlineStr">
        <is>
          <t>PKG-27 R-2701</t>
        </is>
      </c>
      <c r="E57" s="3" t="inlineStr">
        <is>
          <t>PKG-28</t>
        </is>
      </c>
      <c r="F57" s="3" t="inlineStr">
        <is>
          <t>R-2803</t>
        </is>
      </c>
      <c r="G57" s="3" t="inlineStr">
        <is>
          <t>PKG-28 R-2803</t>
        </is>
      </c>
      <c r="H57" s="3" t="inlineStr"/>
    </row>
    <row r="58">
      <c r="A58" s="3" t="inlineStr">
        <is>
          <t>RSK-INTF</t>
        </is>
      </c>
      <c r="B58" s="3" t="inlineStr">
        <is>
          <t>Interface Risk</t>
        </is>
      </c>
      <c r="C58" s="3" t="inlineStr">
        <is>
          <t>RSK-INTF-005</t>
        </is>
      </c>
      <c r="D58" s="3" t="inlineStr">
        <is>
          <t>PKG-27 R-2701</t>
        </is>
      </c>
      <c r="E58" s="3" t="inlineStr">
        <is>
          <t>PKG-28</t>
        </is>
      </c>
      <c r="F58" s="3" t="inlineStr">
        <is>
          <t>R-2804</t>
        </is>
      </c>
      <c r="G58" s="3" t="inlineStr">
        <is>
          <t>PKG-28 R-2804</t>
        </is>
      </c>
      <c r="H58" s="3" t="inlineStr"/>
    </row>
    <row r="59">
      <c r="A59" s="3" t="inlineStr">
        <is>
          <t>RSK-INTF</t>
        </is>
      </c>
      <c r="B59" s="3" t="inlineStr">
        <is>
          <t>Interface Risk</t>
        </is>
      </c>
      <c r="C59" s="3" t="inlineStr">
        <is>
          <t>RSK-INTF-005</t>
        </is>
      </c>
      <c r="D59" s="3" t="inlineStr">
        <is>
          <t>PKG-27 R-2701</t>
        </is>
      </c>
      <c r="E59" s="3" t="inlineStr">
        <is>
          <t>PKG-28</t>
        </is>
      </c>
      <c r="F59" s="3" t="inlineStr">
        <is>
          <t>R-2805</t>
        </is>
      </c>
      <c r="G59" s="3" t="inlineStr">
        <is>
          <t>PKG-28 R-2805</t>
        </is>
      </c>
      <c r="H59" s="3" t="inlineStr"/>
    </row>
    <row r="60">
      <c r="A60" s="3" t="inlineStr">
        <is>
          <t>RSK-INTF</t>
        </is>
      </c>
      <c r="B60" s="3" t="inlineStr">
        <is>
          <t>Interface Risk</t>
        </is>
      </c>
      <c r="C60" s="3" t="inlineStr">
        <is>
          <t>RSK-INTF-005</t>
        </is>
      </c>
      <c r="D60" s="3" t="inlineStr">
        <is>
          <t>PKG-27 R-2701</t>
        </is>
      </c>
      <c r="E60" s="3" t="inlineStr">
        <is>
          <t>PKG-28</t>
        </is>
      </c>
      <c r="F60" s="3" t="inlineStr">
        <is>
          <t>R-2806</t>
        </is>
      </c>
      <c r="G60" s="3" t="inlineStr">
        <is>
          <t>PKG-28 R-2806</t>
        </is>
      </c>
      <c r="H60" s="3" t="inlineStr"/>
    </row>
    <row r="61">
      <c r="A61" s="3" t="inlineStr">
        <is>
          <t>RSK-INTF</t>
        </is>
      </c>
      <c r="B61" s="3" t="inlineStr">
        <is>
          <t>Interface Risk</t>
        </is>
      </c>
      <c r="C61" s="3" t="inlineStr">
        <is>
          <t>RSK-INTF-005</t>
        </is>
      </c>
      <c r="D61" s="3" t="inlineStr">
        <is>
          <t>PKG-27 R-2701</t>
        </is>
      </c>
      <c r="E61" s="3" t="inlineStr">
        <is>
          <t>PKG-28</t>
        </is>
      </c>
      <c r="F61" s="3" t="inlineStr">
        <is>
          <t>R-2807</t>
        </is>
      </c>
      <c r="G61" s="3" t="inlineStr">
        <is>
          <t>PKG-28 R-2807</t>
        </is>
      </c>
      <c r="H61" s="3" t="inlineStr"/>
    </row>
    <row r="62">
      <c r="A62" s="3" t="inlineStr">
        <is>
          <t>RSK-INTF</t>
        </is>
      </c>
      <c r="B62" s="3" t="inlineStr">
        <is>
          <t>Interface Risk</t>
        </is>
      </c>
      <c r="C62" s="3" t="inlineStr">
        <is>
          <t>RSK-INTF-005</t>
        </is>
      </c>
      <c r="D62" s="3" t="inlineStr">
        <is>
          <t>PKG-27 R-2701</t>
        </is>
      </c>
      <c r="E62" s="3" t="inlineStr">
        <is>
          <t>PKG-28</t>
        </is>
      </c>
      <c r="F62" s="3" t="inlineStr">
        <is>
          <t>R-2808</t>
        </is>
      </c>
      <c r="G62" s="3" t="inlineStr">
        <is>
          <t>PKG-28 R-2808</t>
        </is>
      </c>
      <c r="H62" s="3" t="inlineStr"/>
    </row>
    <row r="63">
      <c r="A63" s="3" t="inlineStr">
        <is>
          <t>RSK-INTF</t>
        </is>
      </c>
      <c r="B63" s="3" t="inlineStr">
        <is>
          <t>Interface Risk</t>
        </is>
      </c>
      <c r="C63" s="3" t="inlineStr">
        <is>
          <t>RSK-INTF-005</t>
        </is>
      </c>
      <c r="D63" s="3" t="inlineStr">
        <is>
          <t>PKG-27 R-2701</t>
        </is>
      </c>
      <c r="E63" s="3" t="inlineStr">
        <is>
          <t>PKG-29</t>
        </is>
      </c>
      <c r="F63" s="3" t="inlineStr">
        <is>
          <t>R-2901</t>
        </is>
      </c>
      <c r="G63" s="3" t="inlineStr">
        <is>
          <t>PKG-29 R-2901</t>
        </is>
      </c>
      <c r="H63" s="3" t="inlineStr"/>
    </row>
    <row r="64">
      <c r="A64" s="3" t="inlineStr">
        <is>
          <t>RSK-INTF</t>
        </is>
      </c>
      <c r="B64" s="3" t="inlineStr">
        <is>
          <t>Interface Risk</t>
        </is>
      </c>
      <c r="C64" s="3" t="inlineStr">
        <is>
          <t>RSK-INTF-005</t>
        </is>
      </c>
      <c r="D64" s="3" t="inlineStr">
        <is>
          <t>PKG-27 R-2701</t>
        </is>
      </c>
      <c r="E64" s="3" t="inlineStr">
        <is>
          <t>PKG-29</t>
        </is>
      </c>
      <c r="F64" s="3" t="inlineStr">
        <is>
          <t>R-2902</t>
        </is>
      </c>
      <c r="G64" s="3" t="inlineStr">
        <is>
          <t>PKG-29 R-2902</t>
        </is>
      </c>
      <c r="H64" s="3" t="inlineStr"/>
    </row>
    <row r="65">
      <c r="A65" s="3" t="inlineStr">
        <is>
          <t>RSK-INTF</t>
        </is>
      </c>
      <c r="B65" s="3" t="inlineStr">
        <is>
          <t>Interface Risk</t>
        </is>
      </c>
      <c r="C65" s="3" t="inlineStr">
        <is>
          <t>RSK-INTF-005</t>
        </is>
      </c>
      <c r="D65" s="3" t="inlineStr">
        <is>
          <t>PKG-27 R-2701</t>
        </is>
      </c>
      <c r="E65" s="3" t="inlineStr">
        <is>
          <t>PKG-29</t>
        </is>
      </c>
      <c r="F65" s="3" t="inlineStr">
        <is>
          <t>R-2903</t>
        </is>
      </c>
      <c r="G65" s="3" t="inlineStr">
        <is>
          <t>PKG-29 R-2903</t>
        </is>
      </c>
      <c r="H65" s="3" t="inlineStr"/>
    </row>
    <row r="66">
      <c r="A66" s="3" t="inlineStr">
        <is>
          <t>RSK-INTF</t>
        </is>
      </c>
      <c r="B66" s="3" t="inlineStr">
        <is>
          <t>Interface Risk</t>
        </is>
      </c>
      <c r="C66" s="3" t="inlineStr">
        <is>
          <t>RSK-INTF-005</t>
        </is>
      </c>
      <c r="D66" s="3" t="inlineStr">
        <is>
          <t>PKG-27 R-2701</t>
        </is>
      </c>
      <c r="E66" s="3" t="inlineStr">
        <is>
          <t>PKG-29</t>
        </is>
      </c>
      <c r="F66" s="3" t="inlineStr">
        <is>
          <t>R-2904</t>
        </is>
      </c>
      <c r="G66" s="3" t="inlineStr">
        <is>
          <t>PKG-29 R-2904</t>
        </is>
      </c>
      <c r="H66" s="3" t="inlineStr"/>
    </row>
    <row r="67">
      <c r="A67" s="3" t="inlineStr">
        <is>
          <t>RSK-INTF</t>
        </is>
      </c>
      <c r="B67" s="3" t="inlineStr">
        <is>
          <t>Interface Risk</t>
        </is>
      </c>
      <c r="C67" s="3" t="inlineStr">
        <is>
          <t>RSK-INTF-005</t>
        </is>
      </c>
      <c r="D67" s="3" t="inlineStr">
        <is>
          <t>PKG-27 R-2701</t>
        </is>
      </c>
      <c r="E67" s="3" t="inlineStr">
        <is>
          <t>PKG-29</t>
        </is>
      </c>
      <c r="F67" s="3" t="inlineStr">
        <is>
          <t>R-2905</t>
        </is>
      </c>
      <c r="G67" s="3" t="inlineStr">
        <is>
          <t>PKG-29 R-2905</t>
        </is>
      </c>
      <c r="H67" s="3" t="inlineStr"/>
    </row>
    <row r="68">
      <c r="A68" s="3" t="inlineStr">
        <is>
          <t>RSK-INTF</t>
        </is>
      </c>
      <c r="B68" s="3" t="inlineStr">
        <is>
          <t>Interface Risk</t>
        </is>
      </c>
      <c r="C68" s="3" t="inlineStr">
        <is>
          <t>RSK-INTF-005</t>
        </is>
      </c>
      <c r="D68" s="3" t="inlineStr">
        <is>
          <t>PKG-27 R-2701</t>
        </is>
      </c>
      <c r="E68" s="3" t="inlineStr">
        <is>
          <t>PKG-29</t>
        </is>
      </c>
      <c r="F68" s="3" t="inlineStr">
        <is>
          <t>R-2906</t>
        </is>
      </c>
      <c r="G68" s="3" t="inlineStr">
        <is>
          <t>PKG-29 R-2906</t>
        </is>
      </c>
      <c r="H68" s="3" t="inlineStr"/>
    </row>
    <row r="69">
      <c r="A69" s="3" t="inlineStr">
        <is>
          <t>RSK-INTF</t>
        </is>
      </c>
      <c r="B69" s="3" t="inlineStr">
        <is>
          <t>Interface Risk</t>
        </is>
      </c>
      <c r="C69" s="3" t="inlineStr">
        <is>
          <t>RSK-INTF-005</t>
        </is>
      </c>
      <c r="D69" s="3" t="inlineStr">
        <is>
          <t>PKG-27 R-2701</t>
        </is>
      </c>
      <c r="E69" s="3" t="inlineStr">
        <is>
          <t>PKG-29</t>
        </is>
      </c>
      <c r="F69" s="3" t="inlineStr">
        <is>
          <t>R-2907</t>
        </is>
      </c>
      <c r="G69" s="3" t="inlineStr">
        <is>
          <t>PKG-29 R-2907</t>
        </is>
      </c>
      <c r="H69" s="3" t="inlineStr"/>
    </row>
    <row r="70">
      <c r="A70" s="3" t="inlineStr">
        <is>
          <t>RSK-INTF</t>
        </is>
      </c>
      <c r="B70" s="3" t="inlineStr">
        <is>
          <t>Interface Risk</t>
        </is>
      </c>
      <c r="C70" s="3" t="inlineStr">
        <is>
          <t>RSK-INTF-005</t>
        </is>
      </c>
      <c r="D70" s="3" t="inlineStr">
        <is>
          <t>PKG-27 R-2701</t>
        </is>
      </c>
      <c r="E70" s="3" t="inlineStr">
        <is>
          <t>PKG-29</t>
        </is>
      </c>
      <c r="F70" s="3" t="inlineStr">
        <is>
          <t>R-2908</t>
        </is>
      </c>
      <c r="G70" s="3" t="inlineStr">
        <is>
          <t>PKG-29 R-2908</t>
        </is>
      </c>
      <c r="H70" s="3" t="inlineStr"/>
    </row>
    <row r="71">
      <c r="A71" s="3" t="inlineStr">
        <is>
          <t>RSK-INTF</t>
        </is>
      </c>
      <c r="B71" s="3" t="inlineStr">
        <is>
          <t>Interface Risk</t>
        </is>
      </c>
      <c r="C71" s="3" t="inlineStr">
        <is>
          <t>RSK-INTF-005</t>
        </is>
      </c>
      <c r="D71" s="3" t="inlineStr">
        <is>
          <t>PKG-27 R-2701</t>
        </is>
      </c>
      <c r="E71" s="3" t="inlineStr">
        <is>
          <t>PKG-29</t>
        </is>
      </c>
      <c r="F71" s="3" t="inlineStr">
        <is>
          <t>R-2909</t>
        </is>
      </c>
      <c r="G71" s="3" t="inlineStr">
        <is>
          <t>PKG-29 R-2909</t>
        </is>
      </c>
      <c r="H71" s="3" t="inlineStr"/>
    </row>
    <row r="72">
      <c r="A72" s="3" t="inlineStr">
        <is>
          <t>RSK-INTF</t>
        </is>
      </c>
      <c r="B72" s="3" t="inlineStr">
        <is>
          <t>Interface Risk</t>
        </is>
      </c>
      <c r="C72" s="3" t="inlineStr">
        <is>
          <t>RSK-INTF-005</t>
        </is>
      </c>
      <c r="D72" s="3" t="inlineStr">
        <is>
          <t>PKG-27 R-2701</t>
        </is>
      </c>
      <c r="E72" s="3" t="inlineStr">
        <is>
          <t>PKG-30</t>
        </is>
      </c>
      <c r="F72" s="3" t="inlineStr">
        <is>
          <t>R-3001</t>
        </is>
      </c>
      <c r="G72" s="3" t="inlineStr">
        <is>
          <t>PKG-30 R-3001</t>
        </is>
      </c>
      <c r="H72" s="3" t="inlineStr"/>
    </row>
    <row r="73">
      <c r="A73" s="3" t="inlineStr">
        <is>
          <t>RSK-INTF</t>
        </is>
      </c>
      <c r="B73" s="3" t="inlineStr">
        <is>
          <t>Interface Risk</t>
        </is>
      </c>
      <c r="C73" s="3" t="inlineStr">
        <is>
          <t>RSK-INTF-005</t>
        </is>
      </c>
      <c r="D73" s="3" t="inlineStr">
        <is>
          <t>PKG-27 R-2701</t>
        </is>
      </c>
      <c r="E73" s="3" t="inlineStr">
        <is>
          <t>PKG-30</t>
        </is>
      </c>
      <c r="F73" s="3" t="inlineStr">
        <is>
          <t>R-3002</t>
        </is>
      </c>
      <c r="G73" s="3" t="inlineStr">
        <is>
          <t>PKG-30 R-3002</t>
        </is>
      </c>
      <c r="H73" s="3" t="inlineStr"/>
    </row>
    <row r="74">
      <c r="A74" s="3" t="inlineStr">
        <is>
          <t>RSK-INTF</t>
        </is>
      </c>
      <c r="B74" s="3" t="inlineStr">
        <is>
          <t>Interface Risk</t>
        </is>
      </c>
      <c r="C74" s="3" t="inlineStr">
        <is>
          <t>RSK-INTF-005</t>
        </is>
      </c>
      <c r="D74" s="3" t="inlineStr">
        <is>
          <t>PKG-27 R-2701</t>
        </is>
      </c>
      <c r="E74" s="3" t="inlineStr">
        <is>
          <t>PKG-30</t>
        </is>
      </c>
      <c r="F74" s="3" t="inlineStr">
        <is>
          <t>R-3003</t>
        </is>
      </c>
      <c r="G74" s="3" t="inlineStr">
        <is>
          <t>PKG-30 R-3003</t>
        </is>
      </c>
      <c r="H74" s="3" t="inlineStr"/>
    </row>
    <row r="75">
      <c r="A75" s="3" t="inlineStr">
        <is>
          <t>RSK-INTF</t>
        </is>
      </c>
      <c r="B75" s="3" t="inlineStr">
        <is>
          <t>Interface Risk</t>
        </is>
      </c>
      <c r="C75" s="3" t="inlineStr">
        <is>
          <t>RSK-INTF-005</t>
        </is>
      </c>
      <c r="D75" s="3" t="inlineStr">
        <is>
          <t>PKG-27 R-2701</t>
        </is>
      </c>
      <c r="E75" s="3" t="inlineStr">
        <is>
          <t>PKG-30</t>
        </is>
      </c>
      <c r="F75" s="3" t="inlineStr">
        <is>
          <t>R-3004</t>
        </is>
      </c>
      <c r="G75" s="3" t="inlineStr">
        <is>
          <t>PKG-30 R-3004</t>
        </is>
      </c>
      <c r="H75" s="3" t="inlineStr"/>
    </row>
    <row r="76">
      <c r="A76" s="3" t="inlineStr">
        <is>
          <t>RSK-INTF</t>
        </is>
      </c>
      <c r="B76" s="3" t="inlineStr">
        <is>
          <t>Interface Risk</t>
        </is>
      </c>
      <c r="C76" s="3" t="inlineStr">
        <is>
          <t>RSK-INTF-005</t>
        </is>
      </c>
      <c r="D76" s="3" t="inlineStr">
        <is>
          <t>PKG-27 R-2701</t>
        </is>
      </c>
      <c r="E76" s="3" t="inlineStr">
        <is>
          <t>PKG-30</t>
        </is>
      </c>
      <c r="F76" s="3" t="inlineStr">
        <is>
          <t>R-3005</t>
        </is>
      </c>
      <c r="G76" s="3" t="inlineStr">
        <is>
          <t>PKG-30 R-3005</t>
        </is>
      </c>
      <c r="H76" s="3" t="inlineStr"/>
    </row>
    <row r="77">
      <c r="A77" s="3" t="inlineStr">
        <is>
          <t>RSK-INTF</t>
        </is>
      </c>
      <c r="B77" s="3" t="inlineStr">
        <is>
          <t>Interface Risk</t>
        </is>
      </c>
      <c r="C77" s="3" t="inlineStr">
        <is>
          <t>RSK-INTF-005</t>
        </is>
      </c>
      <c r="D77" s="3" t="inlineStr">
        <is>
          <t>PKG-27 R-2701</t>
        </is>
      </c>
      <c r="E77" s="3" t="inlineStr">
        <is>
          <t>PKG-30</t>
        </is>
      </c>
      <c r="F77" s="3" t="inlineStr">
        <is>
          <t>R-3006</t>
        </is>
      </c>
      <c r="G77" s="3" t="inlineStr">
        <is>
          <t>PKG-30 R-3006</t>
        </is>
      </c>
      <c r="H77" s="3" t="inlineStr"/>
    </row>
    <row r="78">
      <c r="A78" s="3" t="inlineStr">
        <is>
          <t>RSK-INTF</t>
        </is>
      </c>
      <c r="B78" s="3" t="inlineStr">
        <is>
          <t>Interface Risk</t>
        </is>
      </c>
      <c r="C78" s="3" t="inlineStr">
        <is>
          <t>RSK-INTF-005</t>
        </is>
      </c>
      <c r="D78" s="3" t="inlineStr">
        <is>
          <t>PKG-27 R-2701</t>
        </is>
      </c>
      <c r="E78" s="3" t="inlineStr">
        <is>
          <t>PKG-30</t>
        </is>
      </c>
      <c r="F78" s="3" t="inlineStr">
        <is>
          <t>R-3007</t>
        </is>
      </c>
      <c r="G78" s="3" t="inlineStr">
        <is>
          <t>PKG-30 R-3007</t>
        </is>
      </c>
      <c r="H78" s="3" t="inlineStr"/>
    </row>
    <row r="79">
      <c r="A79" s="3" t="inlineStr">
        <is>
          <t>RSK-INTF</t>
        </is>
      </c>
      <c r="B79" s="3" t="inlineStr">
        <is>
          <t>Interface Risk</t>
        </is>
      </c>
      <c r="C79" s="3" t="inlineStr">
        <is>
          <t>RSK-INTF-005</t>
        </is>
      </c>
      <c r="D79" s="3" t="inlineStr">
        <is>
          <t>PKG-27 R-2701</t>
        </is>
      </c>
      <c r="E79" s="3" t="inlineStr">
        <is>
          <t>PKG-30</t>
        </is>
      </c>
      <c r="F79" s="3" t="inlineStr">
        <is>
          <t>R-3008</t>
        </is>
      </c>
      <c r="G79" s="3" t="inlineStr">
        <is>
          <t>PKG-30 R-3008</t>
        </is>
      </c>
      <c r="H79" s="3" t="inlineStr"/>
    </row>
    <row r="80">
      <c r="A80" s="3" t="inlineStr">
        <is>
          <t>RSK-INTF</t>
        </is>
      </c>
      <c r="B80" s="3" t="inlineStr">
        <is>
          <t>Interface Risk</t>
        </is>
      </c>
      <c r="C80" s="3" t="inlineStr">
        <is>
          <t>RSK-INTF-005</t>
        </is>
      </c>
      <c r="D80" s="3" t="inlineStr">
        <is>
          <t>PKG-27 R-2701</t>
        </is>
      </c>
      <c r="E80" s="3" t="inlineStr">
        <is>
          <t>PKG-30</t>
        </is>
      </c>
      <c r="F80" s="3" t="inlineStr">
        <is>
          <t>R-3009</t>
        </is>
      </c>
      <c r="G80" s="3" t="inlineStr">
        <is>
          <t>PKG-30 R-3009</t>
        </is>
      </c>
      <c r="H80" s="3" t="inlineStr"/>
    </row>
    <row r="81">
      <c r="A81" s="3" t="inlineStr">
        <is>
          <t>RSK-INTF</t>
        </is>
      </c>
      <c r="B81" s="3" t="inlineStr">
        <is>
          <t>Interface Risk</t>
        </is>
      </c>
      <c r="C81" s="3" t="inlineStr">
        <is>
          <t>RSK-INTF-005</t>
        </is>
      </c>
      <c r="D81" s="3" t="inlineStr">
        <is>
          <t>PKG-27 R-2701</t>
        </is>
      </c>
      <c r="E81" s="3" t="inlineStr">
        <is>
          <t>PKG-30</t>
        </is>
      </c>
      <c r="F81" s="3" t="inlineStr">
        <is>
          <t>R-3010</t>
        </is>
      </c>
      <c r="G81" s="3" t="inlineStr">
        <is>
          <t>PKG-30 R-3010</t>
        </is>
      </c>
      <c r="H81" s="3" t="inlineStr"/>
    </row>
    <row r="82">
      <c r="A82" s="3" t="inlineStr">
        <is>
          <t>RSK-INTF</t>
        </is>
      </c>
      <c r="B82" s="3" t="inlineStr">
        <is>
          <t>Interface Risk</t>
        </is>
      </c>
      <c r="C82" s="3" t="inlineStr">
        <is>
          <t>RSK-INTF-005</t>
        </is>
      </c>
      <c r="D82" s="3" t="inlineStr">
        <is>
          <t>PKG-27 R-2701</t>
        </is>
      </c>
      <c r="E82" s="3" t="inlineStr">
        <is>
          <t>PKG-30</t>
        </is>
      </c>
      <c r="F82" s="3" t="inlineStr">
        <is>
          <t>R-3011</t>
        </is>
      </c>
      <c r="G82" s="3" t="inlineStr">
        <is>
          <t>PKG-30 R-3011</t>
        </is>
      </c>
      <c r="H82" s="3" t="inlineStr"/>
    </row>
    <row r="83">
      <c r="A83" s="3" t="inlineStr">
        <is>
          <t>RSK-INTF</t>
        </is>
      </c>
      <c r="B83" s="3" t="inlineStr">
        <is>
          <t>Interface Risk</t>
        </is>
      </c>
      <c r="C83" s="3" t="inlineStr">
        <is>
          <t>RSK-INTF-006</t>
        </is>
      </c>
      <c r="D83" s="3" t="inlineStr">
        <is>
          <t>PKG-24 risk R-001 - see source</t>
        </is>
      </c>
      <c r="E83" s="3" t="inlineStr">
        <is>
          <t>PKG-24</t>
        </is>
      </c>
      <c r="F83" s="3" t="inlineStr">
        <is>
          <t>R-001</t>
        </is>
      </c>
      <c r="G83" s="3" t="inlineStr">
        <is>
          <t>PKG-24 risk R-001 - see source</t>
        </is>
      </c>
      <c r="H83" s="3" t="inlineStr"/>
    </row>
    <row r="84">
      <c r="A84" s="3" t="inlineStr">
        <is>
          <t>RSK-INTF</t>
        </is>
      </c>
      <c r="B84" s="3" t="inlineStr">
        <is>
          <t>Interface Risk</t>
        </is>
      </c>
      <c r="C84" s="3" t="inlineStr">
        <is>
          <t>RSK-INTF-006</t>
        </is>
      </c>
      <c r="D84" s="3" t="inlineStr">
        <is>
          <t>PKG-24 risk R-001 - see source</t>
        </is>
      </c>
      <c r="E84" s="3" t="inlineStr">
        <is>
          <t>PKG-24</t>
        </is>
      </c>
      <c r="F84" s="3" t="inlineStr">
        <is>
          <t>R-002</t>
        </is>
      </c>
      <c r="G84" s="3" t="inlineStr">
        <is>
          <t>PKG-24 risk R-002 - see source</t>
        </is>
      </c>
      <c r="H84" s="3" t="inlineStr"/>
    </row>
    <row r="85">
      <c r="A85" s="3" t="inlineStr">
        <is>
          <t>RSK-INTF</t>
        </is>
      </c>
      <c r="B85" s="3" t="inlineStr">
        <is>
          <t>Interface Risk</t>
        </is>
      </c>
      <c r="C85" s="3" t="inlineStr">
        <is>
          <t>RSK-INTF-006</t>
        </is>
      </c>
      <c r="D85" s="3" t="inlineStr">
        <is>
          <t>PKG-24 risk R-001 - see source</t>
        </is>
      </c>
      <c r="E85" s="3" t="inlineStr">
        <is>
          <t>PKG-24</t>
        </is>
      </c>
      <c r="F85" s="3" t="inlineStr">
        <is>
          <t>R-003</t>
        </is>
      </c>
      <c r="G85" s="3" t="inlineStr">
        <is>
          <t>PKG-24 risk R-003 - see source</t>
        </is>
      </c>
      <c r="H85" s="3" t="inlineStr"/>
    </row>
    <row r="86">
      <c r="A86" s="3" t="inlineStr">
        <is>
          <t>RSK-INTF</t>
        </is>
      </c>
      <c r="B86" s="3" t="inlineStr">
        <is>
          <t>Interface Risk</t>
        </is>
      </c>
      <c r="C86" s="3" t="inlineStr">
        <is>
          <t>RSK-INTF-006</t>
        </is>
      </c>
      <c r="D86" s="3" t="inlineStr">
        <is>
          <t>PKG-24 risk R-001 - see source</t>
        </is>
      </c>
      <c r="E86" s="3" t="inlineStr">
        <is>
          <t>PKG-24</t>
        </is>
      </c>
      <c r="F86" s="3" t="inlineStr">
        <is>
          <t>R-004</t>
        </is>
      </c>
      <c r="G86" s="3" t="inlineStr">
        <is>
          <t>PKG-24 risk R-004 - see source</t>
        </is>
      </c>
      <c r="H86" s="3" t="inlineStr"/>
    </row>
    <row r="87">
      <c r="A87" s="3" t="inlineStr">
        <is>
          <t>RSK-INTF</t>
        </is>
      </c>
      <c r="B87" s="3" t="inlineStr">
        <is>
          <t>Interface Risk</t>
        </is>
      </c>
      <c r="C87" s="3" t="inlineStr">
        <is>
          <t>RSK-INTF-006</t>
        </is>
      </c>
      <c r="D87" s="3" t="inlineStr">
        <is>
          <t>PKG-24 risk R-001 - see source</t>
        </is>
      </c>
      <c r="E87" s="3" t="inlineStr">
        <is>
          <t>PKG-24</t>
        </is>
      </c>
      <c r="F87" s="3" t="inlineStr">
        <is>
          <t>R-005</t>
        </is>
      </c>
      <c r="G87" s="3" t="inlineStr">
        <is>
          <t>PKG-24 risk R-005 - see source</t>
        </is>
      </c>
      <c r="H87" s="3" t="inlineStr"/>
    </row>
    <row r="88">
      <c r="A88" s="3" t="inlineStr">
        <is>
          <t>RSK-INTF</t>
        </is>
      </c>
      <c r="B88" s="3" t="inlineStr">
        <is>
          <t>Interface Risk</t>
        </is>
      </c>
      <c r="C88" s="3" t="inlineStr">
        <is>
          <t>RSK-INTF-006</t>
        </is>
      </c>
      <c r="D88" s="3" t="inlineStr">
        <is>
          <t>PKG-24 risk R-001 - see source</t>
        </is>
      </c>
      <c r="E88" s="3" t="inlineStr">
        <is>
          <t>PKG-24</t>
        </is>
      </c>
      <c r="F88" s="3" t="inlineStr">
        <is>
          <t>R-006</t>
        </is>
      </c>
      <c r="G88" s="3" t="inlineStr">
        <is>
          <t>PKG-24 risk R-006 - see source</t>
        </is>
      </c>
      <c r="H88" s="3" t="inlineStr"/>
    </row>
    <row r="89">
      <c r="A89" s="3" t="inlineStr">
        <is>
          <t>RSK-INTF</t>
        </is>
      </c>
      <c r="B89" s="3" t="inlineStr">
        <is>
          <t>Interface Risk</t>
        </is>
      </c>
      <c r="C89" s="3" t="inlineStr">
        <is>
          <t>RSK-INTF-006</t>
        </is>
      </c>
      <c r="D89" s="3" t="inlineStr">
        <is>
          <t>PKG-24 risk R-001 - see source</t>
        </is>
      </c>
      <c r="E89" s="3" t="inlineStr">
        <is>
          <t>PKG-24</t>
        </is>
      </c>
      <c r="F89" s="3" t="inlineStr">
        <is>
          <t>R-007</t>
        </is>
      </c>
      <c r="G89" s="3" t="inlineStr">
        <is>
          <t>PKG-24 risk R-007 - see source</t>
        </is>
      </c>
      <c r="H89" s="3" t="inlineStr"/>
    </row>
    <row r="90">
      <c r="A90" s="3" t="inlineStr">
        <is>
          <t>RSK-INTF</t>
        </is>
      </c>
      <c r="B90" s="3" t="inlineStr">
        <is>
          <t>Interface Risk</t>
        </is>
      </c>
      <c r="C90" s="3" t="inlineStr">
        <is>
          <t>RSK-INTF-006</t>
        </is>
      </c>
      <c r="D90" s="3" t="inlineStr">
        <is>
          <t>PKG-24 risk R-001 - see source</t>
        </is>
      </c>
      <c r="E90" s="3" t="inlineStr">
        <is>
          <t>PKG-24</t>
        </is>
      </c>
      <c r="F90" s="3" t="inlineStr">
        <is>
          <t>R-008</t>
        </is>
      </c>
      <c r="G90" s="3" t="inlineStr">
        <is>
          <t>PKG-24 risk R-008 - see source</t>
        </is>
      </c>
      <c r="H90" s="3" t="inlineStr"/>
    </row>
    <row r="91">
      <c r="A91" s="3" t="inlineStr">
        <is>
          <t>RSK-INTF</t>
        </is>
      </c>
      <c r="B91" s="3" t="inlineStr">
        <is>
          <t>Interface Risk</t>
        </is>
      </c>
      <c r="C91" s="3" t="inlineStr">
        <is>
          <t>RSK-INTF-006</t>
        </is>
      </c>
      <c r="D91" s="3" t="inlineStr">
        <is>
          <t>PKG-24 risk R-001 - see source</t>
        </is>
      </c>
      <c r="E91" s="3" t="inlineStr">
        <is>
          <t>PKG-24</t>
        </is>
      </c>
      <c r="F91" s="3" t="inlineStr">
        <is>
          <t>R-009</t>
        </is>
      </c>
      <c r="G91" s="3" t="inlineStr">
        <is>
          <t>PKG-24 risk R-009 - see source</t>
        </is>
      </c>
      <c r="H91" s="3" t="inlineStr"/>
    </row>
    <row r="92">
      <c r="A92" s="3" t="inlineStr">
        <is>
          <t>RSK-INTF</t>
        </is>
      </c>
      <c r="B92" s="3" t="inlineStr">
        <is>
          <t>Interface Risk</t>
        </is>
      </c>
      <c r="C92" s="3" t="inlineStr">
        <is>
          <t>RSK-INTF-006</t>
        </is>
      </c>
      <c r="D92" s="3" t="inlineStr">
        <is>
          <t>PKG-24 risk R-001 - see source</t>
        </is>
      </c>
      <c r="E92" s="3" t="inlineStr">
        <is>
          <t>PKG-24</t>
        </is>
      </c>
      <c r="F92" s="3" t="inlineStr">
        <is>
          <t>R-010</t>
        </is>
      </c>
      <c r="G92" s="3" t="inlineStr">
        <is>
          <t>PKG-24 risk R-010 - see source</t>
        </is>
      </c>
      <c r="H92" s="3" t="inlineStr"/>
    </row>
    <row r="93">
      <c r="A93" s="3" t="inlineStr">
        <is>
          <t>RSK-INTF</t>
        </is>
      </c>
      <c r="B93" s="3" t="inlineStr">
        <is>
          <t>Interface Risk</t>
        </is>
      </c>
      <c r="C93" s="3" t="inlineStr">
        <is>
          <t>RSK-INTF-006</t>
        </is>
      </c>
      <c r="D93" s="3" t="inlineStr">
        <is>
          <t>PKG-24 risk R-001 - see source</t>
        </is>
      </c>
      <c r="E93" s="3" t="inlineStr">
        <is>
          <t>PKG-25</t>
        </is>
      </c>
      <c r="F93" s="3" t="inlineStr">
        <is>
          <t>R-2501</t>
        </is>
      </c>
      <c r="G93" s="3" t="inlineStr">
        <is>
          <t>PKG-25 risk R-2501 - see source</t>
        </is>
      </c>
      <c r="H93" s="3" t="inlineStr"/>
    </row>
    <row r="94">
      <c r="A94" s="3" t="inlineStr">
        <is>
          <t>RSK-INTF</t>
        </is>
      </c>
      <c r="B94" s="3" t="inlineStr">
        <is>
          <t>Interface Risk</t>
        </is>
      </c>
      <c r="C94" s="3" t="inlineStr">
        <is>
          <t>RSK-INTF-006</t>
        </is>
      </c>
      <c r="D94" s="3" t="inlineStr">
        <is>
          <t>PKG-24 risk R-001 - see source</t>
        </is>
      </c>
      <c r="E94" s="3" t="inlineStr">
        <is>
          <t>PKG-25</t>
        </is>
      </c>
      <c r="F94" s="3" t="inlineStr">
        <is>
          <t>R-2502</t>
        </is>
      </c>
      <c r="G94" s="3" t="inlineStr">
        <is>
          <t>PKG-25 risk R-2502 - see source</t>
        </is>
      </c>
      <c r="H94" s="3" t="inlineStr"/>
    </row>
    <row r="95">
      <c r="A95" s="3" t="inlineStr">
        <is>
          <t>RSK-INTF</t>
        </is>
      </c>
      <c r="B95" s="3" t="inlineStr">
        <is>
          <t>Interface Risk</t>
        </is>
      </c>
      <c r="C95" s="3" t="inlineStr">
        <is>
          <t>RSK-INTF-006</t>
        </is>
      </c>
      <c r="D95" s="3" t="inlineStr">
        <is>
          <t>PKG-24 risk R-001 - see source</t>
        </is>
      </c>
      <c r="E95" s="3" t="inlineStr">
        <is>
          <t>PKG-25</t>
        </is>
      </c>
      <c r="F95" s="3" t="inlineStr">
        <is>
          <t>R-2503</t>
        </is>
      </c>
      <c r="G95" s="3" t="inlineStr">
        <is>
          <t>PKG-25 risk R-2503 - see source</t>
        </is>
      </c>
      <c r="H95" s="3" t="inlineStr"/>
    </row>
    <row r="96">
      <c r="A96" s="3" t="inlineStr">
        <is>
          <t>RSK-INTF</t>
        </is>
      </c>
      <c r="B96" s="3" t="inlineStr">
        <is>
          <t>Interface Risk</t>
        </is>
      </c>
      <c r="C96" s="3" t="inlineStr">
        <is>
          <t>RSK-INTF-006</t>
        </is>
      </c>
      <c r="D96" s="3" t="inlineStr">
        <is>
          <t>PKG-24 risk R-001 - see source</t>
        </is>
      </c>
      <c r="E96" s="3" t="inlineStr">
        <is>
          <t>PKG-25</t>
        </is>
      </c>
      <c r="F96" s="3" t="inlineStr">
        <is>
          <t>R-2504</t>
        </is>
      </c>
      <c r="G96" s="3" t="inlineStr">
        <is>
          <t>PKG-25 risk R-2504 - see source</t>
        </is>
      </c>
      <c r="H96" s="3" t="inlineStr"/>
    </row>
    <row r="97">
      <c r="A97" s="3" t="inlineStr">
        <is>
          <t>RSK-INTF</t>
        </is>
      </c>
      <c r="B97" s="3" t="inlineStr">
        <is>
          <t>Interface Risk</t>
        </is>
      </c>
      <c r="C97" s="3" t="inlineStr">
        <is>
          <t>RSK-INTF-006</t>
        </is>
      </c>
      <c r="D97" s="3" t="inlineStr">
        <is>
          <t>PKG-24 risk R-001 - see source</t>
        </is>
      </c>
      <c r="E97" s="3" t="inlineStr">
        <is>
          <t>PKG-25</t>
        </is>
      </c>
      <c r="F97" s="3" t="inlineStr">
        <is>
          <t>R-2505</t>
        </is>
      </c>
      <c r="G97" s="3" t="inlineStr">
        <is>
          <t>PKG-25 risk R-2505 - see source</t>
        </is>
      </c>
      <c r="H97" s="3" t="inlineStr"/>
    </row>
    <row r="98">
      <c r="A98" s="3" t="inlineStr">
        <is>
          <t>RSK-INTF</t>
        </is>
      </c>
      <c r="B98" s="3" t="inlineStr">
        <is>
          <t>Interface Risk</t>
        </is>
      </c>
      <c r="C98" s="3" t="inlineStr">
        <is>
          <t>RSK-INTF-006</t>
        </is>
      </c>
      <c r="D98" s="3" t="inlineStr">
        <is>
          <t>PKG-24 risk R-001 - see source</t>
        </is>
      </c>
      <c r="E98" s="3" t="inlineStr">
        <is>
          <t>PKG-25</t>
        </is>
      </c>
      <c r="F98" s="3" t="inlineStr">
        <is>
          <t>R-2506</t>
        </is>
      </c>
      <c r="G98" s="3" t="inlineStr">
        <is>
          <t>PKG-25 risk R-2506 - see source</t>
        </is>
      </c>
      <c r="H98" s="3" t="inlineStr"/>
    </row>
    <row r="99">
      <c r="A99" s="3" t="inlineStr">
        <is>
          <t>RSK-INTF</t>
        </is>
      </c>
      <c r="B99" s="3" t="inlineStr">
        <is>
          <t>Interface Risk</t>
        </is>
      </c>
      <c r="C99" s="3" t="inlineStr">
        <is>
          <t>RSK-INTF-006</t>
        </is>
      </c>
      <c r="D99" s="3" t="inlineStr">
        <is>
          <t>PKG-24 risk R-001 - see source</t>
        </is>
      </c>
      <c r="E99" s="3" t="inlineStr">
        <is>
          <t>PKG-25</t>
        </is>
      </c>
      <c r="F99" s="3" t="inlineStr">
        <is>
          <t>R-2507</t>
        </is>
      </c>
      <c r="G99" s="3" t="inlineStr">
        <is>
          <t>PKG-25 risk R-2507 - see source</t>
        </is>
      </c>
      <c r="H99" s="3" t="inlineStr"/>
    </row>
    <row r="100">
      <c r="A100" s="3" t="inlineStr">
        <is>
          <t>RSK-INTF</t>
        </is>
      </c>
      <c r="B100" s="3" t="inlineStr">
        <is>
          <t>Interface Risk</t>
        </is>
      </c>
      <c r="C100" s="3" t="inlineStr">
        <is>
          <t>RSK-INTF-006</t>
        </is>
      </c>
      <c r="D100" s="3" t="inlineStr">
        <is>
          <t>PKG-24 risk R-001 - see source</t>
        </is>
      </c>
      <c r="E100" s="3" t="inlineStr">
        <is>
          <t>PKG-25</t>
        </is>
      </c>
      <c r="F100" s="3" t="inlineStr">
        <is>
          <t>R-2508</t>
        </is>
      </c>
      <c r="G100" s="3" t="inlineStr">
        <is>
          <t>PKG-25 risk R-2508 - see source</t>
        </is>
      </c>
      <c r="H100" s="3" t="inlineStr"/>
    </row>
    <row r="101">
      <c r="A101" s="3" t="inlineStr">
        <is>
          <t>RSK-INTF</t>
        </is>
      </c>
      <c r="B101" s="3" t="inlineStr">
        <is>
          <t>Interface Risk</t>
        </is>
      </c>
      <c r="C101" s="3" t="inlineStr">
        <is>
          <t>RSK-INTF-007</t>
        </is>
      </c>
      <c r="D101" s="3" t="inlineStr">
        <is>
          <t>PKG-26 risk R-2601</t>
        </is>
      </c>
      <c r="E101" s="3" t="inlineStr">
        <is>
          <t>PKG-26</t>
        </is>
      </c>
      <c r="F101" s="3" t="inlineStr">
        <is>
          <t>R-2601</t>
        </is>
      </c>
      <c r="G101" s="3" t="inlineStr">
        <is>
          <t>PKG-26 risk R-2601</t>
        </is>
      </c>
      <c r="H101" s="3" t="inlineStr"/>
    </row>
    <row r="102">
      <c r="A102" s="3" t="inlineStr">
        <is>
          <t>RSK-INTF</t>
        </is>
      </c>
      <c r="B102" s="3" t="inlineStr">
        <is>
          <t>Interface Risk</t>
        </is>
      </c>
      <c r="C102" s="3" t="inlineStr">
        <is>
          <t>RSK-INTF-007</t>
        </is>
      </c>
      <c r="D102" s="3" t="inlineStr">
        <is>
          <t>PKG-26 risk R-2601</t>
        </is>
      </c>
      <c r="E102" s="3" t="inlineStr">
        <is>
          <t>PKG-26</t>
        </is>
      </c>
      <c r="F102" s="3" t="inlineStr">
        <is>
          <t>R-2602</t>
        </is>
      </c>
      <c r="G102" s="3" t="inlineStr">
        <is>
          <t>PKG-26 risk R-2602</t>
        </is>
      </c>
      <c r="H102" s="3" t="inlineStr"/>
    </row>
    <row r="103">
      <c r="A103" s="3" t="inlineStr">
        <is>
          <t>RSK-INTF</t>
        </is>
      </c>
      <c r="B103" s="3" t="inlineStr">
        <is>
          <t>Interface Risk</t>
        </is>
      </c>
      <c r="C103" s="3" t="inlineStr">
        <is>
          <t>RSK-INTF-007</t>
        </is>
      </c>
      <c r="D103" s="3" t="inlineStr">
        <is>
          <t>PKG-26 risk R-2601</t>
        </is>
      </c>
      <c r="E103" s="3" t="inlineStr">
        <is>
          <t>PKG-26</t>
        </is>
      </c>
      <c r="F103" s="3" t="inlineStr">
        <is>
          <t>R-2603</t>
        </is>
      </c>
      <c r="G103" s="3" t="inlineStr">
        <is>
          <t>PKG-26 risk R-2603</t>
        </is>
      </c>
      <c r="H103" s="3" t="inlineStr"/>
    </row>
    <row r="104">
      <c r="A104" s="3" t="inlineStr">
        <is>
          <t>RSK-INTF</t>
        </is>
      </c>
      <c r="B104" s="3" t="inlineStr">
        <is>
          <t>Interface Risk</t>
        </is>
      </c>
      <c r="C104" s="3" t="inlineStr">
        <is>
          <t>RSK-INTF-007</t>
        </is>
      </c>
      <c r="D104" s="3" t="inlineStr">
        <is>
          <t>PKG-26 risk R-2601</t>
        </is>
      </c>
      <c r="E104" s="3" t="inlineStr">
        <is>
          <t>PKG-26</t>
        </is>
      </c>
      <c r="F104" s="3" t="inlineStr">
        <is>
          <t>R-2604</t>
        </is>
      </c>
      <c r="G104" s="3" t="inlineStr">
        <is>
          <t>PKG-26 risk R-2604</t>
        </is>
      </c>
      <c r="H104" s="3" t="inlineStr"/>
    </row>
    <row r="105">
      <c r="A105" s="3" t="inlineStr">
        <is>
          <t>RSK-INTF</t>
        </is>
      </c>
      <c r="B105" s="3" t="inlineStr">
        <is>
          <t>Interface Risk</t>
        </is>
      </c>
      <c r="C105" s="3" t="inlineStr">
        <is>
          <t>RSK-INTF-007</t>
        </is>
      </c>
      <c r="D105" s="3" t="inlineStr">
        <is>
          <t>PKG-26 risk R-2601</t>
        </is>
      </c>
      <c r="E105" s="3" t="inlineStr">
        <is>
          <t>PKG-26</t>
        </is>
      </c>
      <c r="F105" s="3" t="inlineStr">
        <is>
          <t>R-2605</t>
        </is>
      </c>
      <c r="G105" s="3" t="inlineStr">
        <is>
          <t>PKG-26 risk R-2605</t>
        </is>
      </c>
      <c r="H105" s="3" t="inlineStr"/>
    </row>
    <row r="106">
      <c r="A106" s="3" t="inlineStr">
        <is>
          <t>RSK-INTF</t>
        </is>
      </c>
      <c r="B106" s="3" t="inlineStr">
        <is>
          <t>Interface Risk</t>
        </is>
      </c>
      <c r="C106" s="3" t="inlineStr">
        <is>
          <t>RSK-INTF-007</t>
        </is>
      </c>
      <c r="D106" s="3" t="inlineStr">
        <is>
          <t>PKG-26 risk R-2601</t>
        </is>
      </c>
      <c r="E106" s="3" t="inlineStr">
        <is>
          <t>PKG-26</t>
        </is>
      </c>
      <c r="F106" s="3" t="inlineStr">
        <is>
          <t>R-2606</t>
        </is>
      </c>
      <c r="G106" s="3" t="inlineStr">
        <is>
          <t>PKG-26 risk R-2606</t>
        </is>
      </c>
      <c r="H106" s="3" t="inlineStr"/>
    </row>
    <row r="107">
      <c r="A107" s="3" t="inlineStr">
        <is>
          <t>RSK-INTF</t>
        </is>
      </c>
      <c r="B107" s="3" t="inlineStr">
        <is>
          <t>Interface Risk</t>
        </is>
      </c>
      <c r="C107" s="3" t="inlineStr">
        <is>
          <t>RSK-INTF-007</t>
        </is>
      </c>
      <c r="D107" s="3" t="inlineStr">
        <is>
          <t>PKG-26 risk R-2601</t>
        </is>
      </c>
      <c r="E107" s="3" t="inlineStr">
        <is>
          <t>PKG-26</t>
        </is>
      </c>
      <c r="F107" s="3" t="inlineStr">
        <is>
          <t>R-2607</t>
        </is>
      </c>
      <c r="G107" s="3" t="inlineStr">
        <is>
          <t>PKG-26 risk R-2607</t>
        </is>
      </c>
      <c r="H107" s="3" t="inlineStr"/>
    </row>
    <row r="108">
      <c r="A108" s="3" t="inlineStr">
        <is>
          <t>RSK-INTF</t>
        </is>
      </c>
      <c r="B108" s="3" t="inlineStr">
        <is>
          <t>Interface Risk</t>
        </is>
      </c>
      <c r="C108" s="3" t="inlineStr">
        <is>
          <t>RSK-INTF-007</t>
        </is>
      </c>
      <c r="D108" s="3" t="inlineStr">
        <is>
          <t>PKG-26 risk R-2601</t>
        </is>
      </c>
      <c r="E108" s="3" t="inlineStr">
        <is>
          <t>PKG-26</t>
        </is>
      </c>
      <c r="F108" s="3" t="inlineStr">
        <is>
          <t>R-2608</t>
        </is>
      </c>
      <c r="G108" s="3" t="inlineStr">
        <is>
          <t>PKG-26 risk R-2608</t>
        </is>
      </c>
      <c r="H108" s="3" t="inlineStr"/>
    </row>
    <row r="109">
      <c r="A109" s="3" t="inlineStr">
        <is>
          <t>RSK-INTF</t>
        </is>
      </c>
      <c r="B109" s="3" t="inlineStr">
        <is>
          <t>Interface Risk</t>
        </is>
      </c>
      <c r="C109" s="3" t="inlineStr">
        <is>
          <t>RSK-INTF-008</t>
        </is>
      </c>
      <c r="D109" s="3" t="inlineStr">
        <is>
          <t>Control Room Integration</t>
        </is>
      </c>
      <c r="E109" s="3" t="inlineStr">
        <is>
          <t>PKG-19</t>
        </is>
      </c>
      <c r="F109" s="3" t="inlineStr">
        <is>
          <t>R-007</t>
        </is>
      </c>
      <c r="G109" s="3" t="inlineStr">
        <is>
          <t>Control Room Integration</t>
        </is>
      </c>
      <c r="H109" s="3" t="inlineStr"/>
    </row>
    <row r="110">
      <c r="A110" s="3" t="inlineStr">
        <is>
          <t>RSK-INTF</t>
        </is>
      </c>
      <c r="B110" s="3" t="inlineStr">
        <is>
          <t>Interface Risk</t>
        </is>
      </c>
      <c r="C110" s="3" t="inlineStr">
        <is>
          <t>RSK-INTF-009</t>
        </is>
      </c>
      <c r="D110" s="3" t="inlineStr">
        <is>
          <t>Coordination and Interface Delays</t>
        </is>
      </c>
      <c r="E110" s="3" t="inlineStr">
        <is>
          <t>PKG-15</t>
        </is>
      </c>
      <c r="F110" s="3" t="inlineStr">
        <is>
          <t>R-012</t>
        </is>
      </c>
      <c r="G110" s="3" t="inlineStr">
        <is>
          <t>Coordination and Interface Delays</t>
        </is>
      </c>
      <c r="H110" s="3" t="inlineStr"/>
    </row>
    <row r="111">
      <c r="A111" s="3" t="inlineStr">
        <is>
          <t>RSK-INTF</t>
        </is>
      </c>
      <c r="B111" s="3" t="inlineStr">
        <is>
          <t>Interface Risk</t>
        </is>
      </c>
      <c r="C111" s="3" t="inlineStr">
        <is>
          <t>RSK-INTF-010</t>
        </is>
      </c>
      <c r="D111" s="3" t="inlineStr">
        <is>
          <t>Emergency Response Plan Integration Complexity</t>
        </is>
      </c>
      <c r="E111" s="3" t="inlineStr">
        <is>
          <t>PKG-33</t>
        </is>
      </c>
      <c r="F111" s="3" t="inlineStr">
        <is>
          <t>R-005</t>
        </is>
      </c>
      <c r="G111" s="3" t="inlineStr">
        <is>
          <t>Emergency Response Plan Integration Complexity</t>
        </is>
      </c>
      <c r="H111" s="3" t="inlineStr"/>
    </row>
    <row r="112">
      <c r="A112" s="3" t="inlineStr">
        <is>
          <t>RSK-INTF</t>
        </is>
      </c>
      <c r="B112" s="3" t="inlineStr">
        <is>
          <t>Interface Risk</t>
        </is>
      </c>
      <c r="C112" s="3" t="inlineStr">
        <is>
          <t>RSK-INTF-011</t>
        </is>
      </c>
      <c r="D112" s="3" t="inlineStr">
        <is>
          <t>Integration with Control System</t>
        </is>
      </c>
      <c r="E112" s="3" t="inlineStr">
        <is>
          <t>PKG-15</t>
        </is>
      </c>
      <c r="F112" s="3" t="inlineStr">
        <is>
          <t>R-022</t>
        </is>
      </c>
      <c r="G112" s="3" t="inlineStr">
        <is>
          <t>Integration with Control System</t>
        </is>
      </c>
      <c r="H112" s="3" t="inlineStr"/>
    </row>
    <row r="113">
      <c r="A113" s="3" t="inlineStr">
        <is>
          <t>RSK-INTF</t>
        </is>
      </c>
      <c r="B113" s="3" t="inlineStr">
        <is>
          <t>Interface Risk</t>
        </is>
      </c>
      <c r="C113" s="3" t="inlineStr">
        <is>
          <t>RSK-INTF-012</t>
        </is>
      </c>
      <c r="D113" s="3" t="inlineStr">
        <is>
          <t>Integration with Existing Terminal Systems</t>
        </is>
      </c>
      <c r="E113" s="3" t="inlineStr">
        <is>
          <t>PKG-19</t>
        </is>
      </c>
      <c r="F113" s="3" t="inlineStr">
        <is>
          <t>R-009</t>
        </is>
      </c>
      <c r="G113" s="3" t="inlineStr">
        <is>
          <t>Integration with Existing Terminal Systems</t>
        </is>
      </c>
      <c r="H113" s="3" t="inlineStr"/>
    </row>
    <row r="114">
      <c r="A114" s="3" t="inlineStr">
        <is>
          <t>RSK-INTF</t>
        </is>
      </c>
      <c r="B114" s="3" t="inlineStr">
        <is>
          <t>Interface Risk</t>
        </is>
      </c>
      <c r="C114" s="3" t="inlineStr">
        <is>
          <t>RSK-INTF-013</t>
        </is>
      </c>
      <c r="D114" s="3" t="inlineStr">
        <is>
          <t>Interface - Marine Access</t>
        </is>
      </c>
      <c r="E114" s="3" t="inlineStr">
        <is>
          <t>PKG-11</t>
        </is>
      </c>
      <c r="F114" s="3" t="inlineStr">
        <is>
          <t>R-006</t>
        </is>
      </c>
      <c r="G114" s="3" t="inlineStr">
        <is>
          <t>Interface - Marine Access</t>
        </is>
      </c>
      <c r="H114" s="3" t="inlineStr"/>
    </row>
    <row r="115">
      <c r="A115" s="3" t="inlineStr">
        <is>
          <t>RSK-INTF</t>
        </is>
      </c>
      <c r="B115" s="3" t="inlineStr">
        <is>
          <t>Interface Risk</t>
        </is>
      </c>
      <c r="C115" s="3" t="inlineStr">
        <is>
          <t>RSK-INTF-014</t>
        </is>
      </c>
      <c r="D115" s="3" t="inlineStr">
        <is>
          <t>Interface with Other Packages (HSE Dependencies)</t>
        </is>
      </c>
      <c r="E115" s="3" t="inlineStr">
        <is>
          <t>PKG-33</t>
        </is>
      </c>
      <c r="F115" s="3" t="inlineStr">
        <is>
          <t>R-008</t>
        </is>
      </c>
      <c r="G115" s="3" t="inlineStr">
        <is>
          <t>Interface with Other Packages (HSE Dependencies)</t>
        </is>
      </c>
      <c r="H115" s="3" t="inlineStr"/>
    </row>
    <row r="116">
      <c r="A116" s="3" t="inlineStr">
        <is>
          <t>RSK-INTF</t>
        </is>
      </c>
      <c r="B116" s="3" t="inlineStr">
        <is>
          <t>Interface Risk</t>
        </is>
      </c>
      <c r="C116" s="3" t="inlineStr">
        <is>
          <t>RSK-INTF-015</t>
        </is>
      </c>
      <c r="D116" s="3" t="inlineStr">
        <is>
          <t>Loop Testing Coordination</t>
        </is>
      </c>
      <c r="E116" s="3" t="inlineStr">
        <is>
          <t>PKG-20</t>
        </is>
      </c>
      <c r="F116" s="3" t="inlineStr">
        <is>
          <t>R-010</t>
        </is>
      </c>
      <c r="G116" s="3" t="inlineStr">
        <is>
          <t>Loop Testing Coordination</t>
        </is>
      </c>
      <c r="H116" s="3" t="inlineStr"/>
    </row>
    <row r="117">
      <c r="A117" s="3" t="inlineStr">
        <is>
          <t>RSK-INTF</t>
        </is>
      </c>
      <c r="B117" s="3" t="inlineStr">
        <is>
          <t>Interface Risk</t>
        </is>
      </c>
      <c r="C117" s="3" t="inlineStr">
        <is>
          <t>RSK-INTF-016</t>
        </is>
      </c>
      <c r="D117" s="3" t="inlineStr">
        <is>
          <t>Marine Coordination Complexity</t>
        </is>
      </c>
      <c r="E117" s="3" t="inlineStr">
        <is>
          <t>PKG-34</t>
        </is>
      </c>
      <c r="F117" s="3" t="inlineStr">
        <is>
          <t>R-003</t>
        </is>
      </c>
      <c r="G117" s="3" t="inlineStr">
        <is>
          <t>Marine Coordination Complexity</t>
        </is>
      </c>
      <c r="H117" s="3" t="inlineStr"/>
    </row>
    <row r="118">
      <c r="A118" s="3" t="inlineStr">
        <is>
          <t>RSK-INTF</t>
        </is>
      </c>
      <c r="B118" s="3" t="inlineStr">
        <is>
          <t>Interface Risk</t>
        </is>
      </c>
      <c r="C118" s="3" t="inlineStr">
        <is>
          <t>RSK-INTF-017</t>
        </is>
      </c>
      <c r="D118" s="3" t="inlineStr">
        <is>
          <t>PKG-21 Building Structure Coordination</t>
        </is>
      </c>
      <c r="E118" s="3" t="inlineStr">
        <is>
          <t>PKG-22</t>
        </is>
      </c>
      <c r="F118" s="3" t="inlineStr">
        <is>
          <t>R-006</t>
        </is>
      </c>
      <c r="G118" s="3" t="inlineStr">
        <is>
          <t>PKG-21 Building Structure Coordination</t>
        </is>
      </c>
      <c r="H118" s="3" t="inlineStr"/>
    </row>
    <row r="119">
      <c r="A119" s="3" t="inlineStr">
        <is>
          <t>RSK-INTF</t>
        </is>
      </c>
      <c r="B119" s="3" t="inlineStr">
        <is>
          <t>Interface Risk</t>
        </is>
      </c>
      <c r="C119" s="3" t="inlineStr">
        <is>
          <t>RSK-INTF-018</t>
        </is>
      </c>
      <c r="D119" s="3" t="inlineStr">
        <is>
          <t>Site Access and Operational Interface Risk</t>
        </is>
      </c>
      <c r="E119" s="3" t="inlineStr">
        <is>
          <t>PKG-16</t>
        </is>
      </c>
      <c r="F119" s="3" t="inlineStr">
        <is>
          <t>R-1607</t>
        </is>
      </c>
      <c r="G119" s="3" t="inlineStr">
        <is>
          <t>Site Access and Operational Interface Risk</t>
        </is>
      </c>
      <c r="H119" s="3" t="inlineStr"/>
    </row>
    <row r="120">
      <c r="A120" s="3" t="inlineStr">
        <is>
          <t>RSK-PRICE</t>
        </is>
      </c>
      <c r="B120" s="3" t="inlineStr">
        <is>
          <t>Price Uncertainty</t>
        </is>
      </c>
      <c r="C120" s="3" t="inlineStr">
        <is>
          <t>RSK-PRICE-019</t>
        </is>
      </c>
      <c r="D120" s="3" t="inlineStr">
        <is>
          <t>No Vendor Pricing/Quotes Available</t>
        </is>
      </c>
      <c r="E120" s="3" t="inlineStr">
        <is>
          <t>PKG-00</t>
        </is>
      </c>
      <c r="F120" s="3" t="inlineStr">
        <is>
          <t>R-001</t>
        </is>
      </c>
      <c r="G120" s="3" t="inlineStr">
        <is>
          <t>Lack of Project-Specific Pricing Sources</t>
        </is>
      </c>
      <c r="H120" s="3" t="inlineStr"/>
    </row>
    <row r="121">
      <c r="A121" s="3" t="inlineStr">
        <is>
          <t>RSK-PRICE</t>
        </is>
      </c>
      <c r="B121" s="3" t="inlineStr">
        <is>
          <t>Price Uncertainty</t>
        </is>
      </c>
      <c r="C121" s="3" t="inlineStr">
        <is>
          <t>RSK-PRICE-019</t>
        </is>
      </c>
      <c r="D121" s="3" t="inlineStr">
        <is>
          <t>No Vendor Pricing/Quotes Available</t>
        </is>
      </c>
      <c r="E121" s="3" t="inlineStr">
        <is>
          <t>PKG-01</t>
        </is>
      </c>
      <c r="F121" s="3" t="inlineStr">
        <is>
          <t>R-106</t>
        </is>
      </c>
      <c r="G121" s="3" t="inlineStr">
        <is>
          <t>No Vendor Quotes — Estimate Accuracy (MEDIUM)</t>
        </is>
      </c>
      <c r="H121" s="3" t="inlineStr">
        <is>
          <t>MEDIUM</t>
        </is>
      </c>
    </row>
    <row r="122">
      <c r="A122" s="3" t="inlineStr">
        <is>
          <t>RSK-PRICE</t>
        </is>
      </c>
      <c r="B122" s="3" t="inlineStr">
        <is>
          <t>Price Uncertainty</t>
        </is>
      </c>
      <c r="C122" s="3" t="inlineStr">
        <is>
          <t>RSK-PRICE-019</t>
        </is>
      </c>
      <c r="D122" s="3" t="inlineStr">
        <is>
          <t>No Vendor Pricing/Quotes Available</t>
        </is>
      </c>
      <c r="E122" s="3" t="inlineStr">
        <is>
          <t>PKG-05</t>
        </is>
      </c>
      <c r="F122" s="3" t="inlineStr">
        <is>
          <t>R-001</t>
        </is>
      </c>
      <c r="G122" s="3" t="inlineStr">
        <is>
          <t>No Vendor Pricing Available</t>
        </is>
      </c>
      <c r="H122" s="3" t="inlineStr"/>
    </row>
    <row r="123">
      <c r="A123" s="3" t="inlineStr">
        <is>
          <t>RSK-PRICE</t>
        </is>
      </c>
      <c r="B123" s="3" t="inlineStr">
        <is>
          <t>Price Uncertainty</t>
        </is>
      </c>
      <c r="C123" s="3" t="inlineStr">
        <is>
          <t>RSK-PRICE-019</t>
        </is>
      </c>
      <c r="D123" s="3" t="inlineStr">
        <is>
          <t>No Vendor Pricing/Quotes Available</t>
        </is>
      </c>
      <c r="E123" s="3" t="inlineStr">
        <is>
          <t>PKG-10</t>
        </is>
      </c>
      <c r="F123" s="3" t="inlineStr">
        <is>
          <t>R-001</t>
        </is>
      </c>
      <c r="G123" s="3" t="inlineStr">
        <is>
          <t>Unloading Arm Pricing Uncertainty</t>
        </is>
      </c>
      <c r="H123" s="3" t="inlineStr"/>
    </row>
    <row r="124">
      <c r="A124" s="3" t="inlineStr">
        <is>
          <t>RSK-PRICE</t>
        </is>
      </c>
      <c r="B124" s="3" t="inlineStr">
        <is>
          <t>Price Uncertainty</t>
        </is>
      </c>
      <c r="C124" s="3" t="inlineStr">
        <is>
          <t>RSK-PRICE-019</t>
        </is>
      </c>
      <c r="D124" s="3" t="inlineStr">
        <is>
          <t>No Vendor Pricing/Quotes Available</t>
        </is>
      </c>
      <c r="E124" s="3" t="inlineStr">
        <is>
          <t>PKG-11</t>
        </is>
      </c>
      <c r="F124" s="3" t="inlineStr">
        <is>
          <t>R-004</t>
        </is>
      </c>
      <c r="G124" s="3" t="inlineStr">
        <is>
          <t>Price - No Quotes</t>
        </is>
      </c>
      <c r="H124" s="3" t="inlineStr"/>
    </row>
    <row r="125">
      <c r="A125" s="3" t="inlineStr">
        <is>
          <t>RSK-PRICE</t>
        </is>
      </c>
      <c r="B125" s="3" t="inlineStr">
        <is>
          <t>Price Uncertainty</t>
        </is>
      </c>
      <c r="C125" s="3" t="inlineStr">
        <is>
          <t>RSK-PRICE-019</t>
        </is>
      </c>
      <c r="D125" s="3" t="inlineStr">
        <is>
          <t>No Vendor Pricing/Quotes Available</t>
        </is>
      </c>
      <c r="E125" s="3" t="inlineStr">
        <is>
          <t>PKG-14</t>
        </is>
      </c>
      <c r="F125" s="3" t="inlineStr">
        <is>
          <t>R-005</t>
        </is>
      </c>
      <c r="G125" s="3" t="inlineStr">
        <is>
          <t>Price - No Quotes</t>
        </is>
      </c>
      <c r="H125" s="3" t="inlineStr"/>
    </row>
    <row r="126">
      <c r="A126" s="3" t="inlineStr">
        <is>
          <t>RSK-PRICE</t>
        </is>
      </c>
      <c r="B126" s="3" t="inlineStr">
        <is>
          <t>Price Uncertainty</t>
        </is>
      </c>
      <c r="C126" s="3" t="inlineStr">
        <is>
          <t>RSK-PRICE-019</t>
        </is>
      </c>
      <c r="D126" s="3" t="inlineStr">
        <is>
          <t>No Vendor Pricing/Quotes Available</t>
        </is>
      </c>
      <c r="E126" s="3" t="inlineStr">
        <is>
          <t>PKG-15</t>
        </is>
      </c>
      <c r="F126" s="3" t="inlineStr">
        <is>
          <t>R-002</t>
        </is>
      </c>
      <c r="G126" s="3" t="inlineStr">
        <is>
          <t>Equipment Pricing Uncertainty</t>
        </is>
      </c>
      <c r="H126" s="3" t="inlineStr"/>
    </row>
    <row r="127">
      <c r="A127" s="3" t="inlineStr">
        <is>
          <t>RSK-PRICE</t>
        </is>
      </c>
      <c r="B127" s="3" t="inlineStr">
        <is>
          <t>Price Uncertainty</t>
        </is>
      </c>
      <c r="C127" s="3" t="inlineStr">
        <is>
          <t>RSK-PRICE-019</t>
        </is>
      </c>
      <c r="D127" s="3" t="inlineStr">
        <is>
          <t>No Vendor Pricing/Quotes Available</t>
        </is>
      </c>
      <c r="E127" s="3" t="inlineStr">
        <is>
          <t>PKG-16</t>
        </is>
      </c>
      <c r="F127" s="3" t="inlineStr">
        <is>
          <t>R-1606</t>
        </is>
      </c>
      <c r="G127" s="3" t="inlineStr">
        <is>
          <t>Vendor Pricing Variability</t>
        </is>
      </c>
      <c r="H127" s="3" t="inlineStr"/>
    </row>
    <row r="128">
      <c r="A128" s="3" t="inlineStr">
        <is>
          <t>RSK-PRICE</t>
        </is>
      </c>
      <c r="B128" s="3" t="inlineStr">
        <is>
          <t>Price Uncertainty</t>
        </is>
      </c>
      <c r="C128" s="3" t="inlineStr">
        <is>
          <t>RSK-PRICE-019</t>
        </is>
      </c>
      <c r="D128" s="3" t="inlineStr">
        <is>
          <t>No Vendor Pricing/Quotes Available</t>
        </is>
      </c>
      <c r="E128" s="3" t="inlineStr">
        <is>
          <t>PKG-34</t>
        </is>
      </c>
      <c r="F128" s="3" t="inlineStr">
        <is>
          <t>R-004</t>
        </is>
      </c>
      <c r="G128" s="3" t="inlineStr">
        <is>
          <t>Lack of Project-Specific Pricing Sources</t>
        </is>
      </c>
      <c r="H128" s="3" t="inlineStr"/>
    </row>
    <row r="129">
      <c r="A129" s="3" t="inlineStr">
        <is>
          <t>RSK-PRICE</t>
        </is>
      </c>
      <c r="B129" s="3" t="inlineStr">
        <is>
          <t>Price Uncertainty</t>
        </is>
      </c>
      <c r="C129" s="3" t="inlineStr">
        <is>
          <t>RSK-PRICE-020</t>
        </is>
      </c>
      <c r="D129" s="3" t="inlineStr">
        <is>
          <t>Control System Vendor Selection</t>
        </is>
      </c>
      <c r="E129" s="3" t="inlineStr">
        <is>
          <t>PKG-19</t>
        </is>
      </c>
      <c r="F129" s="3" t="inlineStr">
        <is>
          <t>R-001</t>
        </is>
      </c>
      <c r="G129" s="3" t="inlineStr">
        <is>
          <t>Control System Vendor Selection</t>
        </is>
      </c>
      <c r="H129" s="3" t="inlineStr"/>
    </row>
    <row r="130">
      <c r="A130" s="3" t="inlineStr">
        <is>
          <t>RSK-PRICE</t>
        </is>
      </c>
      <c r="B130" s="3" t="inlineStr">
        <is>
          <t>Price Uncertainty</t>
        </is>
      </c>
      <c r="C130" s="3" t="inlineStr">
        <is>
          <t>RSK-PRICE-021</t>
        </is>
      </c>
      <c r="D130" s="3" t="inlineStr">
        <is>
          <t>Equipment - Loading Arm Pricing</t>
        </is>
      </c>
      <c r="E130" s="3" t="inlineStr">
        <is>
          <t>PKG-11</t>
        </is>
      </c>
      <c r="F130" s="3" t="inlineStr">
        <is>
          <t>R-001</t>
        </is>
      </c>
      <c r="G130" s="3" t="inlineStr">
        <is>
          <t>Equipment - Loading Arm Pricing</t>
        </is>
      </c>
      <c r="H130" s="3" t="inlineStr"/>
    </row>
    <row r="131">
      <c r="A131" s="3" t="inlineStr">
        <is>
          <t>RSK-PRICE</t>
        </is>
      </c>
      <c r="B131" s="3" t="inlineStr">
        <is>
          <t>Price Uncertainty</t>
        </is>
      </c>
      <c r="C131" s="3" t="inlineStr">
        <is>
          <t>RSK-PRICE-022</t>
        </is>
      </c>
      <c r="D131" s="3" t="inlineStr">
        <is>
          <t>Marine Contractor Availability and Pricing Volatility</t>
        </is>
      </c>
      <c r="E131" s="3" t="inlineStr">
        <is>
          <t>PKG-08</t>
        </is>
      </c>
      <c r="F131" s="3" t="inlineStr">
        <is>
          <t>R-806</t>
        </is>
      </c>
      <c r="G131" s="3" t="inlineStr">
        <is>
          <t>Marine Contractor Availability and Pricing Volatility</t>
        </is>
      </c>
      <c r="H131" s="3" t="inlineStr"/>
    </row>
    <row r="132">
      <c r="A132" s="3" t="inlineStr">
        <is>
          <t>RSK-PRICE</t>
        </is>
      </c>
      <c r="B132" s="3" t="inlineStr">
        <is>
          <t>Price Uncertainty</t>
        </is>
      </c>
      <c r="C132" s="3" t="inlineStr">
        <is>
          <t>RSK-PRICE-023</t>
        </is>
      </c>
      <c r="D132" s="3" t="inlineStr">
        <is>
          <t>Steel price volatility</t>
        </is>
      </c>
      <c r="E132" s="3" t="inlineStr">
        <is>
          <t>PKG-13</t>
        </is>
      </c>
      <c r="F132" s="3" t="inlineStr">
        <is>
          <t>R-001</t>
        </is>
      </c>
      <c r="G132" s="3" t="inlineStr">
        <is>
          <t>Steel price volatility</t>
        </is>
      </c>
      <c r="H132" s="3" t="inlineStr"/>
    </row>
    <row r="133">
      <c r="A133" s="3" t="inlineStr">
        <is>
          <t>RSK-PRICE</t>
        </is>
      </c>
      <c r="B133" s="3" t="inlineStr">
        <is>
          <t>Price Uncertainty</t>
        </is>
      </c>
      <c r="C133" s="3" t="inlineStr">
        <is>
          <t>RSK-PRICE-024</t>
        </is>
      </c>
      <c r="D133" s="3" t="inlineStr">
        <is>
          <t>Vendor FAT Location</t>
        </is>
      </c>
      <c r="E133" s="3" t="inlineStr">
        <is>
          <t>PKG-19</t>
        </is>
      </c>
      <c r="F133" s="3" t="inlineStr">
        <is>
          <t>R-008</t>
        </is>
      </c>
      <c r="G133" s="3" t="inlineStr">
        <is>
          <t>Vendor FAT Location</t>
        </is>
      </c>
      <c r="H133" s="3" t="inlineStr"/>
    </row>
    <row r="134">
      <c r="A134" s="3" t="inlineStr">
        <is>
          <t>RSK-PRICE</t>
        </is>
      </c>
      <c r="B134" s="3" t="inlineStr">
        <is>
          <t>Price Uncertainty</t>
        </is>
      </c>
      <c r="C134" s="3" t="inlineStr">
        <is>
          <t>RSK-PRICE-025</t>
        </is>
      </c>
      <c r="D134" s="3" t="inlineStr">
        <is>
          <t>Vendor Quote Unavailability</t>
        </is>
      </c>
      <c r="E134" s="3" t="inlineStr">
        <is>
          <t>PKG-22</t>
        </is>
      </c>
      <c r="F134" s="3" t="inlineStr">
        <is>
          <t>R-004</t>
        </is>
      </c>
      <c r="G134" s="3" t="inlineStr">
        <is>
          <t>Vendor Quote Unavailability</t>
        </is>
      </c>
      <c r="H134" s="3" t="inlineStr"/>
    </row>
    <row r="135">
      <c r="A135" s="3" t="inlineStr">
        <is>
          <t>RSK-PROD</t>
        </is>
      </c>
      <c r="B135" s="3" t="inlineStr">
        <is>
          <t>Productivity Risk</t>
        </is>
      </c>
      <c r="C135" s="3" t="inlineStr">
        <is>
          <t>RSK-PROD-026</t>
        </is>
      </c>
      <c r="D135" s="3" t="inlineStr">
        <is>
          <t>Labor Availability &amp; Productivity</t>
        </is>
      </c>
      <c r="E135" s="3" t="inlineStr">
        <is>
          <t>PKG-05</t>
        </is>
      </c>
      <c r="F135" s="3" t="inlineStr">
        <is>
          <t>R-010</t>
        </is>
      </c>
      <c r="G135" s="3" t="inlineStr">
        <is>
          <t>Labor Availability and Productivity</t>
        </is>
      </c>
      <c r="H135" s="3" t="inlineStr"/>
    </row>
    <row r="136">
      <c r="A136" s="3" t="inlineStr">
        <is>
          <t>RSK-PROD</t>
        </is>
      </c>
      <c r="B136" s="3" t="inlineStr">
        <is>
          <t>Productivity Risk</t>
        </is>
      </c>
      <c r="C136" s="3" t="inlineStr">
        <is>
          <t>RSK-PROD-026</t>
        </is>
      </c>
      <c r="D136" s="3" t="inlineStr">
        <is>
          <t>Labor Availability &amp; Productivity</t>
        </is>
      </c>
      <c r="E136" s="3" t="inlineStr">
        <is>
          <t>PKG-10</t>
        </is>
      </c>
      <c r="F136" s="3" t="inlineStr">
        <is>
          <t>R-008</t>
        </is>
      </c>
      <c r="G136" s="3" t="inlineStr">
        <is>
          <t>Installation Productivity Risk</t>
        </is>
      </c>
      <c r="H136" s="3" t="inlineStr"/>
    </row>
    <row r="137">
      <c r="A137" s="3" t="inlineStr">
        <is>
          <t>RSK-PROD</t>
        </is>
      </c>
      <c r="B137" s="3" t="inlineStr">
        <is>
          <t>Productivity Risk</t>
        </is>
      </c>
      <c r="C137" s="3" t="inlineStr">
        <is>
          <t>RSK-PROD-026</t>
        </is>
      </c>
      <c r="D137" s="3" t="inlineStr">
        <is>
          <t>Labor Availability &amp; Productivity</t>
        </is>
      </c>
      <c r="E137" s="3" t="inlineStr">
        <is>
          <t>PKG-15</t>
        </is>
      </c>
      <c r="F137" s="3" t="inlineStr">
        <is>
          <t>R-004</t>
        </is>
      </c>
      <c r="G137" s="3" t="inlineStr">
        <is>
          <t>Installation Productivity Variance</t>
        </is>
      </c>
      <c r="H137" s="3" t="inlineStr"/>
    </row>
    <row r="138">
      <c r="A138" s="3" t="inlineStr">
        <is>
          <t>RSK-PROD</t>
        </is>
      </c>
      <c r="B138" s="3" t="inlineStr">
        <is>
          <t>Productivity Risk</t>
        </is>
      </c>
      <c r="C138" s="3" t="inlineStr">
        <is>
          <t>RSK-PROD-026</t>
        </is>
      </c>
      <c r="D138" s="3" t="inlineStr">
        <is>
          <t>Labor Availability &amp; Productivity</t>
        </is>
      </c>
      <c r="E138" s="3" t="inlineStr">
        <is>
          <t>PKG-16</t>
        </is>
      </c>
      <c r="F138" s="3" t="inlineStr">
        <is>
          <t>R-1611</t>
        </is>
      </c>
      <c r="G138" s="3" t="inlineStr">
        <is>
          <t>Installation Productivity Risk</t>
        </is>
      </c>
      <c r="H138" s="3" t="inlineStr"/>
    </row>
    <row r="139">
      <c r="A139" s="3" t="inlineStr">
        <is>
          <t>RSK-PROD</t>
        </is>
      </c>
      <c r="B139" s="3" t="inlineStr">
        <is>
          <t>Productivity Risk</t>
        </is>
      </c>
      <c r="C139" s="3" t="inlineStr">
        <is>
          <t>RSK-PROD-026</t>
        </is>
      </c>
      <c r="D139" s="3" t="inlineStr">
        <is>
          <t>Labor Availability &amp; Productivity</t>
        </is>
      </c>
      <c r="E139" s="3" t="inlineStr">
        <is>
          <t>PKG-21</t>
        </is>
      </c>
      <c r="F139" s="3" t="inlineStr">
        <is>
          <t>R-005</t>
        </is>
      </c>
      <c r="G139" s="3" t="inlineStr">
        <is>
          <t>Constrained Site Access and Productivity</t>
        </is>
      </c>
      <c r="H139" s="3" t="inlineStr"/>
    </row>
    <row r="140">
      <c r="A140" s="3" t="inlineStr">
        <is>
          <t>RSK-PROD</t>
        </is>
      </c>
      <c r="B140" s="3" t="inlineStr">
        <is>
          <t>Productivity Risk</t>
        </is>
      </c>
      <c r="C140" s="3" t="inlineStr">
        <is>
          <t>RSK-PROD-026</t>
        </is>
      </c>
      <c r="D140" s="3" t="inlineStr">
        <is>
          <t>Labor Availability &amp; Productivity</t>
        </is>
      </c>
      <c r="E140" s="3" t="inlineStr">
        <is>
          <t>PKG-21</t>
        </is>
      </c>
      <c r="F140" s="3" t="inlineStr">
        <is>
          <t>R-010</t>
        </is>
      </c>
      <c r="G140" s="3" t="inlineStr">
        <is>
          <t>Union Labor Rates or Availability</t>
        </is>
      </c>
      <c r="H140" s="3" t="inlineStr"/>
    </row>
    <row r="141">
      <c r="A141" s="3" t="inlineStr">
        <is>
          <t>RSK-PROD</t>
        </is>
      </c>
      <c r="B141" s="3" t="inlineStr">
        <is>
          <t>Productivity Risk</t>
        </is>
      </c>
      <c r="C141" s="3" t="inlineStr">
        <is>
          <t>RSK-PROD-026</t>
        </is>
      </c>
      <c r="D141" s="3" t="inlineStr">
        <is>
          <t>Labor Availability &amp; Productivity</t>
        </is>
      </c>
      <c r="E141" s="3" t="inlineStr">
        <is>
          <t>PKG-22</t>
        </is>
      </c>
      <c r="F141" s="3" t="inlineStr">
        <is>
          <t>R-005</t>
        </is>
      </c>
      <c r="G141" s="3" t="inlineStr">
        <is>
          <t>Construction Labor Availability and Rates (BC Lower Mainla..</t>
        </is>
      </c>
      <c r="H141" s="3" t="inlineStr"/>
    </row>
    <row r="142">
      <c r="A142" s="3" t="inlineStr">
        <is>
          <t>RSK-PROD</t>
        </is>
      </c>
      <c r="B142" s="3" t="inlineStr">
        <is>
          <t>Productivity Risk</t>
        </is>
      </c>
      <c r="C142" s="3" t="inlineStr">
        <is>
          <t>RSK-PROD-027</t>
        </is>
      </c>
      <c r="D142" s="3" t="inlineStr">
        <is>
          <t>Site Access During Operations</t>
        </is>
      </c>
      <c r="E142" s="3" t="inlineStr">
        <is>
          <t>PKG-20</t>
        </is>
      </c>
      <c r="F142" s="3" t="inlineStr">
        <is>
          <t>R-007</t>
        </is>
      </c>
      <c r="G142" s="3" t="inlineStr">
        <is>
          <t>Site Access During Operations</t>
        </is>
      </c>
      <c r="H142" s="3" t="inlineStr"/>
    </row>
    <row r="143">
      <c r="A143" s="3" t="inlineStr">
        <is>
          <t>RSK-QTY</t>
        </is>
      </c>
      <c r="B143" s="3" t="inlineStr">
        <is>
          <t>Quantity Risk</t>
        </is>
      </c>
      <c r="C143" s="3" t="inlineStr">
        <is>
          <t>RSK-QTY-028</t>
        </is>
      </c>
      <c r="D143" s="3" t="inlineStr">
        <is>
          <t>Quantity Uncertainty</t>
        </is>
      </c>
      <c r="E143" s="3" t="inlineStr">
        <is>
          <t>PKG-05</t>
        </is>
      </c>
      <c r="F143" s="3" t="inlineStr">
        <is>
          <t>R-002</t>
        </is>
      </c>
      <c r="G143" s="3" t="inlineStr">
        <is>
          <t>Quantity Uncertainty — Concrete and Rebar</t>
        </is>
      </c>
      <c r="H143" s="3" t="inlineStr"/>
    </row>
    <row r="144">
      <c r="A144" s="3" t="inlineStr">
        <is>
          <t>RSK-QTY</t>
        </is>
      </c>
      <c r="B144" s="3" t="inlineStr">
        <is>
          <t>Quantity Risk</t>
        </is>
      </c>
      <c r="C144" s="3" t="inlineStr">
        <is>
          <t>RSK-QTY-028</t>
        </is>
      </c>
      <c r="D144" s="3" t="inlineStr">
        <is>
          <t>Quantity Uncertainty</t>
        </is>
      </c>
      <c r="E144" s="3" t="inlineStr">
        <is>
          <t>PKG-15</t>
        </is>
      </c>
      <c r="F144" s="3" t="inlineStr">
        <is>
          <t>R-001</t>
        </is>
      </c>
      <c r="G144" s="3" t="inlineStr">
        <is>
          <t>Pump Quantity Uncertainty</t>
        </is>
      </c>
      <c r="H144" s="3" t="inlineStr"/>
    </row>
    <row r="145">
      <c r="A145" s="3" t="inlineStr">
        <is>
          <t>RSK-QTY</t>
        </is>
      </c>
      <c r="B145" s="3" t="inlineStr">
        <is>
          <t>Quantity Risk</t>
        </is>
      </c>
      <c r="C145" s="3" t="inlineStr">
        <is>
          <t>RSK-QTY-028</t>
        </is>
      </c>
      <c r="D145" s="3" t="inlineStr">
        <is>
          <t>Quantity Uncertainty</t>
        </is>
      </c>
      <c r="E145" s="3" t="inlineStr">
        <is>
          <t>PKG-16</t>
        </is>
      </c>
      <c r="F145" s="3" t="inlineStr">
        <is>
          <t>R-1601</t>
        </is>
      </c>
      <c r="G145" s="3" t="inlineStr">
        <is>
          <t>Valve Quantity Uncertainty</t>
        </is>
      </c>
      <c r="H145" s="3" t="inlineStr"/>
    </row>
    <row r="146">
      <c r="A146" s="3" t="inlineStr">
        <is>
          <t>RSK-QTY</t>
        </is>
      </c>
      <c r="B146" s="3" t="inlineStr">
        <is>
          <t>Quantity Risk</t>
        </is>
      </c>
      <c r="C146" s="3" t="inlineStr">
        <is>
          <t>RSK-QTY-028</t>
        </is>
      </c>
      <c r="D146" s="3" t="inlineStr">
        <is>
          <t>Quantity Uncertainty</t>
        </is>
      </c>
      <c r="E146" s="3" t="inlineStr">
        <is>
          <t>PKG-20</t>
        </is>
      </c>
      <c r="F146" s="3" t="inlineStr">
        <is>
          <t>R-001</t>
        </is>
      </c>
      <c r="G146" s="3" t="inlineStr">
        <is>
          <t>Instrument Count Uncertainty</t>
        </is>
      </c>
      <c r="H146" s="3" t="inlineStr"/>
    </row>
    <row r="147">
      <c r="A147" s="3" t="inlineStr">
        <is>
          <t>RSK-QTY</t>
        </is>
      </c>
      <c r="B147" s="3" t="inlineStr">
        <is>
          <t>Quantity Risk</t>
        </is>
      </c>
      <c r="C147" s="3" t="inlineStr">
        <is>
          <t>RSK-QTY-028</t>
        </is>
      </c>
      <c r="D147" s="3" t="inlineStr">
        <is>
          <t>Quantity Uncertainty</t>
        </is>
      </c>
      <c r="E147" s="3" t="inlineStr">
        <is>
          <t>PKG-33</t>
        </is>
      </c>
      <c r="F147" s="3" t="inlineStr">
        <is>
          <t>R-004</t>
        </is>
      </c>
      <c r="G147" s="3" t="inlineStr">
        <is>
          <t>Waste Management Volume Uncertainty</t>
        </is>
      </c>
      <c r="H147" s="3" t="inlineStr"/>
    </row>
    <row r="148">
      <c r="A148" s="3" t="inlineStr">
        <is>
          <t>RSK-QTY</t>
        </is>
      </c>
      <c r="B148" s="3" t="inlineStr">
        <is>
          <t>Quantity Risk</t>
        </is>
      </c>
      <c r="C148" s="3" t="inlineStr">
        <is>
          <t>RSK-QTY-029</t>
        </is>
      </c>
      <c r="D148" s="3" t="inlineStr">
        <is>
          <t>Actuator Sizing and Safety Factor Risk</t>
        </is>
      </c>
      <c r="E148" s="3" t="inlineStr">
        <is>
          <t>PKG-16</t>
        </is>
      </c>
      <c r="F148" s="3" t="inlineStr">
        <is>
          <t>R-1613</t>
        </is>
      </c>
      <c r="G148" s="3" t="inlineStr">
        <is>
          <t>Actuator Sizing and Safety Factor Risk</t>
        </is>
      </c>
      <c r="H148" s="3" t="inlineStr"/>
    </row>
    <row r="149">
      <c r="A149" s="3" t="inlineStr">
        <is>
          <t>RSK-QTY</t>
        </is>
      </c>
      <c r="B149" s="3" t="inlineStr">
        <is>
          <t>Quantity Risk</t>
        </is>
      </c>
      <c r="C149" s="3" t="inlineStr">
        <is>
          <t>RSK-QTY-030</t>
        </is>
      </c>
      <c r="D149" s="3" t="inlineStr">
        <is>
          <t>Method Statement and Risk Assessment Volume</t>
        </is>
      </c>
      <c r="E149" s="3" t="inlineStr">
        <is>
          <t>PKG-33</t>
        </is>
      </c>
      <c r="F149" s="3" t="inlineStr">
        <is>
          <t>R-003</t>
        </is>
      </c>
      <c r="G149" s="3" t="inlineStr">
        <is>
          <t>Method Statement and Risk Assessment Volume</t>
        </is>
      </c>
      <c r="H149" s="3" t="inlineStr"/>
    </row>
    <row r="150">
      <c r="A150" s="3" t="inlineStr">
        <is>
          <t>RSK-QUAL</t>
        </is>
      </c>
      <c r="B150" s="3" t="inlineStr">
        <is>
          <t>Quality Risk</t>
        </is>
      </c>
      <c r="C150" s="3" t="inlineStr">
        <is>
          <t>RSK-QUAL-031</t>
        </is>
      </c>
      <c r="D150" s="3" t="inlineStr">
        <is>
          <t>Quality/Rework Risk</t>
        </is>
      </c>
      <c r="E150" s="3" t="inlineStr">
        <is>
          <t>PKG-11</t>
        </is>
      </c>
      <c r="F150" s="3" t="inlineStr">
        <is>
          <t>R-012</t>
        </is>
      </c>
      <c r="G150" s="3" t="inlineStr">
        <is>
          <t>Quality - Specialty Work</t>
        </is>
      </c>
      <c r="H150" s="3" t="inlineStr"/>
    </row>
    <row r="151">
      <c r="A151" s="3" t="inlineStr">
        <is>
          <t>RSK-QUAL</t>
        </is>
      </c>
      <c r="B151" s="3" t="inlineStr">
        <is>
          <t>Quality Risk</t>
        </is>
      </c>
      <c r="C151" s="3" t="inlineStr">
        <is>
          <t>RSK-QUAL-031</t>
        </is>
      </c>
      <c r="D151" s="3" t="inlineStr">
        <is>
          <t>Quality/Rework Risk</t>
        </is>
      </c>
      <c r="E151" s="3" t="inlineStr">
        <is>
          <t>PKG-13</t>
        </is>
      </c>
      <c r="F151" s="3" t="inlineStr">
        <is>
          <t>R-006</t>
        </is>
      </c>
      <c r="G151" s="3" t="inlineStr">
        <is>
          <t>Coating quality</t>
        </is>
      </c>
      <c r="H151" s="3" t="inlineStr"/>
    </row>
    <row r="152">
      <c r="A152" s="3" t="inlineStr">
        <is>
          <t>RSK-QUAL</t>
        </is>
      </c>
      <c r="B152" s="3" t="inlineStr">
        <is>
          <t>Quality Risk</t>
        </is>
      </c>
      <c r="C152" s="3" t="inlineStr">
        <is>
          <t>RSK-QUAL-031</t>
        </is>
      </c>
      <c r="D152" s="3" t="inlineStr">
        <is>
          <t>Quality/Rework Risk</t>
        </is>
      </c>
      <c r="E152" s="3" t="inlineStr">
        <is>
          <t>PKG-14</t>
        </is>
      </c>
      <c r="F152" s="3" t="inlineStr">
        <is>
          <t>R-011</t>
        </is>
      </c>
      <c r="G152" s="3" t="inlineStr">
        <is>
          <t>Quality - NDE Rework</t>
        </is>
      </c>
      <c r="H152" s="3" t="inlineStr"/>
    </row>
    <row r="153">
      <c r="A153" s="3" t="inlineStr">
        <is>
          <t>RSK-QUAL</t>
        </is>
      </c>
      <c r="B153" s="3" t="inlineStr">
        <is>
          <t>Quality Risk</t>
        </is>
      </c>
      <c r="C153" s="3" t="inlineStr">
        <is>
          <t>RSK-QUAL-031</t>
        </is>
      </c>
      <c r="D153" s="3" t="inlineStr">
        <is>
          <t>Quality/Rework Risk</t>
        </is>
      </c>
      <c r="E153" s="3" t="inlineStr">
        <is>
          <t>PKG-15</t>
        </is>
      </c>
      <c r="F153" s="3" t="inlineStr">
        <is>
          <t>R-018</t>
        </is>
      </c>
      <c r="G153" s="3" t="inlineStr">
        <is>
          <t>Quality Control and Inspection Effort</t>
        </is>
      </c>
      <c r="H153" s="3" t="inlineStr"/>
    </row>
    <row r="154">
      <c r="A154" s="3" t="inlineStr">
        <is>
          <t>RSK-QUAL</t>
        </is>
      </c>
      <c r="B154" s="3" t="inlineStr">
        <is>
          <t>Quality Risk</t>
        </is>
      </c>
      <c r="C154" s="3" t="inlineStr">
        <is>
          <t>RSK-QUAL-031</t>
        </is>
      </c>
      <c r="D154" s="3" t="inlineStr">
        <is>
          <t>Quality/Rework Risk</t>
        </is>
      </c>
      <c r="E154" s="3" t="inlineStr">
        <is>
          <t>PKG-31</t>
        </is>
      </c>
      <c r="F154" s="3" t="inlineStr">
        <is>
          <t>R-006</t>
        </is>
      </c>
      <c r="G154" s="3" t="inlineStr">
        <is>
          <t>Vendor Documentation Quality/Completeness</t>
        </is>
      </c>
      <c r="H154" s="3" t="inlineStr"/>
    </row>
    <row r="155">
      <c r="A155" s="3" t="inlineStr">
        <is>
          <t>RSK-QUAL</t>
        </is>
      </c>
      <c r="B155" s="3" t="inlineStr">
        <is>
          <t>Quality Risk</t>
        </is>
      </c>
      <c r="C155" s="3" t="inlineStr">
        <is>
          <t>RSK-QUAL-031</t>
        </is>
      </c>
      <c r="D155" s="3" t="inlineStr">
        <is>
          <t>Quality/Rework Risk</t>
        </is>
      </c>
      <c r="E155" s="3" t="inlineStr">
        <is>
          <t>PKG-35</t>
        </is>
      </c>
      <c r="F155" s="3" t="inlineStr">
        <is>
          <t>R-004</t>
        </is>
      </c>
      <c r="G155" s="3" t="inlineStr">
        <is>
          <t>Defects Liability Workload (MEDIUM)</t>
        </is>
      </c>
      <c r="H155" s="3" t="inlineStr">
        <is>
          <t>MEDIUM</t>
        </is>
      </c>
    </row>
    <row r="156">
      <c r="A156" s="3" t="inlineStr">
        <is>
          <t>RSK-QUAL</t>
        </is>
      </c>
      <c r="B156" s="3" t="inlineStr">
        <is>
          <t>Quality Risk</t>
        </is>
      </c>
      <c r="C156" s="3" t="inlineStr">
        <is>
          <t>RSK-QUAL-032</t>
        </is>
      </c>
      <c r="D156" s="3" t="inlineStr">
        <is>
          <t>Engineering Effort Underestimated (LOW)</t>
        </is>
      </c>
      <c r="E156" s="3" t="inlineStr">
        <is>
          <t>PKG-01</t>
        </is>
      </c>
      <c r="F156" s="3" t="inlineStr">
        <is>
          <t>R-109</t>
        </is>
      </c>
      <c r="G156" s="3" t="inlineStr">
        <is>
          <t>Engineering Effort Underestimated (LOW)</t>
        </is>
      </c>
      <c r="H156" s="3" t="inlineStr">
        <is>
          <t>LOW</t>
        </is>
      </c>
    </row>
    <row r="157">
      <c r="A157" s="3" t="inlineStr">
        <is>
          <t>RSK-QUAL</t>
        </is>
      </c>
      <c r="B157" s="3" t="inlineStr">
        <is>
          <t>Quality Risk</t>
        </is>
      </c>
      <c r="C157" s="3" t="inlineStr">
        <is>
          <t>RSK-QUAL-033</t>
        </is>
      </c>
      <c r="D157" s="3" t="inlineStr">
        <is>
          <t>NDE findings</t>
        </is>
      </c>
      <c r="E157" s="3" t="inlineStr">
        <is>
          <t>PKG-13</t>
        </is>
      </c>
      <c r="F157" s="3" t="inlineStr">
        <is>
          <t>R-010</t>
        </is>
      </c>
      <c r="G157" s="3" t="inlineStr">
        <is>
          <t>NDE findings</t>
        </is>
      </c>
      <c r="H157" s="3" t="inlineStr"/>
    </row>
    <row r="158">
      <c r="A158" s="3" t="inlineStr">
        <is>
          <t>RSK-QUAL</t>
        </is>
      </c>
      <c r="B158" s="3" t="inlineStr">
        <is>
          <t>Quality Risk</t>
        </is>
      </c>
      <c r="C158" s="3" t="inlineStr">
        <is>
          <t>RSK-QUAL-034</t>
        </is>
      </c>
      <c r="D158" s="3" t="inlineStr">
        <is>
          <t>Underground Utility Conflicts</t>
        </is>
      </c>
      <c r="E158" s="3" t="inlineStr">
        <is>
          <t>PKG-23</t>
        </is>
      </c>
      <c r="F158" s="3" t="inlineStr">
        <is>
          <t>R-007</t>
        </is>
      </c>
      <c r="G158" s="3" t="inlineStr">
        <is>
          <t>Underground Utility Conflicts</t>
        </is>
      </c>
      <c r="H158" s="3" t="inlineStr"/>
    </row>
    <row r="159">
      <c r="A159" s="3" t="inlineStr">
        <is>
          <t>RSK-REG</t>
        </is>
      </c>
      <c r="B159" s="3" t="inlineStr">
        <is>
          <t>Regulatory Risk</t>
        </is>
      </c>
      <c r="C159" s="3" t="inlineStr">
        <is>
          <t>RSK-REG-035</t>
        </is>
      </c>
      <c r="D159" s="3" t="inlineStr">
        <is>
          <t>Regulatory/Permitting Risk</t>
        </is>
      </c>
      <c r="E159" s="3" t="inlineStr">
        <is>
          <t>PKG-00</t>
        </is>
      </c>
      <c r="F159" s="3" t="inlineStr">
        <is>
          <t>R-005</t>
        </is>
      </c>
      <c r="G159" s="3" t="inlineStr">
        <is>
          <t>Authority Approvals and Permitting Delays</t>
        </is>
      </c>
      <c r="H159" s="3" t="inlineStr"/>
    </row>
    <row r="160">
      <c r="A160" s="3" t="inlineStr">
        <is>
          <t>RSK-REG</t>
        </is>
      </c>
      <c r="B160" s="3" t="inlineStr">
        <is>
          <t>Regulatory Risk</t>
        </is>
      </c>
      <c r="C160" s="3" t="inlineStr">
        <is>
          <t>RSK-REG-035</t>
        </is>
      </c>
      <c r="D160" s="3" t="inlineStr">
        <is>
          <t>Regulatory/Permitting Risk</t>
        </is>
      </c>
      <c r="E160" s="3" t="inlineStr">
        <is>
          <t>PKG-08</t>
        </is>
      </c>
      <c r="F160" s="3" t="inlineStr">
        <is>
          <t>R-804</t>
        </is>
      </c>
      <c r="G160" s="3" t="inlineStr">
        <is>
          <t>Regulatory Approvals and Permitting Delays</t>
        </is>
      </c>
      <c r="H160" s="3" t="inlineStr"/>
    </row>
    <row r="161">
      <c r="A161" s="3" t="inlineStr">
        <is>
          <t>RSK-REG</t>
        </is>
      </c>
      <c r="B161" s="3" t="inlineStr">
        <is>
          <t>Regulatory Risk</t>
        </is>
      </c>
      <c r="C161" s="3" t="inlineStr">
        <is>
          <t>RSK-REG-035</t>
        </is>
      </c>
      <c r="D161" s="3" t="inlineStr">
        <is>
          <t>Regulatory/Permitting Risk</t>
        </is>
      </c>
      <c r="E161" s="3" t="inlineStr">
        <is>
          <t>PKG-10</t>
        </is>
      </c>
      <c r="F161" s="3" t="inlineStr">
        <is>
          <t>R-006</t>
        </is>
      </c>
      <c r="G161" s="3" t="inlineStr">
        <is>
          <t>Regulatory Containment Requirements Risk</t>
        </is>
      </c>
      <c r="H161" s="3" t="inlineStr"/>
    </row>
    <row r="162">
      <c r="A162" s="3" t="inlineStr">
        <is>
          <t>RSK-REG</t>
        </is>
      </c>
      <c r="B162" s="3" t="inlineStr">
        <is>
          <t>Regulatory Risk</t>
        </is>
      </c>
      <c r="C162" s="3" t="inlineStr">
        <is>
          <t>RSK-REG-035</t>
        </is>
      </c>
      <c r="D162" s="3" t="inlineStr">
        <is>
          <t>Regulatory/Permitting Risk</t>
        </is>
      </c>
      <c r="E162" s="3" t="inlineStr">
        <is>
          <t>PKG-11</t>
        </is>
      </c>
      <c r="F162" s="3" t="inlineStr">
        <is>
          <t>R-013</t>
        </is>
      </c>
      <c r="G162" s="3" t="inlineStr">
        <is>
          <t>Regulatory - Marine Terminal</t>
        </is>
      </c>
      <c r="H162" s="3" t="inlineStr"/>
    </row>
    <row r="163">
      <c r="A163" s="3" t="inlineStr">
        <is>
          <t>RSK-REG</t>
        </is>
      </c>
      <c r="B163" s="3" t="inlineStr">
        <is>
          <t>Regulatory Risk</t>
        </is>
      </c>
      <c r="C163" s="3" t="inlineStr">
        <is>
          <t>RSK-REG-035</t>
        </is>
      </c>
      <c r="D163" s="3" t="inlineStr">
        <is>
          <t>Regulatory/Permitting Risk</t>
        </is>
      </c>
      <c r="E163" s="3" t="inlineStr">
        <is>
          <t>PKG-15</t>
        </is>
      </c>
      <c r="F163" s="3" t="inlineStr">
        <is>
          <t>R-021</t>
        </is>
      </c>
      <c r="G163" s="3" t="inlineStr">
        <is>
          <t>Regulatory and Code Compliance Requirements Beyond API 610</t>
        </is>
      </c>
      <c r="H163" s="3" t="inlineStr"/>
    </row>
    <row r="164">
      <c r="A164" s="3" t="inlineStr">
        <is>
          <t>RSK-REG</t>
        </is>
      </c>
      <c r="B164" s="3" t="inlineStr">
        <is>
          <t>Regulatory Risk</t>
        </is>
      </c>
      <c r="C164" s="3" t="inlineStr">
        <is>
          <t>RSK-REG-035</t>
        </is>
      </c>
      <c r="D164" s="3" t="inlineStr">
        <is>
          <t>Regulatory/Permitting Risk</t>
        </is>
      </c>
      <c r="E164" s="3" t="inlineStr">
        <is>
          <t>PKG-21</t>
        </is>
      </c>
      <c r="F164" s="3" t="inlineStr">
        <is>
          <t>R-007</t>
        </is>
      </c>
      <c r="G164" s="3" t="inlineStr">
        <is>
          <t>Building Code or Permit Delays</t>
        </is>
      </c>
      <c r="H164" s="3" t="inlineStr"/>
    </row>
    <row r="165">
      <c r="A165" s="3" t="inlineStr">
        <is>
          <t>RSK-REG</t>
        </is>
      </c>
      <c r="B165" s="3" t="inlineStr">
        <is>
          <t>Regulatory Risk</t>
        </is>
      </c>
      <c r="C165" s="3" t="inlineStr">
        <is>
          <t>RSK-REG-035</t>
        </is>
      </c>
      <c r="D165" s="3" t="inlineStr">
        <is>
          <t>Regulatory/Permitting Risk</t>
        </is>
      </c>
      <c r="E165" s="3" t="inlineStr">
        <is>
          <t>PKG-23</t>
        </is>
      </c>
      <c r="F165" s="3" t="inlineStr">
        <is>
          <t>R-009</t>
        </is>
      </c>
      <c r="G165" s="3" t="inlineStr">
        <is>
          <t>Code Compliance Requirements</t>
        </is>
      </c>
      <c r="H165" s="3" t="inlineStr"/>
    </row>
    <row r="166">
      <c r="A166" s="3" t="inlineStr">
        <is>
          <t>RSK-REG</t>
        </is>
      </c>
      <c r="B166" s="3" t="inlineStr">
        <is>
          <t>Regulatory Risk</t>
        </is>
      </c>
      <c r="C166" s="3" t="inlineStr">
        <is>
          <t>RSK-REG-035</t>
        </is>
      </c>
      <c r="D166" s="3" t="inlineStr">
        <is>
          <t>Regulatory/Permitting Risk</t>
        </is>
      </c>
      <c r="E166" s="3" t="inlineStr">
        <is>
          <t>PKG-32</t>
        </is>
      </c>
      <c r="F166" s="3" t="inlineStr">
        <is>
          <t>R-3202</t>
        </is>
      </c>
      <c r="G166" s="3" t="inlineStr">
        <is>
          <t>Permit Condition Complexity Unknown</t>
        </is>
      </c>
      <c r="H166" s="3" t="inlineStr"/>
    </row>
    <row r="167">
      <c r="A167" s="3" t="inlineStr">
        <is>
          <t>RSK-REG</t>
        </is>
      </c>
      <c r="B167" s="3" t="inlineStr">
        <is>
          <t>Regulatory Risk</t>
        </is>
      </c>
      <c r="C167" s="3" t="inlineStr">
        <is>
          <t>RSK-REG-035</t>
        </is>
      </c>
      <c r="D167" s="3" t="inlineStr">
        <is>
          <t>Regulatory/Permitting Risk</t>
        </is>
      </c>
      <c r="E167" s="3" t="inlineStr">
        <is>
          <t>PKG-32</t>
        </is>
      </c>
      <c r="F167" s="3" t="inlineStr">
        <is>
          <t>R-3203</t>
        </is>
      </c>
      <c r="G167" s="3" t="inlineStr">
        <is>
          <t>Authority Approval Timeline Risk</t>
        </is>
      </c>
      <c r="H167" s="3" t="inlineStr"/>
    </row>
    <row r="168">
      <c r="A168" s="3" t="inlineStr">
        <is>
          <t>RSK-REG</t>
        </is>
      </c>
      <c r="B168" s="3" t="inlineStr">
        <is>
          <t>Regulatory Risk</t>
        </is>
      </c>
      <c r="C168" s="3" t="inlineStr">
        <is>
          <t>RSK-REG-035</t>
        </is>
      </c>
      <c r="D168" s="3" t="inlineStr">
        <is>
          <t>Regulatory/Permitting Risk</t>
        </is>
      </c>
      <c r="E168" s="3" t="inlineStr">
        <is>
          <t>PKG-33</t>
        </is>
      </c>
      <c r="F168" s="3" t="inlineStr">
        <is>
          <t>R-001</t>
        </is>
      </c>
      <c r="G168" s="3" t="inlineStr">
        <is>
          <t>HSE Regulatory Requirements Uncertainty</t>
        </is>
      </c>
      <c r="H168" s="3" t="inlineStr"/>
    </row>
    <row r="169">
      <c r="A169" s="3" t="inlineStr">
        <is>
          <t>RSK-SCHED</t>
        </is>
      </c>
      <c r="B169" s="3" t="inlineStr">
        <is>
          <t>Schedule Risk</t>
        </is>
      </c>
      <c r="C169" s="3" t="inlineStr">
        <is>
          <t>RSK-SCHED-036</t>
        </is>
      </c>
      <c r="D169" s="3" t="inlineStr">
        <is>
          <t>Schedule/Lead Time Risk</t>
        </is>
      </c>
      <c r="E169" s="3" t="inlineStr">
        <is>
          <t>PKG-00</t>
        </is>
      </c>
      <c r="F169" s="3" t="inlineStr">
        <is>
          <t>R-003</t>
        </is>
      </c>
      <c r="G169" s="3" t="inlineStr">
        <is>
          <t>Construction Duration and Schedule Uncertainty</t>
        </is>
      </c>
      <c r="H169" s="3" t="inlineStr"/>
    </row>
    <row r="170">
      <c r="A170" s="3" t="inlineStr">
        <is>
          <t>RSK-SCHED</t>
        </is>
      </c>
      <c r="B170" s="3" t="inlineStr">
        <is>
          <t>Schedule Risk</t>
        </is>
      </c>
      <c r="C170" s="3" t="inlineStr">
        <is>
          <t>RSK-SCHED-036</t>
        </is>
      </c>
      <c r="D170" s="3" t="inlineStr">
        <is>
          <t>Schedule/Lead Time Risk</t>
        </is>
      </c>
      <c r="E170" s="3" t="inlineStr">
        <is>
          <t>PKG-08</t>
        </is>
      </c>
      <c r="F170" s="3" t="inlineStr">
        <is>
          <t>R-808</t>
        </is>
      </c>
      <c r="G170" s="3" t="inlineStr">
        <is>
          <t>Schedule Compression Requiring Premium Rates</t>
        </is>
      </c>
      <c r="H170" s="3" t="inlineStr"/>
    </row>
    <row r="171">
      <c r="A171" s="3" t="inlineStr">
        <is>
          <t>RSK-SCHED</t>
        </is>
      </c>
      <c r="B171" s="3" t="inlineStr">
        <is>
          <t>Schedule Risk</t>
        </is>
      </c>
      <c r="C171" s="3" t="inlineStr">
        <is>
          <t>RSK-SCHED-036</t>
        </is>
      </c>
      <c r="D171" s="3" t="inlineStr">
        <is>
          <t>Schedule/Lead Time Risk</t>
        </is>
      </c>
      <c r="E171" s="3" t="inlineStr">
        <is>
          <t>PKG-11</t>
        </is>
      </c>
      <c r="F171" s="3" t="inlineStr">
        <is>
          <t>R-008</t>
        </is>
      </c>
      <c r="G171" s="3" t="inlineStr">
        <is>
          <t>Schedule - Long Lead</t>
        </is>
      </c>
      <c r="H171" s="3" t="inlineStr"/>
    </row>
    <row r="172">
      <c r="A172" s="3" t="inlineStr">
        <is>
          <t>RSK-SCHED</t>
        </is>
      </c>
      <c r="B172" s="3" t="inlineStr">
        <is>
          <t>Schedule Risk</t>
        </is>
      </c>
      <c r="C172" s="3" t="inlineStr">
        <is>
          <t>RSK-SCHED-036</t>
        </is>
      </c>
      <c r="D172" s="3" t="inlineStr">
        <is>
          <t>Schedule/Lead Time Risk</t>
        </is>
      </c>
      <c r="E172" s="3" t="inlineStr">
        <is>
          <t>PKG-14</t>
        </is>
      </c>
      <c r="F172" s="3" t="inlineStr">
        <is>
          <t>R-012</t>
        </is>
      </c>
      <c r="G172" s="3" t="inlineStr">
        <is>
          <t>Schedule - Long Lead</t>
        </is>
      </c>
      <c r="H172" s="3" t="inlineStr"/>
    </row>
    <row r="173">
      <c r="A173" s="3" t="inlineStr">
        <is>
          <t>RSK-SCHED</t>
        </is>
      </c>
      <c r="B173" s="3" t="inlineStr">
        <is>
          <t>Schedule Risk</t>
        </is>
      </c>
      <c r="C173" s="3" t="inlineStr">
        <is>
          <t>RSK-SCHED-036</t>
        </is>
      </c>
      <c r="D173" s="3" t="inlineStr">
        <is>
          <t>Schedule/Lead Time Risk</t>
        </is>
      </c>
      <c r="E173" s="3" t="inlineStr">
        <is>
          <t>PKG-15</t>
        </is>
      </c>
      <c r="F173" s="3" t="inlineStr">
        <is>
          <t>R-015</t>
        </is>
      </c>
      <c r="G173" s="3" t="inlineStr">
        <is>
          <t>Vendor Lead Times and Schedule Impact</t>
        </is>
      </c>
      <c r="H173" s="3" t="inlineStr"/>
    </row>
    <row r="174">
      <c r="A174" s="3" t="inlineStr">
        <is>
          <t>RSK-SCHED</t>
        </is>
      </c>
      <c r="B174" s="3" t="inlineStr">
        <is>
          <t>Schedule Risk</t>
        </is>
      </c>
      <c r="C174" s="3" t="inlineStr">
        <is>
          <t>RSK-SCHED-036</t>
        </is>
      </c>
      <c r="D174" s="3" t="inlineStr">
        <is>
          <t>Schedule/Lead Time Risk</t>
        </is>
      </c>
      <c r="E174" s="3" t="inlineStr">
        <is>
          <t>PKG-16</t>
        </is>
      </c>
      <c r="F174" s="3" t="inlineStr">
        <is>
          <t>R-1612</t>
        </is>
      </c>
      <c r="G174" s="3" t="inlineStr">
        <is>
          <t>Vendor Lead Time and Availability Risk</t>
        </is>
      </c>
      <c r="H174" s="3" t="inlineStr"/>
    </row>
    <row r="175">
      <c r="A175" s="3" t="inlineStr">
        <is>
          <t>RSK-SCHED</t>
        </is>
      </c>
      <c r="B175" s="3" t="inlineStr">
        <is>
          <t>Schedule Risk</t>
        </is>
      </c>
      <c r="C175" s="3" t="inlineStr">
        <is>
          <t>RSK-SCHED-036</t>
        </is>
      </c>
      <c r="D175" s="3" t="inlineStr">
        <is>
          <t>Schedule/Lead Time Risk</t>
        </is>
      </c>
      <c r="E175" s="3" t="inlineStr">
        <is>
          <t>PKG-18</t>
        </is>
      </c>
      <c r="F175" s="3" t="inlineStr">
        <is>
          <t>R-1807</t>
        </is>
      </c>
      <c r="G175" s="3" t="inlineStr">
        <is>
          <t>LED Fixture Supply Chain and Lead Times</t>
        </is>
      </c>
      <c r="H175" s="3" t="inlineStr"/>
    </row>
    <row r="176">
      <c r="A176" s="3" t="inlineStr">
        <is>
          <t>RSK-SCHED</t>
        </is>
      </c>
      <c r="B176" s="3" t="inlineStr">
        <is>
          <t>Schedule Risk</t>
        </is>
      </c>
      <c r="C176" s="3" t="inlineStr">
        <is>
          <t>RSK-SCHED-036</t>
        </is>
      </c>
      <c r="D176" s="3" t="inlineStr">
        <is>
          <t>Schedule/Lead Time Risk</t>
        </is>
      </c>
      <c r="E176" s="3" t="inlineStr">
        <is>
          <t>PKG-20</t>
        </is>
      </c>
      <c r="F176" s="3" t="inlineStr">
        <is>
          <t>R-004</t>
        </is>
      </c>
      <c r="G176" s="3" t="inlineStr">
        <is>
          <t>Instrument Vendor Lead Times</t>
        </is>
      </c>
      <c r="H176" s="3" t="inlineStr"/>
    </row>
    <row r="177">
      <c r="A177" s="3" t="inlineStr">
        <is>
          <t>RSK-SCHED</t>
        </is>
      </c>
      <c r="B177" s="3" t="inlineStr">
        <is>
          <t>Schedule Risk</t>
        </is>
      </c>
      <c r="C177" s="3" t="inlineStr">
        <is>
          <t>RSK-SCHED-036</t>
        </is>
      </c>
      <c r="D177" s="3" t="inlineStr">
        <is>
          <t>Schedule/Lead Time Risk</t>
        </is>
      </c>
      <c r="E177" s="3" t="inlineStr">
        <is>
          <t>PKG-21</t>
        </is>
      </c>
      <c r="F177" s="3" t="inlineStr">
        <is>
          <t>R-008</t>
        </is>
      </c>
      <c r="G177" s="3" t="inlineStr">
        <is>
          <t>PEMB Supplier Lead Time</t>
        </is>
      </c>
      <c r="H177" s="3" t="inlineStr"/>
    </row>
    <row r="178">
      <c r="A178" s="3" t="inlineStr">
        <is>
          <t>RSK-SCHED</t>
        </is>
      </c>
      <c r="B178" s="3" t="inlineStr">
        <is>
          <t>Schedule Risk</t>
        </is>
      </c>
      <c r="C178" s="3" t="inlineStr">
        <is>
          <t>RSK-SCHED-036</t>
        </is>
      </c>
      <c r="D178" s="3" t="inlineStr">
        <is>
          <t>Schedule/Lead Time Risk</t>
        </is>
      </c>
      <c r="E178" s="3" t="inlineStr">
        <is>
          <t>PKG-23</t>
        </is>
      </c>
      <c r="F178" s="3" t="inlineStr">
        <is>
          <t>R-005</t>
        </is>
      </c>
      <c r="G178" s="3" t="inlineStr">
        <is>
          <t>Fire Protection Equipment Lead Times</t>
        </is>
      </c>
      <c r="H178" s="3" t="inlineStr"/>
    </row>
    <row r="179">
      <c r="A179" s="3" t="inlineStr">
        <is>
          <t>RSK-SCHED</t>
        </is>
      </c>
      <c r="B179" s="3" t="inlineStr">
        <is>
          <t>Schedule Risk</t>
        </is>
      </c>
      <c r="C179" s="3" t="inlineStr">
        <is>
          <t>RSK-SCHED-036</t>
        </is>
      </c>
      <c r="D179" s="3" t="inlineStr">
        <is>
          <t>Schedule/Lead Time Risk</t>
        </is>
      </c>
      <c r="E179" s="3" t="inlineStr">
        <is>
          <t>PKG-35</t>
        </is>
      </c>
      <c r="F179" s="3" t="inlineStr">
        <is>
          <t>R-005</t>
        </is>
      </c>
      <c r="G179" s="3" t="inlineStr">
        <is>
          <t>Training Schedule Compression (MEDIUM)</t>
        </is>
      </c>
      <c r="H179" s="3" t="inlineStr">
        <is>
          <t>MEDIUM</t>
        </is>
      </c>
    </row>
    <row r="180">
      <c r="A180" s="3" t="inlineStr">
        <is>
          <t>RSK-SCHED</t>
        </is>
      </c>
      <c r="B180" s="3" t="inlineStr">
        <is>
          <t>Schedule Risk</t>
        </is>
      </c>
      <c r="C180" s="3" t="inlineStr">
        <is>
          <t>RSK-SCHED-037</t>
        </is>
      </c>
      <c r="D180" s="3" t="inlineStr">
        <is>
          <t>Construction Schedule Duration Variance</t>
        </is>
      </c>
      <c r="E180" s="3" t="inlineStr">
        <is>
          <t>PKG-33</t>
        </is>
      </c>
      <c r="F180" s="3" t="inlineStr">
        <is>
          <t>R-006</t>
        </is>
      </c>
      <c r="G180" s="3" t="inlineStr">
        <is>
          <t>Construction Schedule Duration Variance</t>
        </is>
      </c>
      <c r="H180" s="3" t="inlineStr"/>
    </row>
    <row r="181">
      <c r="A181" s="3" t="inlineStr">
        <is>
          <t>RSK-SCHED</t>
        </is>
      </c>
      <c r="B181" s="3" t="inlineStr">
        <is>
          <t>Schedule Risk</t>
        </is>
      </c>
      <c r="C181" s="3" t="inlineStr">
        <is>
          <t>RSK-SCHED-038</t>
        </is>
      </c>
      <c r="D181" s="3" t="inlineStr">
        <is>
          <t>Employer Staffing Delays (LOW)</t>
        </is>
      </c>
      <c r="E181" s="3" t="inlineStr">
        <is>
          <t>PKG-35</t>
        </is>
      </c>
      <c r="F181" s="3" t="inlineStr">
        <is>
          <t>R-006</t>
        </is>
      </c>
      <c r="G181" s="3" t="inlineStr">
        <is>
          <t>Employer Staffing Delays (LOW)</t>
        </is>
      </c>
      <c r="H181" s="3" t="inlineStr">
        <is>
          <t>LOW</t>
        </is>
      </c>
    </row>
    <row r="182">
      <c r="A182" s="3" t="inlineStr">
        <is>
          <t>RSK-SCHED</t>
        </is>
      </c>
      <c r="B182" s="3" t="inlineStr">
        <is>
          <t>Schedule Risk</t>
        </is>
      </c>
      <c r="C182" s="3" t="inlineStr">
        <is>
          <t>RSK-SCHED-039</t>
        </is>
      </c>
      <c r="D182" s="3" t="inlineStr">
        <is>
          <t>Project Duration Extension</t>
        </is>
      </c>
      <c r="E182" s="3" t="inlineStr">
        <is>
          <t>PKG-34</t>
        </is>
      </c>
      <c r="F182" s="3" t="inlineStr">
        <is>
          <t>R-002</t>
        </is>
      </c>
      <c r="G182" s="3" t="inlineStr">
        <is>
          <t>Project Duration Extension</t>
        </is>
      </c>
      <c r="H182" s="3" t="inlineStr"/>
    </row>
    <row r="183">
      <c r="A183" s="3" t="inlineStr">
        <is>
          <t>RSK-SCOPE</t>
        </is>
      </c>
      <c r="B183" s="3" t="inlineStr">
        <is>
          <t>Scope Risk</t>
        </is>
      </c>
      <c r="C183" s="3" t="inlineStr">
        <is>
          <t>RSK-SCOPE-040</t>
        </is>
      </c>
      <c r="D183" s="3" t="inlineStr">
        <is>
          <t>Scope Definition/Growth Risk</t>
        </is>
      </c>
      <c r="E183" s="3" t="inlineStr">
        <is>
          <t>PKG-00</t>
        </is>
      </c>
      <c r="F183" s="3" t="inlineStr">
        <is>
          <t>R-006</t>
        </is>
      </c>
      <c r="G183" s="3" t="inlineStr">
        <is>
          <t>Road Damage and Restoration Scope Uncertainty</t>
        </is>
      </c>
      <c r="H183" s="3" t="inlineStr"/>
    </row>
    <row r="184">
      <c r="A184" s="3" t="inlineStr">
        <is>
          <t>RSK-SCOPE</t>
        </is>
      </c>
      <c r="B184" s="3" t="inlineStr">
        <is>
          <t>Scope Risk</t>
        </is>
      </c>
      <c r="C184" s="3" t="inlineStr">
        <is>
          <t>RSK-SCOPE-040</t>
        </is>
      </c>
      <c r="D184" s="3" t="inlineStr">
        <is>
          <t>Scope Definition/Growth Risk</t>
        </is>
      </c>
      <c r="E184" s="3" t="inlineStr">
        <is>
          <t>PKG-00</t>
        </is>
      </c>
      <c r="F184" s="3" t="inlineStr">
        <is>
          <t>R-007</t>
        </is>
      </c>
      <c r="G184" s="3" t="inlineStr">
        <is>
          <t>Scope Creep — Site Establishment Requirements Growth</t>
        </is>
      </c>
      <c r="H184" s="3" t="inlineStr"/>
    </row>
    <row r="185">
      <c r="A185" s="3" t="inlineStr">
        <is>
          <t>RSK-SCOPE</t>
        </is>
      </c>
      <c r="B185" s="3" t="inlineStr">
        <is>
          <t>Scope Risk</t>
        </is>
      </c>
      <c r="C185" s="3" t="inlineStr">
        <is>
          <t>RSK-SCOPE-040</t>
        </is>
      </c>
      <c r="D185" s="3" t="inlineStr">
        <is>
          <t>Scope Definition/Growth Risk</t>
        </is>
      </c>
      <c r="E185" s="3" t="inlineStr">
        <is>
          <t>PKG-01</t>
        </is>
      </c>
      <c r="F185" s="3" t="inlineStr">
        <is>
          <t>R-102</t>
        </is>
      </c>
      <c r="G185" s="3" t="inlineStr">
        <is>
          <t>Dolphin 2 Marine Demolition Scope Uncertainty (HIGH)</t>
        </is>
      </c>
      <c r="H185" s="3" t="inlineStr">
        <is>
          <t>HIGH</t>
        </is>
      </c>
    </row>
    <row r="186">
      <c r="A186" s="3" t="inlineStr">
        <is>
          <t>RSK-SCOPE</t>
        </is>
      </c>
      <c r="B186" s="3" t="inlineStr">
        <is>
          <t>Scope Risk</t>
        </is>
      </c>
      <c r="C186" s="3" t="inlineStr">
        <is>
          <t>RSK-SCOPE-040</t>
        </is>
      </c>
      <c r="D186" s="3" t="inlineStr">
        <is>
          <t>Scope Definition/Growth Risk</t>
        </is>
      </c>
      <c r="E186" s="3" t="inlineStr">
        <is>
          <t>PKG-13</t>
        </is>
      </c>
      <c r="F186" s="3" t="inlineStr">
        <is>
          <t>R-012</t>
        </is>
      </c>
      <c r="G186" s="3" t="inlineStr">
        <is>
          <t>Phase 2 scope creep</t>
        </is>
      </c>
      <c r="H186" s="3" t="inlineStr"/>
    </row>
    <row r="187">
      <c r="A187" s="3" t="inlineStr">
        <is>
          <t>RSK-SCOPE</t>
        </is>
      </c>
      <c r="B187" s="3" t="inlineStr">
        <is>
          <t>Scope Risk</t>
        </is>
      </c>
      <c r="C187" s="3" t="inlineStr">
        <is>
          <t>RSK-SCOPE-040</t>
        </is>
      </c>
      <c r="D187" s="3" t="inlineStr">
        <is>
          <t>Scope Definition/Growth Risk</t>
        </is>
      </c>
      <c r="E187" s="3" t="inlineStr">
        <is>
          <t>PKG-15</t>
        </is>
      </c>
      <c r="F187" s="3" t="inlineStr">
        <is>
          <t>R-007</t>
        </is>
      </c>
      <c r="G187" s="3" t="inlineStr">
        <is>
          <t>Engineering Scope Creep or Coordination Effort</t>
        </is>
      </c>
      <c r="H187" s="3" t="inlineStr"/>
    </row>
    <row r="188">
      <c r="A188" s="3" t="inlineStr">
        <is>
          <t>RSK-SCOPE</t>
        </is>
      </c>
      <c r="B188" s="3" t="inlineStr">
        <is>
          <t>Scope Risk</t>
        </is>
      </c>
      <c r="C188" s="3" t="inlineStr">
        <is>
          <t>RSK-SCOPE-040</t>
        </is>
      </c>
      <c r="D188" s="3" t="inlineStr">
        <is>
          <t>Scope Definition/Growth Risk</t>
        </is>
      </c>
      <c r="E188" s="3" t="inlineStr">
        <is>
          <t>PKG-16</t>
        </is>
      </c>
      <c r="F188" s="3" t="inlineStr">
        <is>
          <t>R-1615</t>
        </is>
      </c>
      <c r="G188" s="3" t="inlineStr">
        <is>
          <t>Strainer and Specialty Equipment Scope Ambiguity</t>
        </is>
      </c>
      <c r="H188" s="3" t="inlineStr"/>
    </row>
    <row r="189">
      <c r="A189" s="3" t="inlineStr">
        <is>
          <t>RSK-SCOPE</t>
        </is>
      </c>
      <c r="B189" s="3" t="inlineStr">
        <is>
          <t>Scope Risk</t>
        </is>
      </c>
      <c r="C189" s="3" t="inlineStr">
        <is>
          <t>RSK-SCOPE-040</t>
        </is>
      </c>
      <c r="D189" s="3" t="inlineStr">
        <is>
          <t>Scope Definition/Growth Risk</t>
        </is>
      </c>
      <c r="E189" s="3" t="inlineStr">
        <is>
          <t>PKG-16</t>
        </is>
      </c>
      <c r="F189" s="3" t="inlineStr">
        <is>
          <t>R-1617</t>
        </is>
      </c>
      <c r="G189" s="3" t="inlineStr">
        <is>
          <t>Engineering Scope Creep Risk</t>
        </is>
      </c>
      <c r="H189" s="3" t="inlineStr"/>
    </row>
    <row r="190">
      <c r="A190" s="3" t="inlineStr">
        <is>
          <t>RSK-SCOPE</t>
        </is>
      </c>
      <c r="B190" s="3" t="inlineStr">
        <is>
          <t>Scope Risk</t>
        </is>
      </c>
      <c r="C190" s="3" t="inlineStr">
        <is>
          <t>RSK-SCOPE-040</t>
        </is>
      </c>
      <c r="D190" s="3" t="inlineStr">
        <is>
          <t>Scope Definition/Growth Risk</t>
        </is>
      </c>
      <c r="E190" s="3" t="inlineStr">
        <is>
          <t>PKG-22</t>
        </is>
      </c>
      <c r="F190" s="3" t="inlineStr">
        <is>
          <t>R-003</t>
        </is>
      </c>
      <c r="G190" s="3" t="inlineStr">
        <is>
          <t>Fire Suppression System Scope Uncertainty</t>
        </is>
      </c>
      <c r="H190" s="3" t="inlineStr"/>
    </row>
    <row r="191">
      <c r="A191" s="3" t="inlineStr">
        <is>
          <t>RSK-SCOPE</t>
        </is>
      </c>
      <c r="B191" s="3" t="inlineStr">
        <is>
          <t>Scope Risk</t>
        </is>
      </c>
      <c r="C191" s="3" t="inlineStr">
        <is>
          <t>RSK-SCOPE-040</t>
        </is>
      </c>
      <c r="D191" s="3" t="inlineStr">
        <is>
          <t>Scope Definition/Growth Risk</t>
        </is>
      </c>
      <c r="E191" s="3" t="inlineStr">
        <is>
          <t>PKG-22</t>
        </is>
      </c>
      <c r="F191" s="3" t="inlineStr">
        <is>
          <t>R-009</t>
        </is>
      </c>
      <c r="G191" s="3" t="inlineStr">
        <is>
          <t>Interior Finishes Scope Definition</t>
        </is>
      </c>
      <c r="H191" s="3" t="inlineStr"/>
    </row>
    <row r="192">
      <c r="A192" s="3" t="inlineStr">
        <is>
          <t>RSK-SCOPE</t>
        </is>
      </c>
      <c r="B192" s="3" t="inlineStr">
        <is>
          <t>Scope Risk</t>
        </is>
      </c>
      <c r="C192" s="3" t="inlineStr">
        <is>
          <t>RSK-SCOPE-040</t>
        </is>
      </c>
      <c r="D192" s="3" t="inlineStr">
        <is>
          <t>Scope Definition/Growth Risk</t>
        </is>
      </c>
      <c r="E192" s="3" t="inlineStr">
        <is>
          <t>PKG-32</t>
        </is>
      </c>
      <c r="F192" s="3" t="inlineStr">
        <is>
          <t>R-3201</t>
        </is>
      </c>
      <c r="G192" s="3" t="inlineStr">
        <is>
          <t>Permit Count and Scope Uncertainty</t>
        </is>
      </c>
      <c r="H192" s="3" t="inlineStr"/>
    </row>
    <row r="193">
      <c r="A193" s="3" t="inlineStr">
        <is>
          <t>RSK-SCOPE</t>
        </is>
      </c>
      <c r="B193" s="3" t="inlineStr">
        <is>
          <t>Scope Risk</t>
        </is>
      </c>
      <c r="C193" s="3" t="inlineStr">
        <is>
          <t>RSK-SCOPE-040</t>
        </is>
      </c>
      <c r="D193" s="3" t="inlineStr">
        <is>
          <t>Scope Definition/Growth Risk</t>
        </is>
      </c>
      <c r="E193" s="3" t="inlineStr">
        <is>
          <t>PKG-32</t>
        </is>
      </c>
      <c r="F193" s="3" t="inlineStr">
        <is>
          <t>R-3204</t>
        </is>
      </c>
      <c r="G193" s="3" t="inlineStr">
        <is>
          <t>Regulatory Consultant Scope Creep</t>
        </is>
      </c>
      <c r="H193" s="3" t="inlineStr"/>
    </row>
    <row r="194">
      <c r="A194" s="3" t="inlineStr">
        <is>
          <t>RSK-SCOPE</t>
        </is>
      </c>
      <c r="B194" s="3" t="inlineStr">
        <is>
          <t>Scope Risk</t>
        </is>
      </c>
      <c r="C194" s="3" t="inlineStr">
        <is>
          <t>RSK-SCOPE-040</t>
        </is>
      </c>
      <c r="D194" s="3" t="inlineStr">
        <is>
          <t>Scope Definition/Growth Risk</t>
        </is>
      </c>
      <c r="E194" s="3" t="inlineStr">
        <is>
          <t>PKG-33</t>
        </is>
      </c>
      <c r="F194" s="3" t="inlineStr">
        <is>
          <t>R-002</t>
        </is>
      </c>
      <c r="G194" s="3" t="inlineStr">
        <is>
          <t>Environmental Monitoring Scope Creep</t>
        </is>
      </c>
      <c r="H194" s="3" t="inlineStr"/>
    </row>
    <row r="195">
      <c r="A195" s="3" t="inlineStr">
        <is>
          <t>RSK-SCOPE</t>
        </is>
      </c>
      <c r="B195" s="3" t="inlineStr">
        <is>
          <t>Scope Risk</t>
        </is>
      </c>
      <c r="C195" s="3" t="inlineStr">
        <is>
          <t>RSK-SCOPE-041</t>
        </is>
      </c>
      <c r="D195" s="3" t="inlineStr">
        <is>
          <t>Technical Design Complexity</t>
        </is>
      </c>
      <c r="E195" s="3" t="inlineStr">
        <is>
          <t>PKG-05</t>
        </is>
      </c>
      <c r="F195" s="3" t="inlineStr">
        <is>
          <t>R-009</t>
        </is>
      </c>
      <c r="G195" s="3" t="inlineStr">
        <is>
          <t>Seismic Requirements</t>
        </is>
      </c>
      <c r="H195" s="3" t="inlineStr"/>
    </row>
    <row r="196">
      <c r="A196" s="3" t="inlineStr">
        <is>
          <t>RSK-SCOPE</t>
        </is>
      </c>
      <c r="B196" s="3" t="inlineStr">
        <is>
          <t>Scope Risk</t>
        </is>
      </c>
      <c r="C196" s="3" t="inlineStr">
        <is>
          <t>RSK-SCOPE-041</t>
        </is>
      </c>
      <c r="D196" s="3" t="inlineStr">
        <is>
          <t>Technical Design Complexity</t>
        </is>
      </c>
      <c r="E196" s="3" t="inlineStr">
        <is>
          <t>PKG-08</t>
        </is>
      </c>
      <c r="F196" s="3" t="inlineStr">
        <is>
          <t>R-807</t>
        </is>
      </c>
      <c r="G196" s="3" t="inlineStr">
        <is>
          <t>Design Changes from ER Requirements Not Yet Extracted</t>
        </is>
      </c>
      <c r="H196" s="3" t="inlineStr"/>
    </row>
    <row r="197">
      <c r="A197" s="3" t="inlineStr">
        <is>
          <t>RSK-SCOPE</t>
        </is>
      </c>
      <c r="B197" s="3" t="inlineStr">
        <is>
          <t>Scope Risk</t>
        </is>
      </c>
      <c r="C197" s="3" t="inlineStr">
        <is>
          <t>RSK-SCOPE-041</t>
        </is>
      </c>
      <c r="D197" s="3" t="inlineStr">
        <is>
          <t>Technical Design Complexity</t>
        </is>
      </c>
      <c r="E197" s="3" t="inlineStr">
        <is>
          <t>PKG-13</t>
        </is>
      </c>
      <c r="F197" s="3" t="inlineStr">
        <is>
          <t>R-003</t>
        </is>
      </c>
      <c r="G197" s="3" t="inlineStr">
        <is>
          <t>Seismic complexity</t>
        </is>
      </c>
      <c r="H197" s="3" t="inlineStr"/>
    </row>
    <row r="198">
      <c r="A198" s="3" t="inlineStr">
        <is>
          <t>RSK-SCOPE</t>
        </is>
      </c>
      <c r="B198" s="3" t="inlineStr">
        <is>
          <t>Scope Risk</t>
        </is>
      </c>
      <c r="C198" s="3" t="inlineStr">
        <is>
          <t>RSK-SCOPE-041</t>
        </is>
      </c>
      <c r="D198" s="3" t="inlineStr">
        <is>
          <t>Technical Design Complexity</t>
        </is>
      </c>
      <c r="E198" s="3" t="inlineStr">
        <is>
          <t>PKG-14</t>
        </is>
      </c>
      <c r="F198" s="3" t="inlineStr">
        <is>
          <t>R-003</t>
        </is>
      </c>
      <c r="G198" s="3" t="inlineStr">
        <is>
          <t>Technical - Transient Analysis</t>
        </is>
      </c>
      <c r="H198" s="3" t="inlineStr"/>
    </row>
    <row r="199">
      <c r="A199" s="3" t="inlineStr">
        <is>
          <t>RSK-SCOPE</t>
        </is>
      </c>
      <c r="B199" s="3" t="inlineStr">
        <is>
          <t>Scope Risk</t>
        </is>
      </c>
      <c r="C199" s="3" t="inlineStr">
        <is>
          <t>RSK-SCOPE-041</t>
        </is>
      </c>
      <c r="D199" s="3" t="inlineStr">
        <is>
          <t>Technical Design Complexity</t>
        </is>
      </c>
      <c r="E199" s="3" t="inlineStr">
        <is>
          <t>PKG-14</t>
        </is>
      </c>
      <c r="F199" s="3" t="inlineStr">
        <is>
          <t>R-004</t>
        </is>
      </c>
      <c r="G199" s="3" t="inlineStr">
        <is>
          <t>Technical - Stress Analysis</t>
        </is>
      </c>
      <c r="H199" s="3" t="inlineStr"/>
    </row>
    <row r="200">
      <c r="A200" s="3" t="inlineStr">
        <is>
          <t>RSK-SCOPE</t>
        </is>
      </c>
      <c r="B200" s="3" t="inlineStr">
        <is>
          <t>Scope Risk</t>
        </is>
      </c>
      <c r="C200" s="3" t="inlineStr">
        <is>
          <t>RSK-SCOPE-041</t>
        </is>
      </c>
      <c r="D200" s="3" t="inlineStr">
        <is>
          <t>Technical Design Complexity</t>
        </is>
      </c>
      <c r="E200" s="3" t="inlineStr">
        <is>
          <t>PKG-18</t>
        </is>
      </c>
      <c r="F200" s="3" t="inlineStr">
        <is>
          <t>R-1808</t>
        </is>
      </c>
      <c r="G200" s="3" t="inlineStr">
        <is>
          <t>Design Changes from ER Requirements Not Yet Extracted</t>
        </is>
      </c>
      <c r="H200" s="3" t="inlineStr"/>
    </row>
    <row r="201">
      <c r="A201" s="3" t="inlineStr">
        <is>
          <t>RSK-SCOPE</t>
        </is>
      </c>
      <c r="B201" s="3" t="inlineStr">
        <is>
          <t>Scope Risk</t>
        </is>
      </c>
      <c r="C201" s="3" t="inlineStr">
        <is>
          <t>RSK-SCOPE-041</t>
        </is>
      </c>
      <c r="D201" s="3" t="inlineStr">
        <is>
          <t>Technical Design Complexity</t>
        </is>
      </c>
      <c r="E201" s="3" t="inlineStr">
        <is>
          <t>PKG-21</t>
        </is>
      </c>
      <c r="F201" s="3" t="inlineStr">
        <is>
          <t>R-003</t>
        </is>
      </c>
      <c r="G201" s="3" t="inlineStr">
        <is>
          <t>Seismic Design Requirements</t>
        </is>
      </c>
      <c r="H201" s="3" t="inlineStr"/>
    </row>
    <row r="202">
      <c r="A202" s="3" t="inlineStr">
        <is>
          <t>RSK-SCOPE</t>
        </is>
      </c>
      <c r="B202" s="3" t="inlineStr">
        <is>
          <t>Scope Risk</t>
        </is>
      </c>
      <c r="C202" s="3" t="inlineStr">
        <is>
          <t>RSK-SCOPE-042</t>
        </is>
      </c>
      <c r="D202" s="3" t="inlineStr">
        <is>
          <t>Control System Integration</t>
        </is>
      </c>
      <c r="E202" s="3" t="inlineStr">
        <is>
          <t>PKG-18</t>
        </is>
      </c>
      <c r="F202" s="3" t="inlineStr">
        <is>
          <t>R-1805</t>
        </is>
      </c>
      <c r="G202" s="3" t="inlineStr">
        <is>
          <t>Control System Integration Complexity Higher Than Assumed</t>
        </is>
      </c>
      <c r="H202" s="3" t="inlineStr"/>
    </row>
    <row r="203">
      <c r="A203" s="3" t="inlineStr">
        <is>
          <t>RSK-SCOPE</t>
        </is>
      </c>
      <c r="B203" s="3" t="inlineStr">
        <is>
          <t>Scope Risk</t>
        </is>
      </c>
      <c r="C203" s="3" t="inlineStr">
        <is>
          <t>RSK-SCOPE-042</t>
        </is>
      </c>
      <c r="D203" s="3" t="inlineStr">
        <is>
          <t>Control System Integration</t>
        </is>
      </c>
      <c r="E203" s="3" t="inlineStr">
        <is>
          <t>PKG-19</t>
        </is>
      </c>
      <c r="F203" s="3" t="inlineStr">
        <is>
          <t>R-002</t>
        </is>
      </c>
      <c r="G203" s="3" t="inlineStr">
        <is>
          <t>I/O Count Growth</t>
        </is>
      </c>
      <c r="H203" s="3" t="inlineStr"/>
    </row>
    <row r="204">
      <c r="A204" s="3" t="inlineStr">
        <is>
          <t>RSK-SCOPE</t>
        </is>
      </c>
      <c r="B204" s="3" t="inlineStr">
        <is>
          <t>Scope Risk</t>
        </is>
      </c>
      <c r="C204" s="3" t="inlineStr">
        <is>
          <t>RSK-SCOPE-042</t>
        </is>
      </c>
      <c r="D204" s="3" t="inlineStr">
        <is>
          <t>Control System Integration</t>
        </is>
      </c>
      <c r="E204" s="3" t="inlineStr">
        <is>
          <t>PKG-19</t>
        </is>
      </c>
      <c r="F204" s="3" t="inlineStr">
        <is>
          <t>R-003</t>
        </is>
      </c>
      <c r="G204" s="3" t="inlineStr">
        <is>
          <t>Software Development Scope Expansion</t>
        </is>
      </c>
      <c r="H204" s="3" t="inlineStr"/>
    </row>
    <row r="205">
      <c r="A205" s="3" t="inlineStr">
        <is>
          <t>RSK-SCOPE</t>
        </is>
      </c>
      <c r="B205" s="3" t="inlineStr">
        <is>
          <t>Scope Risk</t>
        </is>
      </c>
      <c r="C205" s="3" t="inlineStr">
        <is>
          <t>RSK-SCOPE-042</t>
        </is>
      </c>
      <c r="D205" s="3" t="inlineStr">
        <is>
          <t>Control System Integration</t>
        </is>
      </c>
      <c r="E205" s="3" t="inlineStr">
        <is>
          <t>PKG-19</t>
        </is>
      </c>
      <c r="F205" s="3" t="inlineStr">
        <is>
          <t>R-004</t>
        </is>
      </c>
      <c r="G205" s="3" t="inlineStr">
        <is>
          <t>Safety Instrumented System (SIS) Requirement</t>
        </is>
      </c>
      <c r="H205" s="3" t="inlineStr"/>
    </row>
    <row r="206">
      <c r="A206" s="3" t="inlineStr">
        <is>
          <t>RSK-SCOPE</t>
        </is>
      </c>
      <c r="B206" s="3" t="inlineStr">
        <is>
          <t>Scope Risk</t>
        </is>
      </c>
      <c r="C206" s="3" t="inlineStr">
        <is>
          <t>RSK-SCOPE-042</t>
        </is>
      </c>
      <c r="D206" s="3" t="inlineStr">
        <is>
          <t>Control System Integration</t>
        </is>
      </c>
      <c r="E206" s="3" t="inlineStr">
        <is>
          <t>PKG-19</t>
        </is>
      </c>
      <c r="F206" s="3" t="inlineStr">
        <is>
          <t>R-005</t>
        </is>
      </c>
      <c r="G206" s="3" t="inlineStr">
        <is>
          <t>Cybersecurity Requirements</t>
        </is>
      </c>
      <c r="H206" s="3" t="inlineStr"/>
    </row>
    <row r="207">
      <c r="A207" s="3" t="inlineStr">
        <is>
          <t>RSK-SCOPE</t>
        </is>
      </c>
      <c r="B207" s="3" t="inlineStr">
        <is>
          <t>Scope Risk</t>
        </is>
      </c>
      <c r="C207" s="3" t="inlineStr">
        <is>
          <t>RSK-SCOPE-042</t>
        </is>
      </c>
      <c r="D207" s="3" t="inlineStr">
        <is>
          <t>Control System Integration</t>
        </is>
      </c>
      <c r="E207" s="3" t="inlineStr">
        <is>
          <t>PKG-20</t>
        </is>
      </c>
      <c r="F207" s="3" t="inlineStr">
        <is>
          <t>R-005</t>
        </is>
      </c>
      <c r="G207" s="3" t="inlineStr">
        <is>
          <t>Control System Integration</t>
        </is>
      </c>
      <c r="H207" s="3" t="inlineStr"/>
    </row>
    <row r="208">
      <c r="A208" s="3" t="inlineStr">
        <is>
          <t>RSK-SCOPE</t>
        </is>
      </c>
      <c r="B208" s="3" t="inlineStr">
        <is>
          <t>Scope Risk</t>
        </is>
      </c>
      <c r="C208" s="3" t="inlineStr">
        <is>
          <t>RSK-SCOPE-043</t>
        </is>
      </c>
      <c r="D208" s="3" t="inlineStr">
        <is>
          <t>Commissioning/Testing Complexity</t>
        </is>
      </c>
      <c r="E208" s="3" t="inlineStr">
        <is>
          <t>PKG-10</t>
        </is>
      </c>
      <c r="F208" s="3" t="inlineStr">
        <is>
          <t>R-009</t>
        </is>
      </c>
      <c r="G208" s="3" t="inlineStr">
        <is>
          <t>Commissioning Scope Risk</t>
        </is>
      </c>
      <c r="H208" s="3" t="inlineStr"/>
    </row>
    <row r="209">
      <c r="A209" s="3" t="inlineStr">
        <is>
          <t>RSK-SCOPE</t>
        </is>
      </c>
      <c r="B209" s="3" t="inlineStr">
        <is>
          <t>Scope Risk</t>
        </is>
      </c>
      <c r="C209" s="3" t="inlineStr">
        <is>
          <t>RSK-SCOPE-043</t>
        </is>
      </c>
      <c r="D209" s="3" t="inlineStr">
        <is>
          <t>Commissioning/Testing Complexity</t>
        </is>
      </c>
      <c r="E209" s="3" t="inlineStr">
        <is>
          <t>PKG-11</t>
        </is>
      </c>
      <c r="F209" s="3" t="inlineStr">
        <is>
          <t>R-010</t>
        </is>
      </c>
      <c r="G209" s="3" t="inlineStr">
        <is>
          <t>Commissioning - Complexity</t>
        </is>
      </c>
      <c r="H209" s="3" t="inlineStr"/>
    </row>
    <row r="210">
      <c r="A210" s="3" t="inlineStr">
        <is>
          <t>RSK-SCOPE</t>
        </is>
      </c>
      <c r="B210" s="3" t="inlineStr">
        <is>
          <t>Scope Risk</t>
        </is>
      </c>
      <c r="C210" s="3" t="inlineStr">
        <is>
          <t>RSK-SCOPE-043</t>
        </is>
      </c>
      <c r="D210" s="3" t="inlineStr">
        <is>
          <t>Commissioning/Testing Complexity</t>
        </is>
      </c>
      <c r="E210" s="3" t="inlineStr">
        <is>
          <t>PKG-15</t>
        </is>
      </c>
      <c r="F210" s="3" t="inlineStr">
        <is>
          <t>R-008</t>
        </is>
      </c>
      <c r="G210" s="3" t="inlineStr">
        <is>
          <t>Commissioning Complexity and Schedule</t>
        </is>
      </c>
      <c r="H210" s="3" t="inlineStr"/>
    </row>
    <row r="211">
      <c r="A211" s="3" t="inlineStr">
        <is>
          <t>RSK-SCOPE</t>
        </is>
      </c>
      <c r="B211" s="3" t="inlineStr">
        <is>
          <t>Scope Risk</t>
        </is>
      </c>
      <c r="C211" s="3" t="inlineStr">
        <is>
          <t>RSK-SCOPE-043</t>
        </is>
      </c>
      <c r="D211" s="3" t="inlineStr">
        <is>
          <t>Commissioning/Testing Complexity</t>
        </is>
      </c>
      <c r="E211" s="3" t="inlineStr">
        <is>
          <t>PKG-16</t>
        </is>
      </c>
      <c r="F211" s="3" t="inlineStr">
        <is>
          <t>R-1618</t>
        </is>
      </c>
      <c r="G211" s="3" t="inlineStr">
        <is>
          <t>Testing and Commissioning Scope Risk</t>
        </is>
      </c>
      <c r="H211" s="3" t="inlineStr"/>
    </row>
    <row r="212">
      <c r="A212" s="3" t="inlineStr">
        <is>
          <t>RSK-SCOPE</t>
        </is>
      </c>
      <c r="B212" s="3" t="inlineStr">
        <is>
          <t>Scope Risk</t>
        </is>
      </c>
      <c r="C212" s="3" t="inlineStr">
        <is>
          <t>RSK-SCOPE-043</t>
        </is>
      </c>
      <c r="D212" s="3" t="inlineStr">
        <is>
          <t>Commissioning/Testing Complexity</t>
        </is>
      </c>
      <c r="E212" s="3" t="inlineStr">
        <is>
          <t>PKG-22</t>
        </is>
      </c>
      <c r="F212" s="3" t="inlineStr">
        <is>
          <t>R-012</t>
        </is>
      </c>
      <c r="G212" s="3" t="inlineStr">
        <is>
          <t>Commissioning and Testing Scope (PKG-30 vs PKG-22)</t>
        </is>
      </c>
      <c r="H212" s="3" t="inlineStr"/>
    </row>
    <row r="213">
      <c r="A213" s="3" t="inlineStr">
        <is>
          <t>RSK-SCOPE</t>
        </is>
      </c>
      <c r="B213" s="3" t="inlineStr">
        <is>
          <t>Scope Risk</t>
        </is>
      </c>
      <c r="C213" s="3" t="inlineStr">
        <is>
          <t>RSK-SCOPE-044</t>
        </is>
      </c>
      <c r="D213" s="3" t="inlineStr">
        <is>
          <t>Equipment Specification Risk</t>
        </is>
      </c>
      <c r="E213" s="3" t="inlineStr">
        <is>
          <t>PKG-15</t>
        </is>
      </c>
      <c r="F213" s="3" t="inlineStr">
        <is>
          <t>R-003</t>
        </is>
      </c>
      <c r="G213" s="3" t="inlineStr">
        <is>
          <t>Motor and VFD Requirements Uncertainty</t>
        </is>
      </c>
      <c r="H213" s="3" t="inlineStr"/>
    </row>
    <row r="214">
      <c r="A214" s="3" t="inlineStr">
        <is>
          <t>RSK-SCOPE</t>
        </is>
      </c>
      <c r="B214" s="3" t="inlineStr">
        <is>
          <t>Scope Risk</t>
        </is>
      </c>
      <c r="C214" s="3" t="inlineStr">
        <is>
          <t>RSK-SCOPE-045</t>
        </is>
      </c>
      <c r="D214" s="3" t="inlineStr">
        <is>
          <t>API 610 Compliance Requirement Interpretation</t>
        </is>
      </c>
      <c r="E214" s="3" t="inlineStr">
        <is>
          <t>PKG-15</t>
        </is>
      </c>
      <c r="F214" s="3" t="inlineStr">
        <is>
          <t>R-011</t>
        </is>
      </c>
      <c r="G214" s="3" t="inlineStr">
        <is>
          <t>API 610 Compliance Requirement Interpretation</t>
        </is>
      </c>
      <c r="H214" s="3" t="inlineStr"/>
    </row>
    <row r="215">
      <c r="A215" s="3" t="inlineStr">
        <is>
          <t>RSK-SCOPE</t>
        </is>
      </c>
      <c r="B215" s="3" t="inlineStr">
        <is>
          <t>Scope Risk</t>
        </is>
      </c>
      <c r="C215" s="3" t="inlineStr">
        <is>
          <t>RSK-SCOPE-046</t>
        </is>
      </c>
      <c r="D215" s="3" t="inlineStr">
        <is>
          <t>Actuator and Automation Requirements Risk</t>
        </is>
      </c>
      <c r="E215" s="3" t="inlineStr">
        <is>
          <t>PKG-16</t>
        </is>
      </c>
      <c r="F215" s="3" t="inlineStr">
        <is>
          <t>R-1605</t>
        </is>
      </c>
      <c r="G215" s="3" t="inlineStr">
        <is>
          <t>Actuator and Automation Requirements Risk</t>
        </is>
      </c>
      <c r="H215" s="3" t="inlineStr"/>
    </row>
    <row r="216">
      <c r="A216" s="3" t="inlineStr">
        <is>
          <t>RSK-SCOPE</t>
        </is>
      </c>
      <c r="B216" s="3" t="inlineStr">
        <is>
          <t>Scope Risk</t>
        </is>
      </c>
      <c r="C216" s="3" t="inlineStr">
        <is>
          <t>RSK-SCOPE-047</t>
        </is>
      </c>
      <c r="D216" s="3" t="inlineStr">
        <is>
          <t>Asset Hierarchy / CMMS Requirements Complexity</t>
        </is>
      </c>
      <c r="E216" s="3" t="inlineStr">
        <is>
          <t>PKG-31</t>
        </is>
      </c>
      <c r="F216" s="3" t="inlineStr">
        <is>
          <t>R-007</t>
        </is>
      </c>
      <c r="G216" s="3" t="inlineStr">
        <is>
          <t>Asset Hierarchy / CMMS Requirements Complexity</t>
        </is>
      </c>
      <c r="H216" s="3" t="inlineStr"/>
    </row>
    <row r="217">
      <c r="A217" s="3" t="inlineStr">
        <is>
          <t>RSK-SCOPE</t>
        </is>
      </c>
      <c r="B217" s="3" t="inlineStr">
        <is>
          <t>Scope Risk</t>
        </is>
      </c>
      <c r="C217" s="3" t="inlineStr">
        <is>
          <t>RSK-SCOPE-048</t>
        </is>
      </c>
      <c r="D217" s="3" t="inlineStr">
        <is>
          <t>Canola Oil Fluid Properties and Heating Requirements</t>
        </is>
      </c>
      <c r="E217" s="3" t="inlineStr">
        <is>
          <t>PKG-15</t>
        </is>
      </c>
      <c r="F217" s="3" t="inlineStr">
        <is>
          <t>R-006</t>
        </is>
      </c>
      <c r="G217" s="3" t="inlineStr">
        <is>
          <t>Canola Oil Fluid Properties and Heating Requirements</t>
        </is>
      </c>
      <c r="H217" s="3" t="inlineStr"/>
    </row>
    <row r="218">
      <c r="A218" s="3" t="inlineStr">
        <is>
          <t>RSK-SCOPE</t>
        </is>
      </c>
      <c r="B218" s="3" t="inlineStr">
        <is>
          <t>Scope Risk</t>
        </is>
      </c>
      <c r="C218" s="3" t="inlineStr">
        <is>
          <t>RSK-SCOPE-049</t>
        </is>
      </c>
      <c r="D218" s="3" t="inlineStr">
        <is>
          <t>Containment Performance Requirements</t>
        </is>
      </c>
      <c r="E218" s="3" t="inlineStr">
        <is>
          <t>PKG-05</t>
        </is>
      </c>
      <c r="F218" s="3" t="inlineStr">
        <is>
          <t>R-005</t>
        </is>
      </c>
      <c r="G218" s="3" t="inlineStr">
        <is>
          <t>Containment Performance Requirements</t>
        </is>
      </c>
      <c r="H218" s="3" t="inlineStr"/>
    </row>
    <row r="219">
      <c r="A219" s="3" t="inlineStr">
        <is>
          <t>RSK-SCOPE</t>
        </is>
      </c>
      <c r="B219" s="3" t="inlineStr">
        <is>
          <t>Scope Risk</t>
        </is>
      </c>
      <c r="C219" s="3" t="inlineStr">
        <is>
          <t>RSK-SCOPE-050</t>
        </is>
      </c>
      <c r="D219" s="3" t="inlineStr">
        <is>
          <t>ER Illumination Requirements Exceed Typical Standards</t>
        </is>
      </c>
      <c r="E219" s="3" t="inlineStr">
        <is>
          <t>PKG-18</t>
        </is>
      </c>
      <c r="F219" s="3" t="inlineStr">
        <is>
          <t>R-1802</t>
        </is>
      </c>
      <c r="G219" s="3" t="inlineStr">
        <is>
          <t>ER Illumination Requirements Exceed Typical Standards</t>
        </is>
      </c>
      <c r="H219" s="3" t="inlineStr"/>
    </row>
    <row r="220">
      <c r="A220" s="3" t="inlineStr">
        <is>
          <t>RSK-SCOPE</t>
        </is>
      </c>
      <c r="B220" s="3" t="inlineStr">
        <is>
          <t>Scope Risk</t>
        </is>
      </c>
      <c r="C220" s="3" t="inlineStr">
        <is>
          <t>RSK-SCOPE-051</t>
        </is>
      </c>
      <c r="D220" s="3" t="inlineStr">
        <is>
          <t>Employer's Requirements Interpretation Risk</t>
        </is>
      </c>
      <c r="E220" s="3" t="inlineStr">
        <is>
          <t>PKG-32</t>
        </is>
      </c>
      <c r="F220" s="3" t="inlineStr">
        <is>
          <t>R-3208</t>
        </is>
      </c>
      <c r="G220" s="3" t="inlineStr">
        <is>
          <t>Employer's Requirements Interpretation Risk</t>
        </is>
      </c>
      <c r="H220" s="3" t="inlineStr"/>
    </row>
    <row r="221">
      <c r="A221" s="3" t="inlineStr">
        <is>
          <t>RSK-SCOPE</t>
        </is>
      </c>
      <c r="B221" s="3" t="inlineStr">
        <is>
          <t>Scope Risk</t>
        </is>
      </c>
      <c r="C221" s="3" t="inlineStr">
        <is>
          <t>RSK-SCOPE-052</t>
        </is>
      </c>
      <c r="D221" s="3" t="inlineStr">
        <is>
          <t>Employer's Requirements Not Extracted</t>
        </is>
      </c>
      <c r="E221" s="3" t="inlineStr">
        <is>
          <t>PKG-05</t>
        </is>
      </c>
      <c r="F221" s="3" t="inlineStr">
        <is>
          <t>R-007</t>
        </is>
      </c>
      <c r="G221" s="3" t="inlineStr">
        <is>
          <t>Employer's Requirements Not Extracted</t>
        </is>
      </c>
      <c r="H221" s="3" t="inlineStr"/>
    </row>
    <row r="222">
      <c r="A222" s="3" t="inlineStr">
        <is>
          <t>RSK-SCOPE</t>
        </is>
      </c>
      <c r="B222" s="3" t="inlineStr">
        <is>
          <t>Scope Risk</t>
        </is>
      </c>
      <c r="C222" s="3" t="inlineStr">
        <is>
          <t>RSK-SCOPE-053</t>
        </is>
      </c>
      <c r="D222" s="3" t="inlineStr">
        <is>
          <t>Food-Grade Material Requirements</t>
        </is>
      </c>
      <c r="E222" s="3" t="inlineStr">
        <is>
          <t>PKG-15</t>
        </is>
      </c>
      <c r="F222" s="3" t="inlineStr">
        <is>
          <t>R-013</t>
        </is>
      </c>
      <c r="G222" s="3" t="inlineStr">
        <is>
          <t>Food-Grade Material Requirements</t>
        </is>
      </c>
      <c r="H222" s="3" t="inlineStr"/>
    </row>
    <row r="223">
      <c r="A223" s="3" t="inlineStr">
        <is>
          <t>RSK-SCOPE</t>
        </is>
      </c>
      <c r="B223" s="3" t="inlineStr">
        <is>
          <t>Scope Risk</t>
        </is>
      </c>
      <c r="C223" s="3" t="inlineStr">
        <is>
          <t>RSK-SCOPE-054</t>
        </is>
      </c>
      <c r="D223" s="3" t="inlineStr">
        <is>
          <t>Food-Grade Material Requirements Risk</t>
        </is>
      </c>
      <c r="E223" s="3" t="inlineStr">
        <is>
          <t>PKG-10</t>
        </is>
      </c>
      <c r="F223" s="3" t="inlineStr">
        <is>
          <t>R-007</t>
        </is>
      </c>
      <c r="G223" s="3" t="inlineStr">
        <is>
          <t>Food-Grade Material Requirements Risk</t>
        </is>
      </c>
      <c r="H223" s="3" t="inlineStr"/>
    </row>
    <row r="224">
      <c r="A224" s="3" t="inlineStr">
        <is>
          <t>RSK-SCOPE</t>
        </is>
      </c>
      <c r="B224" s="3" t="inlineStr">
        <is>
          <t>Scope Risk</t>
        </is>
      </c>
      <c r="C224" s="3" t="inlineStr">
        <is>
          <t>RSK-SCOPE-055</t>
        </is>
      </c>
      <c r="D224" s="3" t="inlineStr">
        <is>
          <t>Language/Translation Requirements (LOW)</t>
        </is>
      </c>
      <c r="E224" s="3" t="inlineStr">
        <is>
          <t>PKG-35</t>
        </is>
      </c>
      <c r="F224" s="3" t="inlineStr">
        <is>
          <t>R-007</t>
        </is>
      </c>
      <c r="G224" s="3" t="inlineStr">
        <is>
          <t>Language/Translation Requirements (LOW)</t>
        </is>
      </c>
      <c r="H224" s="3" t="inlineStr">
        <is>
          <t>LOW</t>
        </is>
      </c>
    </row>
    <row r="225">
      <c r="A225" s="3" t="inlineStr">
        <is>
          <t>RSK-SCOPE</t>
        </is>
      </c>
      <c r="B225" s="3" t="inlineStr">
        <is>
          <t>Scope Risk</t>
        </is>
      </c>
      <c r="C225" s="3" t="inlineStr">
        <is>
          <t>RSK-SCOPE-056</t>
        </is>
      </c>
      <c r="D225" s="3" t="inlineStr">
        <is>
          <t>Plumbing Fixture Count and Hot Water Requirements</t>
        </is>
      </c>
      <c r="E225" s="3" t="inlineStr">
        <is>
          <t>PKG-22</t>
        </is>
      </c>
      <c r="F225" s="3" t="inlineStr">
        <is>
          <t>R-010</t>
        </is>
      </c>
      <c r="G225" s="3" t="inlineStr">
        <is>
          <t>Plumbing Fixture Count and Hot Water Requirements</t>
        </is>
      </c>
      <c r="H225" s="3" t="inlineStr"/>
    </row>
    <row r="226">
      <c r="A226" s="3" t="inlineStr">
        <is>
          <t>RSK-SCOPE</t>
        </is>
      </c>
      <c r="B226" s="3" t="inlineStr">
        <is>
          <t>Scope Risk</t>
        </is>
      </c>
      <c r="C226" s="3" t="inlineStr">
        <is>
          <t>RSK-SCOPE-057</t>
        </is>
      </c>
      <c r="D226" s="3" t="inlineStr">
        <is>
          <t>Scope - Arm Configuration</t>
        </is>
      </c>
      <c r="E226" s="3" t="inlineStr">
        <is>
          <t>PKG-11</t>
        </is>
      </c>
      <c r="F226" s="3" t="inlineStr">
        <is>
          <t>R-002</t>
        </is>
      </c>
      <c r="G226" s="3" t="inlineStr">
        <is>
          <t>Scope - Arm Configuration</t>
        </is>
      </c>
      <c r="H226" s="3" t="inlineStr"/>
    </row>
    <row r="227">
      <c r="A227" s="3" t="inlineStr">
        <is>
          <t>RSK-SCOPE</t>
        </is>
      </c>
      <c r="B227" s="3" t="inlineStr">
        <is>
          <t>Scope Risk</t>
        </is>
      </c>
      <c r="C227" s="3" t="inlineStr">
        <is>
          <t>RSK-SCOPE-058</t>
        </is>
      </c>
      <c r="D227" s="3" t="inlineStr">
        <is>
          <t>Scope - Header Sizing</t>
        </is>
      </c>
      <c r="E227" s="3" t="inlineStr">
        <is>
          <t>PKG-14</t>
        </is>
      </c>
      <c r="F227" s="3" t="inlineStr">
        <is>
          <t>R-002</t>
        </is>
      </c>
      <c r="G227" s="3" t="inlineStr">
        <is>
          <t>Scope - Header Sizing</t>
        </is>
      </c>
      <c r="H227" s="3" t="inlineStr"/>
    </row>
    <row r="228">
      <c r="A228" s="3" t="inlineStr">
        <is>
          <t>RSK-SCOPE</t>
        </is>
      </c>
      <c r="B228" s="3" t="inlineStr">
        <is>
          <t>Scope Risk</t>
        </is>
      </c>
      <c r="C228" s="3" t="inlineStr">
        <is>
          <t>RSK-SCOPE-059</t>
        </is>
      </c>
      <c r="D228" s="3" t="inlineStr">
        <is>
          <t>Scope - Phase 2 Provisions</t>
        </is>
      </c>
      <c r="E228" s="3" t="inlineStr">
        <is>
          <t>PKG-14</t>
        </is>
      </c>
      <c r="F228" s="3" t="inlineStr">
        <is>
          <t>R-014</t>
        </is>
      </c>
      <c r="G228" s="3" t="inlineStr">
        <is>
          <t>Scope - Phase 2 Provisions</t>
        </is>
      </c>
      <c r="H228" s="3" t="inlineStr"/>
    </row>
    <row r="229">
      <c r="A229" s="3" t="inlineStr">
        <is>
          <t>RSK-SCOPE</t>
        </is>
      </c>
      <c r="B229" s="3" t="inlineStr">
        <is>
          <t>Scope Risk</t>
        </is>
      </c>
      <c r="C229" s="3" t="inlineStr">
        <is>
          <t>RSK-SCOPE-060</t>
        </is>
      </c>
      <c r="D229" s="3" t="inlineStr">
        <is>
          <t>Scope - Pipe Routing</t>
        </is>
      </c>
      <c r="E229" s="3" t="inlineStr">
        <is>
          <t>PKG-11</t>
        </is>
      </c>
      <c r="F229" s="3" t="inlineStr">
        <is>
          <t>R-003</t>
        </is>
      </c>
      <c r="G229" s="3" t="inlineStr">
        <is>
          <t>Scope - Pipe Routing</t>
        </is>
      </c>
      <c r="H229" s="3" t="inlineStr"/>
    </row>
    <row r="230">
      <c r="A230" s="3" t="inlineStr">
        <is>
          <t>RSK-SCOPE</t>
        </is>
      </c>
      <c r="B230" s="3" t="inlineStr">
        <is>
          <t>Scope Risk</t>
        </is>
      </c>
      <c r="C230" s="3" t="inlineStr">
        <is>
          <t>RSK-SCOPE-061</t>
        </is>
      </c>
      <c r="D230" s="3" t="inlineStr">
        <is>
          <t>Scope - Piping Quantities</t>
        </is>
      </c>
      <c r="E230" s="3" t="inlineStr">
        <is>
          <t>PKG-14</t>
        </is>
      </c>
      <c r="F230" s="3" t="inlineStr">
        <is>
          <t>R-001</t>
        </is>
      </c>
      <c r="G230" s="3" t="inlineStr">
        <is>
          <t>Scope - Piping Quantities</t>
        </is>
      </c>
      <c r="H230" s="3" t="inlineStr"/>
    </row>
    <row r="231">
      <c r="A231" s="3" t="inlineStr">
        <is>
          <t>RSK-SCOPE</t>
        </is>
      </c>
      <c r="B231" s="3" t="inlineStr">
        <is>
          <t>Scope Risk</t>
        </is>
      </c>
      <c r="C231" s="3" t="inlineStr">
        <is>
          <t>RSK-SCOPE-062</t>
        </is>
      </c>
      <c r="D231" s="3" t="inlineStr">
        <is>
          <t>Security Compliance Scope</t>
        </is>
      </c>
      <c r="E231" s="3" t="inlineStr">
        <is>
          <t>PKG-34</t>
        </is>
      </c>
      <c r="F231" s="3" t="inlineStr">
        <is>
          <t>R-007</t>
        </is>
      </c>
      <c r="G231" s="3" t="inlineStr">
        <is>
          <t>Security Compliance Scope</t>
        </is>
      </c>
      <c r="H231" s="3" t="inlineStr"/>
    </row>
    <row r="232">
      <c r="A232" s="3" t="inlineStr">
        <is>
          <t>RSK-SCOPE</t>
        </is>
      </c>
      <c r="B232" s="3" t="inlineStr">
        <is>
          <t>Scope Risk</t>
        </is>
      </c>
      <c r="C232" s="3" t="inlineStr">
        <is>
          <t>RSK-SCOPE-063</t>
        </is>
      </c>
      <c r="D232" s="3" t="inlineStr">
        <is>
          <t>Site Reinstatement Scope (HIGH)</t>
        </is>
      </c>
      <c r="E232" s="3" t="inlineStr">
        <is>
          <t>PKG-35</t>
        </is>
      </c>
      <c r="F232" s="3" t="inlineStr">
        <is>
          <t>R-003</t>
        </is>
      </c>
      <c r="G232" s="3" t="inlineStr">
        <is>
          <t>Site Reinstatement Scope (HIGH)</t>
        </is>
      </c>
      <c r="H232" s="3" t="inlineStr">
        <is>
          <t>HIGH</t>
        </is>
      </c>
    </row>
    <row r="233">
      <c r="A233" s="3" t="inlineStr">
        <is>
          <t>RSK-SCOPE</t>
        </is>
      </c>
      <c r="B233" s="3" t="inlineStr">
        <is>
          <t>Scope Risk</t>
        </is>
      </c>
      <c r="C233" s="3" t="inlineStr">
        <is>
          <t>RSK-SCOPE-064</t>
        </is>
      </c>
      <c r="D233" s="3" t="inlineStr">
        <is>
          <t>Technical - Insulation Scope</t>
        </is>
      </c>
      <c r="E233" s="3" t="inlineStr">
        <is>
          <t>PKG-14</t>
        </is>
      </c>
      <c r="F233" s="3" t="inlineStr">
        <is>
          <t>R-013</t>
        </is>
      </c>
      <c r="G233" s="3" t="inlineStr">
        <is>
          <t>Technical - Insulation Scope</t>
        </is>
      </c>
      <c r="H233" s="3" t="inlineStr"/>
    </row>
    <row r="234">
      <c r="A234" s="3" t="inlineStr">
        <is>
          <t>RSK-SCOPE</t>
        </is>
      </c>
      <c r="B234" s="3" t="inlineStr">
        <is>
          <t>Scope Risk</t>
        </is>
      </c>
      <c r="C234" s="3" t="inlineStr">
        <is>
          <t>RSK-SCOPE-065</t>
        </is>
      </c>
      <c r="D234" s="3" t="inlineStr">
        <is>
          <t>Training Scope Expansion (HIGH)</t>
        </is>
      </c>
      <c r="E234" s="3" t="inlineStr">
        <is>
          <t>PKG-35</t>
        </is>
      </c>
      <c r="F234" s="3" t="inlineStr">
        <is>
          <t>R-001</t>
        </is>
      </c>
      <c r="G234" s="3" t="inlineStr">
        <is>
          <t>Training Scope Expansion (HIGH)</t>
        </is>
      </c>
      <c r="H234" s="3" t="inlineStr">
        <is>
          <t>HIGH</t>
        </is>
      </c>
    </row>
    <row r="235">
      <c r="A235" s="3" t="inlineStr">
        <is>
          <t>RSK-SCOPE</t>
        </is>
      </c>
      <c r="B235" s="3" t="inlineStr">
        <is>
          <t>Scope Risk</t>
        </is>
      </c>
      <c r="C235" s="3" t="inlineStr">
        <is>
          <t>RSK-SCOPE-066</t>
        </is>
      </c>
      <c r="D235" s="3" t="inlineStr">
        <is>
          <t>Trenchless Crossing Monitoring Scope</t>
        </is>
      </c>
      <c r="E235" s="3" t="inlineStr">
        <is>
          <t>PKG-34</t>
        </is>
      </c>
      <c r="F235" s="3" t="inlineStr">
        <is>
          <t>R-005</t>
        </is>
      </c>
      <c r="G235" s="3" t="inlineStr">
        <is>
          <t>Trenchless Crossing Monitoring Scope</t>
        </is>
      </c>
      <c r="H235" s="3" t="inlineStr"/>
    </row>
    <row r="236">
      <c r="A236" s="3" t="inlineStr">
        <is>
          <t>RSK-TECH</t>
        </is>
      </c>
      <c r="B236" s="3" t="inlineStr">
        <is>
          <t>Technical Risk</t>
        </is>
      </c>
      <c r="C236" s="3" t="inlineStr">
        <is>
          <t>RSK-TECH-067</t>
        </is>
      </c>
      <c r="D236" s="3" t="inlineStr">
        <is>
          <t>Geotechnical/Foundation Risk</t>
        </is>
      </c>
      <c r="E236" s="3" t="inlineStr">
        <is>
          <t>PKG-05</t>
        </is>
      </c>
      <c r="F236" s="3" t="inlineStr">
        <is>
          <t>R-003</t>
        </is>
      </c>
      <c r="G236" s="3" t="inlineStr">
        <is>
          <t>Foundation Type Uncertainty</t>
        </is>
      </c>
      <c r="H236" s="3" t="inlineStr"/>
    </row>
    <row r="237">
      <c r="A237" s="3" t="inlineStr">
        <is>
          <t>RSK-TECH</t>
        </is>
      </c>
      <c r="B237" s="3" t="inlineStr">
        <is>
          <t>Technical Risk</t>
        </is>
      </c>
      <c r="C237" s="3" t="inlineStr">
        <is>
          <t>RSK-TECH-067</t>
        </is>
      </c>
      <c r="D237" s="3" t="inlineStr">
        <is>
          <t>Geotechnical/Foundation Risk</t>
        </is>
      </c>
      <c r="E237" s="3" t="inlineStr">
        <is>
          <t>PKG-05</t>
        </is>
      </c>
      <c r="F237" s="3" t="inlineStr">
        <is>
          <t>R-004</t>
        </is>
      </c>
      <c r="G237" s="3" t="inlineStr">
        <is>
          <t>Geotechnical Conditions Unknown</t>
        </is>
      </c>
      <c r="H237" s="3" t="inlineStr"/>
    </row>
    <row r="238">
      <c r="A238" s="3" t="inlineStr">
        <is>
          <t>RSK-TECH</t>
        </is>
      </c>
      <c r="B238" s="3" t="inlineStr">
        <is>
          <t>Technical Risk</t>
        </is>
      </c>
      <c r="C238" s="3" t="inlineStr">
        <is>
          <t>RSK-TECH-067</t>
        </is>
      </c>
      <c r="D238" s="3" t="inlineStr">
        <is>
          <t>Geotechnical/Foundation Risk</t>
        </is>
      </c>
      <c r="E238" s="3" t="inlineStr">
        <is>
          <t>PKG-08</t>
        </is>
      </c>
      <c r="F238" s="3" t="inlineStr">
        <is>
          <t>R-801</t>
        </is>
      </c>
      <c r="G238" s="3" t="inlineStr">
        <is>
          <t>Geotechnical Conditions Worse Than Assumed</t>
        </is>
      </c>
      <c r="H238" s="3" t="inlineStr"/>
    </row>
    <row r="239">
      <c r="A239" s="3" t="inlineStr">
        <is>
          <t>RSK-TECH</t>
        </is>
      </c>
      <c r="B239" s="3" t="inlineStr">
        <is>
          <t>Technical Risk</t>
        </is>
      </c>
      <c r="C239" s="3" t="inlineStr">
        <is>
          <t>RSK-TECH-067</t>
        </is>
      </c>
      <c r="D239" s="3" t="inlineStr">
        <is>
          <t>Geotechnical/Foundation Risk</t>
        </is>
      </c>
      <c r="E239" s="3" t="inlineStr">
        <is>
          <t>PKG-13</t>
        </is>
      </c>
      <c r="F239" s="3" t="inlineStr">
        <is>
          <t>R-004</t>
        </is>
      </c>
      <c r="G239" s="3" t="inlineStr">
        <is>
          <t>Foundation interface</t>
        </is>
      </c>
      <c r="H239" s="3" t="inlineStr"/>
    </row>
    <row r="240">
      <c r="A240" s="3" t="inlineStr">
        <is>
          <t>RSK-TECH</t>
        </is>
      </c>
      <c r="B240" s="3" t="inlineStr">
        <is>
          <t>Technical Risk</t>
        </is>
      </c>
      <c r="C240" s="3" t="inlineStr">
        <is>
          <t>RSK-TECH-067</t>
        </is>
      </c>
      <c r="D240" s="3" t="inlineStr">
        <is>
          <t>Geotechnical/Foundation Risk</t>
        </is>
      </c>
      <c r="E240" s="3" t="inlineStr">
        <is>
          <t>PKG-13</t>
        </is>
      </c>
      <c r="F240" s="3" t="inlineStr">
        <is>
          <t>R-005</t>
        </is>
      </c>
      <c r="G240" s="3" t="inlineStr">
        <is>
          <t>Geotechnical conditions</t>
        </is>
      </c>
      <c r="H240" s="3" t="inlineStr"/>
    </row>
    <row r="241">
      <c r="A241" s="3" t="inlineStr">
        <is>
          <t>RSK-TECH</t>
        </is>
      </c>
      <c r="B241" s="3" t="inlineStr">
        <is>
          <t>Technical Risk</t>
        </is>
      </c>
      <c r="C241" s="3" t="inlineStr">
        <is>
          <t>RSK-TECH-067</t>
        </is>
      </c>
      <c r="D241" s="3" t="inlineStr">
        <is>
          <t>Geotechnical/Foundation Risk</t>
        </is>
      </c>
      <c r="E241" s="3" t="inlineStr">
        <is>
          <t>PKG-21</t>
        </is>
      </c>
      <c r="F241" s="3" t="inlineStr">
        <is>
          <t>R-002</t>
        </is>
      </c>
      <c r="G241" s="3" t="inlineStr">
        <is>
          <t>Difficult Ground Conditions Requiring Piles</t>
        </is>
      </c>
      <c r="H241" s="3" t="inlineStr"/>
    </row>
    <row r="242">
      <c r="A242" s="3" t="inlineStr">
        <is>
          <t>RSK-TECH</t>
        </is>
      </c>
      <c r="B242" s="3" t="inlineStr">
        <is>
          <t>Technical Risk</t>
        </is>
      </c>
      <c r="C242" s="3" t="inlineStr">
        <is>
          <t>RSK-TECH-068</t>
        </is>
      </c>
      <c r="D242" s="3" t="inlineStr">
        <is>
          <t>As-Built Markup Complexity</t>
        </is>
      </c>
      <c r="E242" s="3" t="inlineStr">
        <is>
          <t>PKG-31</t>
        </is>
      </c>
      <c r="F242" s="3" t="inlineStr">
        <is>
          <t>R-005</t>
        </is>
      </c>
      <c r="G242" s="3" t="inlineStr">
        <is>
          <t>As-Built Markup Complexity</t>
        </is>
      </c>
      <c r="H242" s="3" t="inlineStr"/>
    </row>
    <row r="243">
      <c r="A243" s="3" t="inlineStr">
        <is>
          <t>RSK-TECH</t>
        </is>
      </c>
      <c r="B243" s="3" t="inlineStr">
        <is>
          <t>Technical Risk</t>
        </is>
      </c>
      <c r="C243" s="3" t="inlineStr">
        <is>
          <t>RSK-TECH-069</t>
        </is>
      </c>
      <c r="D243" s="3" t="inlineStr">
        <is>
          <t>Control Valve Complexity and Trim Selection Risk</t>
        </is>
      </c>
      <c r="E243" s="3" t="inlineStr">
        <is>
          <t>PKG-16</t>
        </is>
      </c>
      <c r="F243" s="3" t="inlineStr">
        <is>
          <t>R-1604</t>
        </is>
      </c>
      <c r="G243" s="3" t="inlineStr">
        <is>
          <t>Control Valve Complexity and Trim Selection Risk</t>
        </is>
      </c>
      <c r="H243" s="3" t="inlineStr"/>
    </row>
    <row r="244">
      <c r="A244" s="3" t="inlineStr">
        <is>
          <t>RSK-TECH</t>
        </is>
      </c>
      <c r="B244" s="3" t="inlineStr">
        <is>
          <t>Technical Risk</t>
        </is>
      </c>
      <c r="C244" s="3" t="inlineStr">
        <is>
          <t>RSK-TECH-070</t>
        </is>
      </c>
      <c r="D244" s="3" t="inlineStr">
        <is>
          <t>Network Infrastructure Complexity</t>
        </is>
      </c>
      <c r="E244" s="3" t="inlineStr">
        <is>
          <t>PKG-19</t>
        </is>
      </c>
      <c r="F244" s="3" t="inlineStr">
        <is>
          <t>R-010</t>
        </is>
      </c>
      <c r="G244" s="3" t="inlineStr">
        <is>
          <t>Network Infrastructure Complexity</t>
        </is>
      </c>
      <c r="H244" s="3" t="inlineStr"/>
    </row>
    <row r="245">
      <c r="A245" s="3" t="inlineStr">
        <is>
          <t>RSK-TECH</t>
        </is>
      </c>
      <c r="B245" s="3" t="inlineStr">
        <is>
          <t>Technical Risk</t>
        </is>
      </c>
      <c r="C245" s="3" t="inlineStr">
        <is>
          <t>RSK-TECH-071</t>
        </is>
      </c>
      <c r="D245" s="3" t="inlineStr">
        <is>
          <t>Salt Tent Structure Complexity Unknown (LOW)</t>
        </is>
      </c>
      <c r="E245" s="3" t="inlineStr">
        <is>
          <t>PKG-01</t>
        </is>
      </c>
      <c r="F245" s="3" t="inlineStr">
        <is>
          <t>R-108</t>
        </is>
      </c>
      <c r="G245" s="3" t="inlineStr">
        <is>
          <t>Salt Tent Structure Complexity Unknown (LOW)</t>
        </is>
      </c>
      <c r="H245" s="3" t="inlineStr">
        <is>
          <t>LOW</t>
        </is>
      </c>
    </row>
    <row r="246">
      <c r="A246" s="3" t="inlineStr">
        <is>
          <t>RSK-TECH</t>
        </is>
      </c>
      <c r="B246" s="3" t="inlineStr">
        <is>
          <t>Technical Risk</t>
        </is>
      </c>
      <c r="C246" s="3" t="inlineStr">
        <is>
          <t>RSK-TECH-072</t>
        </is>
      </c>
      <c r="D246" s="3" t="inlineStr">
        <is>
          <t>Seal System Complexity</t>
        </is>
      </c>
      <c r="E246" s="3" t="inlineStr">
        <is>
          <t>PKG-15</t>
        </is>
      </c>
      <c r="F246" s="3" t="inlineStr">
        <is>
          <t>R-005</t>
        </is>
      </c>
      <c r="G246" s="3" t="inlineStr">
        <is>
          <t>Seal System Complexity</t>
        </is>
      </c>
      <c r="H246" s="3" t="inlineStr"/>
    </row>
    <row r="247">
      <c r="A247" s="3" t="inlineStr">
        <is>
          <t>RSK-TECH</t>
        </is>
      </c>
      <c r="B247" s="3" t="inlineStr">
        <is>
          <t>Technical Risk</t>
        </is>
      </c>
      <c r="C247" s="3" t="inlineStr">
        <is>
          <t>RSK-TECH-073</t>
        </is>
      </c>
      <c r="D247" s="3" t="inlineStr">
        <is>
          <t>Technical - Expansion Provisions</t>
        </is>
      </c>
      <c r="E247" s="3" t="inlineStr">
        <is>
          <t>PKG-14</t>
        </is>
      </c>
      <c r="F247" s="3" t="inlineStr">
        <is>
          <t>R-017</t>
        </is>
      </c>
      <c r="G247" s="3" t="inlineStr">
        <is>
          <t>Technical - Expansion Provisions</t>
        </is>
      </c>
      <c r="H247" s="3" t="inlineStr"/>
    </row>
    <row r="248">
      <c r="A248" s="3" t="inlineStr">
        <is>
          <t>RSK-TECH</t>
        </is>
      </c>
      <c r="B248" s="3" t="inlineStr">
        <is>
          <t>Technical Risk</t>
        </is>
      </c>
      <c r="C248" s="3" t="inlineStr">
        <is>
          <t>RSK-TECH-074</t>
        </is>
      </c>
      <c r="D248" s="3" t="inlineStr">
        <is>
          <t>Technical - Vessel Envelope</t>
        </is>
      </c>
      <c r="E248" s="3" t="inlineStr">
        <is>
          <t>PKG-11</t>
        </is>
      </c>
      <c r="F248" s="3" t="inlineStr">
        <is>
          <t>R-007</t>
        </is>
      </c>
      <c r="G248" s="3" t="inlineStr">
        <is>
          <t>Technical - Vessel Envelope</t>
        </is>
      </c>
      <c r="H248" s="3" t="inlineStr"/>
    </row>
    <row r="249">
      <c r="A249" s="3" t="inlineStr">
        <is>
          <t>UNCATEGORIZED</t>
        </is>
      </c>
      <c r="B249" s="3" t="inlineStr">
        <is>
          <t>Uncategorized</t>
        </is>
      </c>
      <c r="C249" s="3" t="inlineStr">
        <is>
          <t>UNCATEGORIZED-075</t>
        </is>
      </c>
      <c r="D249" s="3" t="inlineStr">
        <is>
          <t>Fire Protection Requirements</t>
        </is>
      </c>
      <c r="E249" s="3" t="inlineStr">
        <is>
          <t>PKG-23</t>
        </is>
      </c>
      <c r="F249" s="3" t="inlineStr">
        <is>
          <t>R-001</t>
        </is>
      </c>
      <c r="G249" s="3" t="inlineStr">
        <is>
          <t>Fire Water Demand Uncertainty</t>
        </is>
      </c>
      <c r="H249" s="3" t="inlineStr"/>
    </row>
    <row r="250">
      <c r="A250" s="3" t="inlineStr">
        <is>
          <t>UNCATEGORIZED</t>
        </is>
      </c>
      <c r="B250" s="3" t="inlineStr">
        <is>
          <t>Uncategorized</t>
        </is>
      </c>
      <c r="C250" s="3" t="inlineStr">
        <is>
          <t>UNCATEGORIZED-075</t>
        </is>
      </c>
      <c r="D250" s="3" t="inlineStr">
        <is>
          <t>Fire Protection Requirements</t>
        </is>
      </c>
      <c r="E250" s="3" t="inlineStr">
        <is>
          <t>PKG-23</t>
        </is>
      </c>
      <c r="F250" s="3" t="inlineStr">
        <is>
          <t>R-002</t>
        </is>
      </c>
      <c r="G250" s="3" t="inlineStr">
        <is>
          <t>Fire Pump Requirement</t>
        </is>
      </c>
      <c r="H250" s="3" t="inlineStr"/>
    </row>
    <row r="251">
      <c r="A251" s="3" t="inlineStr">
        <is>
          <t>UNCATEGORIZED</t>
        </is>
      </c>
      <c r="B251" s="3" t="inlineStr">
        <is>
          <t>Uncategorized</t>
        </is>
      </c>
      <c r="C251" s="3" t="inlineStr">
        <is>
          <t>UNCATEGORIZED-075</t>
        </is>
      </c>
      <c r="D251" s="3" t="inlineStr">
        <is>
          <t>Fire Protection Requirements</t>
        </is>
      </c>
      <c r="E251" s="3" t="inlineStr">
        <is>
          <t>PKG-23</t>
        </is>
      </c>
      <c r="F251" s="3" t="inlineStr">
        <is>
          <t>R-003</t>
        </is>
      </c>
      <c r="G251" s="3" t="inlineStr">
        <is>
          <t>Foam System Complexity</t>
        </is>
      </c>
      <c r="H251" s="3" t="inlineStr"/>
    </row>
    <row r="252">
      <c r="A252" s="3" t="inlineStr">
        <is>
          <t>UNCATEGORIZED</t>
        </is>
      </c>
      <c r="B252" s="3" t="inlineStr">
        <is>
          <t>Uncategorized</t>
        </is>
      </c>
      <c r="C252" s="3" t="inlineStr">
        <is>
          <t>UNCATEGORIZED-075</t>
        </is>
      </c>
      <c r="D252" s="3" t="inlineStr">
        <is>
          <t>Fire Protection Requirements</t>
        </is>
      </c>
      <c r="E252" s="3" t="inlineStr">
        <is>
          <t>PKG-23</t>
        </is>
      </c>
      <c r="F252" s="3" t="inlineStr">
        <is>
          <t>R-004</t>
        </is>
      </c>
      <c r="G252" s="3" t="inlineStr">
        <is>
          <t>Fire Alarm Integration Complexity</t>
        </is>
      </c>
      <c r="H252" s="3" t="inlineStr"/>
    </row>
    <row r="253">
      <c r="A253" s="3" t="inlineStr">
        <is>
          <t>UNCATEGORIZED</t>
        </is>
      </c>
      <c r="B253" s="3" t="inlineStr">
        <is>
          <t>Uncategorized</t>
        </is>
      </c>
      <c r="C253" s="3" t="inlineStr">
        <is>
          <t>UNCATEGORIZED-076</t>
        </is>
      </c>
      <c r="D253" s="3" t="inlineStr">
        <is>
          <t>Hazardous Area Classification</t>
        </is>
      </c>
      <c r="E253" s="3" t="inlineStr">
        <is>
          <t>PKG-16</t>
        </is>
      </c>
      <c r="F253" s="3" t="inlineStr">
        <is>
          <t>R-1610</t>
        </is>
      </c>
      <c r="G253" s="3" t="inlineStr">
        <is>
          <t>Hazardous Area Classification Impact</t>
        </is>
      </c>
      <c r="H253" s="3" t="inlineStr"/>
    </row>
    <row r="254">
      <c r="A254" s="3" t="inlineStr">
        <is>
          <t>UNCATEGORIZED</t>
        </is>
      </c>
      <c r="B254" s="3" t="inlineStr">
        <is>
          <t>Uncategorized</t>
        </is>
      </c>
      <c r="C254" s="3" t="inlineStr">
        <is>
          <t>UNCATEGORIZED-076</t>
        </is>
      </c>
      <c r="D254" s="3" t="inlineStr">
        <is>
          <t>Hazardous Area Classification</t>
        </is>
      </c>
      <c r="E254" s="3" t="inlineStr">
        <is>
          <t>PKG-18</t>
        </is>
      </c>
      <c r="F254" s="3" t="inlineStr">
        <is>
          <t>R-1801</t>
        </is>
      </c>
      <c r="G254" s="3" t="inlineStr">
        <is>
          <t>Hazardous Area Classification Extent Exceeds Assumptions</t>
        </is>
      </c>
      <c r="H254" s="3" t="inlineStr"/>
    </row>
    <row r="255">
      <c r="A255" s="3" t="inlineStr">
        <is>
          <t>UNCATEGORIZED</t>
        </is>
      </c>
      <c r="B255" s="3" t="inlineStr">
        <is>
          <t>Uncategorized</t>
        </is>
      </c>
      <c r="C255" s="3" t="inlineStr">
        <is>
          <t>UNCATEGORIZED-076</t>
        </is>
      </c>
      <c r="D255" s="3" t="inlineStr">
        <is>
          <t>Hazardous Area Classification</t>
        </is>
      </c>
      <c r="E255" s="3" t="inlineStr">
        <is>
          <t>PKG-20</t>
        </is>
      </c>
      <c r="F255" s="3" t="inlineStr">
        <is>
          <t>R-003</t>
        </is>
      </c>
      <c r="G255" s="3" t="inlineStr">
        <is>
          <t>Hazardous Area Classification</t>
        </is>
      </c>
      <c r="H255" s="3" t="inlineStr"/>
    </row>
    <row r="256">
      <c r="A256" s="3" t="inlineStr">
        <is>
          <t>UNCATEGORIZED</t>
        </is>
      </c>
      <c r="B256" s="3" t="inlineStr">
        <is>
          <t>Uncategorized</t>
        </is>
      </c>
      <c r="C256" s="3" t="inlineStr">
        <is>
          <t>UNCATEGORIZED-076</t>
        </is>
      </c>
      <c r="D256" s="3" t="inlineStr">
        <is>
          <t>Hazardous Area Classification</t>
        </is>
      </c>
      <c r="E256" s="3" t="inlineStr">
        <is>
          <t>PKG-21</t>
        </is>
      </c>
      <c r="F256" s="3" t="inlineStr">
        <is>
          <t>R-009</t>
        </is>
      </c>
      <c r="G256" s="3" t="inlineStr">
        <is>
          <t>Hazardous Area Classification Impact</t>
        </is>
      </c>
      <c r="H256" s="3" t="inlineStr"/>
    </row>
    <row r="257">
      <c r="A257" s="3" t="inlineStr">
        <is>
          <t>UNCATEGORIZED</t>
        </is>
      </c>
      <c r="B257" s="3" t="inlineStr">
        <is>
          <t>Uncategorized</t>
        </is>
      </c>
      <c r="C257" s="3" t="inlineStr">
        <is>
          <t>UNCATEGORIZED-077</t>
        </is>
      </c>
      <c r="D257" s="3" t="inlineStr">
        <is>
          <t>Installation/Construction Complexity</t>
        </is>
      </c>
      <c r="E257" s="3" t="inlineStr">
        <is>
          <t>PKG-15</t>
        </is>
      </c>
      <c r="F257" s="3" t="inlineStr">
        <is>
          <t>R-020</t>
        </is>
      </c>
      <c r="G257" s="3" t="inlineStr">
        <is>
          <t>Site-Specific Installation Challenges</t>
        </is>
      </c>
      <c r="H257" s="3" t="inlineStr"/>
    </row>
    <row r="258">
      <c r="A258" s="3" t="inlineStr">
        <is>
          <t>UNCATEGORIZED</t>
        </is>
      </c>
      <c r="B258" s="3" t="inlineStr">
        <is>
          <t>Uncategorized</t>
        </is>
      </c>
      <c r="C258" s="3" t="inlineStr">
        <is>
          <t>UNCATEGORIZED-078</t>
        </is>
      </c>
      <c r="D258" s="3" t="inlineStr">
        <is>
          <t>Agitator selection</t>
        </is>
      </c>
      <c r="E258" s="3" t="inlineStr">
        <is>
          <t>PKG-13</t>
        </is>
      </c>
      <c r="F258" s="3" t="inlineStr">
        <is>
          <t>R-007</t>
        </is>
      </c>
      <c r="G258" s="3" t="inlineStr">
        <is>
          <t>Agitator selection</t>
        </is>
      </c>
      <c r="H258" s="3" t="inlineStr"/>
    </row>
    <row r="259">
      <c r="A259" s="3" t="inlineStr">
        <is>
          <t>UNCATEGORIZED</t>
        </is>
      </c>
      <c r="B259" s="3" t="inlineStr">
        <is>
          <t>Uncategorized</t>
        </is>
      </c>
      <c r="C259" s="3" t="inlineStr">
        <is>
          <t>UNCATEGORIZED-079</t>
        </is>
      </c>
      <c r="D259" s="3" t="inlineStr">
        <is>
          <t>Building Configuration Changes Affecting Interior Lighting</t>
        </is>
      </c>
      <c r="E259" s="3" t="inlineStr">
        <is>
          <t>PKG-18</t>
        </is>
      </c>
      <c r="F259" s="3" t="inlineStr">
        <is>
          <t>R-1804</t>
        </is>
      </c>
      <c r="G259" s="3" t="inlineStr">
        <is>
          <t>Building Configuration Changes Affecting Interior Lighting</t>
        </is>
      </c>
      <c r="H259" s="3" t="inlineStr"/>
    </row>
    <row r="260">
      <c r="A260" s="3" t="inlineStr">
        <is>
          <t>UNCATEGORIZED</t>
        </is>
      </c>
      <c r="B260" s="3" t="inlineStr">
        <is>
          <t>Uncategorized</t>
        </is>
      </c>
      <c r="C260" s="3" t="inlineStr">
        <is>
          <t>UNCATEGORIZED-080</t>
        </is>
      </c>
      <c r="D260" s="3" t="inlineStr">
        <is>
          <t>Building Size Uncertainty</t>
        </is>
      </c>
      <c r="E260" s="3" t="inlineStr">
        <is>
          <t>PKG-22</t>
        </is>
      </c>
      <c r="F260" s="3" t="inlineStr">
        <is>
          <t>R-001</t>
        </is>
      </c>
      <c r="G260" s="3" t="inlineStr">
        <is>
          <t>Building Size Uncertainty</t>
        </is>
      </c>
      <c r="H260" s="3" t="inlineStr"/>
    </row>
    <row r="261">
      <c r="A261" s="3" t="inlineStr">
        <is>
          <t>UNCATEGORIZED</t>
        </is>
      </c>
      <c r="B261" s="3" t="inlineStr">
        <is>
          <t>Uncategorized</t>
        </is>
      </c>
      <c r="C261" s="3" t="inlineStr">
        <is>
          <t>UNCATEGORIZED-081</t>
        </is>
      </c>
      <c r="D261" s="3" t="inlineStr">
        <is>
          <t>Cable Routing and Length Uncertainty</t>
        </is>
      </c>
      <c r="E261" s="3" t="inlineStr">
        <is>
          <t>PKG-20</t>
        </is>
      </c>
      <c r="F261" s="3" t="inlineStr">
        <is>
          <t>R-002</t>
        </is>
      </c>
      <c r="G261" s="3" t="inlineStr">
        <is>
          <t>Cable Routing and Length Uncertainty</t>
        </is>
      </c>
      <c r="H261" s="3" t="inlineStr"/>
    </row>
    <row r="262">
      <c r="A262" s="3" t="inlineStr">
        <is>
          <t>UNCATEGORIZED</t>
        </is>
      </c>
      <c r="B262" s="3" t="inlineStr">
        <is>
          <t>Uncategorized</t>
        </is>
      </c>
      <c r="C262" s="3" t="inlineStr">
        <is>
          <t>UNCATEGORIZED-082</t>
        </is>
      </c>
      <c r="D262" s="3" t="inlineStr">
        <is>
          <t>Calibration Equipment Availability</t>
        </is>
      </c>
      <c r="E262" s="3" t="inlineStr">
        <is>
          <t>PKG-20</t>
        </is>
      </c>
      <c r="F262" s="3" t="inlineStr">
        <is>
          <t>R-008</t>
        </is>
      </c>
      <c r="G262" s="3" t="inlineStr">
        <is>
          <t>Calibration Equipment Availability</t>
        </is>
      </c>
      <c r="H262" s="3" t="inlineStr"/>
    </row>
    <row r="263">
      <c r="A263" s="3" t="inlineStr">
        <is>
          <t>UNCATEGORIZED</t>
        </is>
      </c>
      <c r="B263" s="3" t="inlineStr">
        <is>
          <t>Uncategorized</t>
        </is>
      </c>
      <c r="C263" s="3" t="inlineStr">
        <is>
          <t>UNCATEGORIZED-083</t>
        </is>
      </c>
      <c r="D263" s="3" t="inlineStr">
        <is>
          <t>Canola Oil Product Compatibility</t>
        </is>
      </c>
      <c r="E263" s="3" t="inlineStr">
        <is>
          <t>PKG-20</t>
        </is>
      </c>
      <c r="F263" s="3" t="inlineStr">
        <is>
          <t>R-009</t>
        </is>
      </c>
      <c r="G263" s="3" t="inlineStr">
        <is>
          <t>Canola Oil Product Compatibility</t>
        </is>
      </c>
      <c r="H263" s="3" t="inlineStr"/>
    </row>
    <row r="264">
      <c r="A264" s="3" t="inlineStr">
        <is>
          <t>UNCATEGORIZED</t>
        </is>
      </c>
      <c r="B264" s="3" t="inlineStr">
        <is>
          <t>Uncategorized</t>
        </is>
      </c>
      <c r="C264" s="3" t="inlineStr">
        <is>
          <t>UNCATEGORIZED-084</t>
        </is>
      </c>
      <c r="D264" s="3" t="inlineStr">
        <is>
          <t>Commissioning - Flushing</t>
        </is>
      </c>
      <c r="E264" s="3" t="inlineStr">
        <is>
          <t>PKG-14</t>
        </is>
      </c>
      <c r="F264" s="3" t="inlineStr">
        <is>
          <t>R-015</t>
        </is>
      </c>
      <c r="G264" s="3" t="inlineStr">
        <is>
          <t>Commissioning - Flushing</t>
        </is>
      </c>
      <c r="H264" s="3" t="inlineStr"/>
    </row>
    <row r="265">
      <c r="A265" s="3" t="inlineStr">
        <is>
          <t>UNCATEGORIZED</t>
        </is>
      </c>
      <c r="B265" s="3" t="inlineStr">
        <is>
          <t>Uncategorized</t>
        </is>
      </c>
      <c r="C265" s="3" t="inlineStr">
        <is>
          <t>UNCATEGORIZED-085</t>
        </is>
      </c>
      <c r="D265" s="3" t="inlineStr">
        <is>
          <t>Containment Configuration Uncertainty</t>
        </is>
      </c>
      <c r="E265" s="3" t="inlineStr">
        <is>
          <t>PKG-10</t>
        </is>
      </c>
      <c r="F265" s="3" t="inlineStr">
        <is>
          <t>R-003</t>
        </is>
      </c>
      <c r="G265" s="3" t="inlineStr">
        <is>
          <t>Containment Configuration Uncertainty</t>
        </is>
      </c>
      <c r="H265" s="3" t="inlineStr"/>
    </row>
    <row r="266">
      <c r="A266" s="3" t="inlineStr">
        <is>
          <t>UNCATEGORIZED</t>
        </is>
      </c>
      <c r="B266" s="3" t="inlineStr">
        <is>
          <t>Uncategorized</t>
        </is>
      </c>
      <c r="C266" s="3" t="inlineStr">
        <is>
          <t>UNCATEGORIZED-086</t>
        </is>
      </c>
      <c r="D266" s="3" t="inlineStr">
        <is>
          <t>Control Valve Positioner and Communication Protocol Risk</t>
        </is>
      </c>
      <c r="E266" s="3" t="inlineStr">
        <is>
          <t>PKG-16</t>
        </is>
      </c>
      <c r="F266" s="3" t="inlineStr">
        <is>
          <t>R-1609</t>
        </is>
      </c>
      <c r="G266" s="3" t="inlineStr">
        <is>
          <t>Control Valve Positioner and Communication Protocol Risk</t>
        </is>
      </c>
      <c r="H266" s="3" t="inlineStr"/>
    </row>
    <row r="267">
      <c r="A267" s="3" t="inlineStr">
        <is>
          <t>UNCATEGORIZED</t>
        </is>
      </c>
      <c r="B267" s="3" t="inlineStr">
        <is>
          <t>Uncategorized</t>
        </is>
      </c>
      <c r="C267" s="3" t="inlineStr">
        <is>
          <t>UNCATEGORIZED-087</t>
        </is>
      </c>
      <c r="D267" s="3" t="inlineStr">
        <is>
          <t>Disposal Facility Capacity/Cost Changes (MEDIUM)</t>
        </is>
      </c>
      <c r="E267" s="3" t="inlineStr">
        <is>
          <t>PKG-01</t>
        </is>
      </c>
      <c r="F267" s="3" t="inlineStr">
        <is>
          <t>R-107</t>
        </is>
      </c>
      <c r="G267" s="3" t="inlineStr">
        <is>
          <t>Disposal Facility Capacity/Cost Changes (MEDIUM)</t>
        </is>
      </c>
      <c r="H267" s="3" t="inlineStr">
        <is>
          <t>MEDIUM</t>
        </is>
      </c>
    </row>
    <row r="268">
      <c r="A268" s="3" t="inlineStr">
        <is>
          <t>UNCATEGORIZED</t>
        </is>
      </c>
      <c r="B268" s="3" t="inlineStr">
        <is>
          <t>Uncategorized</t>
        </is>
      </c>
      <c r="C268" s="3" t="inlineStr">
        <is>
          <t>UNCATEGORIZED-088</t>
        </is>
      </c>
      <c r="D268" s="3" t="inlineStr">
        <is>
          <t>Documentation Completeness (LOW)</t>
        </is>
      </c>
      <c r="E268" s="3" t="inlineStr">
        <is>
          <t>PKG-35</t>
        </is>
      </c>
      <c r="F268" s="3" t="inlineStr">
        <is>
          <t>R-010</t>
        </is>
      </c>
      <c r="G268" s="3" t="inlineStr">
        <is>
          <t>Documentation Completeness (LOW)</t>
        </is>
      </c>
      <c r="H268" s="3" t="inlineStr">
        <is>
          <t>LOW</t>
        </is>
      </c>
    </row>
    <row r="269">
      <c r="A269" s="3" t="inlineStr">
        <is>
          <t>UNCATEGORIZED</t>
        </is>
      </c>
      <c r="B269" s="3" t="inlineStr">
        <is>
          <t>Uncategorized</t>
        </is>
      </c>
      <c r="C269" s="3" t="inlineStr">
        <is>
          <t>UNCATEGORIZED-089</t>
        </is>
      </c>
      <c r="D269" s="3" t="inlineStr">
        <is>
          <t>Drawing Count Variance</t>
        </is>
      </c>
      <c r="E269" s="3" t="inlineStr">
        <is>
          <t>PKG-31</t>
        </is>
      </c>
      <c r="F269" s="3" t="inlineStr">
        <is>
          <t>R-001</t>
        </is>
      </c>
      <c r="G269" s="3" t="inlineStr">
        <is>
          <t>Drawing Count Variance</t>
        </is>
      </c>
      <c r="H269" s="3" t="inlineStr"/>
    </row>
    <row r="270">
      <c r="A270" s="3" t="inlineStr">
        <is>
          <t>UNCATEGORIZED</t>
        </is>
      </c>
      <c r="B270" s="3" t="inlineStr">
        <is>
          <t>Uncategorized</t>
        </is>
      </c>
      <c r="C270" s="3" t="inlineStr">
        <is>
          <t>UNCATEGORIZED-090</t>
        </is>
      </c>
      <c r="D270" s="3" t="inlineStr">
        <is>
          <t>Emergency Lighting Extent Beyond Code Minimum</t>
        </is>
      </c>
      <c r="E270" s="3" t="inlineStr">
        <is>
          <t>PKG-18</t>
        </is>
      </c>
      <c r="F270" s="3" t="inlineStr">
        <is>
          <t>R-1806</t>
        </is>
      </c>
      <c r="G270" s="3" t="inlineStr">
        <is>
          <t>Emergency Lighting Extent Beyond Code Minimum</t>
        </is>
      </c>
      <c r="H270" s="3" t="inlineStr"/>
    </row>
    <row r="271">
      <c r="A271" s="3" t="inlineStr">
        <is>
          <t>UNCATEGORIZED</t>
        </is>
      </c>
      <c r="B271" s="3" t="inlineStr">
        <is>
          <t>Uncategorized</t>
        </is>
      </c>
      <c r="C271" s="3" t="inlineStr">
        <is>
          <t>UNCATEGORIZED-091</t>
        </is>
      </c>
      <c r="D271" s="3" t="inlineStr">
        <is>
          <t>Equipment Count Variance</t>
        </is>
      </c>
      <c r="E271" s="3" t="inlineStr">
        <is>
          <t>PKG-31</t>
        </is>
      </c>
      <c r="F271" s="3" t="inlineStr">
        <is>
          <t>R-002</t>
        </is>
      </c>
      <c r="G271" s="3" t="inlineStr">
        <is>
          <t>Equipment Count Variance</t>
        </is>
      </c>
      <c r="H271" s="3" t="inlineStr"/>
    </row>
    <row r="272">
      <c r="A272" s="3" t="inlineStr">
        <is>
          <t>UNCATEGORIZED</t>
        </is>
      </c>
      <c r="B272" s="3" t="inlineStr">
        <is>
          <t>Uncategorized</t>
        </is>
      </c>
      <c r="C272" s="3" t="inlineStr">
        <is>
          <t>UNCATEGORIZED-092</t>
        </is>
      </c>
      <c r="D272" s="3" t="inlineStr">
        <is>
          <t>Fabrication - Welder Availability</t>
        </is>
      </c>
      <c r="E272" s="3" t="inlineStr">
        <is>
          <t>PKG-14</t>
        </is>
      </c>
      <c r="F272" s="3" t="inlineStr">
        <is>
          <t>R-010</t>
        </is>
      </c>
      <c r="G272" s="3" t="inlineStr">
        <is>
          <t>Fabrication - Welder Availability</t>
        </is>
      </c>
      <c r="H272" s="3" t="inlineStr"/>
    </row>
    <row r="273">
      <c r="A273" s="3" t="inlineStr">
        <is>
          <t>UNCATEGORIZED</t>
        </is>
      </c>
      <c r="B273" s="3" t="inlineStr">
        <is>
          <t>Uncategorized</t>
        </is>
      </c>
      <c r="C273" s="3" t="inlineStr">
        <is>
          <t>UNCATEGORIZED-093</t>
        </is>
      </c>
      <c r="D273" s="3" t="inlineStr">
        <is>
          <t>Fabricator capacity</t>
        </is>
      </c>
      <c r="E273" s="3" t="inlineStr">
        <is>
          <t>PKG-13</t>
        </is>
      </c>
      <c r="F273" s="3" t="inlineStr">
        <is>
          <t>R-002</t>
        </is>
      </c>
      <c r="G273" s="3" t="inlineStr">
        <is>
          <t>Fabricator capacity</t>
        </is>
      </c>
      <c r="H273" s="3" t="inlineStr"/>
    </row>
    <row r="274">
      <c r="A274" s="3" t="inlineStr">
        <is>
          <t>UNCATEGORIZED</t>
        </is>
      </c>
      <c r="B274" s="3" t="inlineStr">
        <is>
          <t>Uncategorized</t>
        </is>
      </c>
      <c r="C274" s="3" t="inlineStr">
        <is>
          <t>UNCATEGORIZED-094</t>
        </is>
      </c>
      <c r="D274" s="3" t="inlineStr">
        <is>
          <t>Freight and Logistics Costs</t>
        </is>
      </c>
      <c r="E274" s="3" t="inlineStr">
        <is>
          <t>PKG-15</t>
        </is>
      </c>
      <c r="F274" s="3" t="inlineStr">
        <is>
          <t>R-016</t>
        </is>
      </c>
      <c r="G274" s="3" t="inlineStr">
        <is>
          <t>Freight and Logistics Costs</t>
        </is>
      </c>
      <c r="H274" s="3" t="inlineStr"/>
    </row>
    <row r="275">
      <c r="A275" s="3" t="inlineStr">
        <is>
          <t>UNCATEGORIZED</t>
        </is>
      </c>
      <c r="B275" s="3" t="inlineStr">
        <is>
          <t>Uncategorized</t>
        </is>
      </c>
      <c r="C275" s="3" t="inlineStr">
        <is>
          <t>UNCATEGORIZED-095</t>
        </is>
      </c>
      <c r="D275" s="3" t="inlineStr">
        <is>
          <t>HVAC Load Calculation Uncertainty</t>
        </is>
      </c>
      <c r="E275" s="3" t="inlineStr">
        <is>
          <t>PKG-22</t>
        </is>
      </c>
      <c r="F275" s="3" t="inlineStr">
        <is>
          <t>R-002</t>
        </is>
      </c>
      <c r="G275" s="3" t="inlineStr">
        <is>
          <t>HVAC Load Calculation Uncertainty</t>
        </is>
      </c>
      <c r="H275" s="3" t="inlineStr"/>
    </row>
    <row r="276">
      <c r="A276" s="3" t="inlineStr">
        <is>
          <t>UNCATEGORIZED</t>
        </is>
      </c>
      <c r="B276" s="3" t="inlineStr">
        <is>
          <t>Uncategorized</t>
        </is>
      </c>
      <c r="C276" s="3" t="inlineStr">
        <is>
          <t>UNCATEGORIZED-096</t>
        </is>
      </c>
      <c r="D276" s="3" t="inlineStr">
        <is>
          <t>Hazardous Materials Discovery (HIGH)</t>
        </is>
      </c>
      <c r="E276" s="3" t="inlineStr">
        <is>
          <t>PKG-01</t>
        </is>
      </c>
      <c r="F276" s="3" t="inlineStr">
        <is>
          <t>R-101</t>
        </is>
      </c>
      <c r="G276" s="3" t="inlineStr">
        <is>
          <t>Hazardous Materials Discovery (HIGH)</t>
        </is>
      </c>
      <c r="H276" s="3" t="inlineStr">
        <is>
          <t>HIGH</t>
        </is>
      </c>
    </row>
    <row r="277">
      <c r="A277" s="3" t="inlineStr">
        <is>
          <t>UNCATEGORIZED</t>
        </is>
      </c>
      <c r="B277" s="3" t="inlineStr">
        <is>
          <t>Uncategorized</t>
        </is>
      </c>
      <c r="C277" s="3" t="inlineStr">
        <is>
          <t>UNCATEGORIZED-097</t>
        </is>
      </c>
      <c r="D277" s="3" t="inlineStr">
        <is>
          <t>Header Piping Length Variance</t>
        </is>
      </c>
      <c r="E277" s="3" t="inlineStr">
        <is>
          <t>PKG-10</t>
        </is>
      </c>
      <c r="F277" s="3" t="inlineStr">
        <is>
          <t>R-002</t>
        </is>
      </c>
      <c r="G277" s="3" t="inlineStr">
        <is>
          <t>Header Piping Length Variance</t>
        </is>
      </c>
      <c r="H277" s="3" t="inlineStr"/>
    </row>
    <row r="278">
      <c r="A278" s="3" t="inlineStr">
        <is>
          <t>UNCATEGORIZED</t>
        </is>
      </c>
      <c r="B278" s="3" t="inlineStr">
        <is>
          <t>Uncategorized</t>
        </is>
      </c>
      <c r="C278" s="3" t="inlineStr">
        <is>
          <t>UNCATEGORIZED-098</t>
        </is>
      </c>
      <c r="D278" s="3" t="inlineStr">
        <is>
          <t>Heavy lift availability</t>
        </is>
      </c>
      <c r="E278" s="3" t="inlineStr">
        <is>
          <t>PKG-13</t>
        </is>
      </c>
      <c r="F278" s="3" t="inlineStr">
        <is>
          <t>R-009</t>
        </is>
      </c>
      <c r="G278" s="3" t="inlineStr">
        <is>
          <t>Heavy lift availability</t>
        </is>
      </c>
      <c r="H278" s="3" t="inlineStr"/>
    </row>
    <row r="279">
      <c r="A279" s="3" t="inlineStr">
        <is>
          <t>UNCATEGORIZED</t>
        </is>
      </c>
      <c r="B279" s="3" t="inlineStr">
        <is>
          <t>Uncategorized</t>
        </is>
      </c>
      <c r="C279" s="3" t="inlineStr">
        <is>
          <t>UNCATEGORIZED-099</t>
        </is>
      </c>
      <c r="D279" s="3" t="inlineStr">
        <is>
          <t>Historian Platform Selection</t>
        </is>
      </c>
      <c r="E279" s="3" t="inlineStr">
        <is>
          <t>PKG-19</t>
        </is>
      </c>
      <c r="F279" s="3" t="inlineStr">
        <is>
          <t>R-006</t>
        </is>
      </c>
      <c r="G279" s="3" t="inlineStr">
        <is>
          <t>Historian Platform Selection</t>
        </is>
      </c>
      <c r="H279" s="3" t="inlineStr"/>
    </row>
    <row r="280">
      <c r="A280" s="3" t="inlineStr">
        <is>
          <t>UNCATEGORIZED</t>
        </is>
      </c>
      <c r="B280" s="3" t="inlineStr">
        <is>
          <t>Uncategorized</t>
        </is>
      </c>
      <c r="C280" s="3" t="inlineStr">
        <is>
          <t>UNCATEGORIZED-100</t>
        </is>
      </c>
      <c r="D280" s="3" t="inlineStr">
        <is>
          <t>Hydro test water</t>
        </is>
      </c>
      <c r="E280" s="3" t="inlineStr">
        <is>
          <t>PKG-13</t>
        </is>
      </c>
      <c r="F280" s="3" t="inlineStr">
        <is>
          <t>R-011</t>
        </is>
      </c>
      <c r="G280" s="3" t="inlineStr">
        <is>
          <t>Hydro test water</t>
        </is>
      </c>
      <c r="H280" s="3" t="inlineStr"/>
    </row>
    <row r="281">
      <c r="A281" s="3" t="inlineStr">
        <is>
          <t>UNCATEGORIZED</t>
        </is>
      </c>
      <c r="B281" s="3" t="inlineStr">
        <is>
          <t>Uncategorized</t>
        </is>
      </c>
      <c r="C281" s="3" t="inlineStr">
        <is>
          <t>UNCATEGORIZED-101</t>
        </is>
      </c>
      <c r="D281" s="3" t="inlineStr">
        <is>
          <t>Instrument Supply Chain Disruption</t>
        </is>
      </c>
      <c r="E281" s="3" t="inlineStr">
        <is>
          <t>PKG-20</t>
        </is>
      </c>
      <c r="F281" s="3" t="inlineStr">
        <is>
          <t>R-011</t>
        </is>
      </c>
      <c r="G281" s="3" t="inlineStr">
        <is>
          <t>Instrument Supply Chain Disruption</t>
        </is>
      </c>
      <c r="H281" s="3" t="inlineStr"/>
    </row>
    <row r="282">
      <c r="A282" s="3" t="inlineStr">
        <is>
          <t>UNCATEGORIZED</t>
        </is>
      </c>
      <c r="B282" s="3" t="inlineStr">
        <is>
          <t>Uncategorized</t>
        </is>
      </c>
      <c r="C282" s="3" t="inlineStr">
        <is>
          <t>UNCATEGORIZED-102</t>
        </is>
      </c>
      <c r="D282" s="3" t="inlineStr">
        <is>
          <t>Interfacing Equipment Loads Exceed Structural Capacity</t>
        </is>
      </c>
      <c r="E282" s="3" t="inlineStr">
        <is>
          <t>PKG-08</t>
        </is>
      </c>
      <c r="F282" s="3" t="inlineStr">
        <is>
          <t>R-803</t>
        </is>
      </c>
      <c r="G282" s="3" t="inlineStr">
        <is>
          <t>Interfacing Equipment Loads Exceed Structural Capacity</t>
        </is>
      </c>
      <c r="H282" s="3" t="inlineStr"/>
    </row>
    <row r="283">
      <c r="A283" s="3" t="inlineStr">
        <is>
          <t>UNCATEGORIZED</t>
        </is>
      </c>
      <c r="B283" s="3" t="inlineStr">
        <is>
          <t>Uncategorized</t>
        </is>
      </c>
      <c r="C283" s="3" t="inlineStr">
        <is>
          <t>UNCATEGORIZED-103</t>
        </is>
      </c>
      <c r="D283" s="3" t="inlineStr">
        <is>
          <t>MCC Building Size Larger Than Assumed</t>
        </is>
      </c>
      <c r="E283" s="3" t="inlineStr">
        <is>
          <t>PKG-21</t>
        </is>
      </c>
      <c r="F283" s="3" t="inlineStr">
        <is>
          <t>R-001</t>
        </is>
      </c>
      <c r="G283" s="3" t="inlineStr">
        <is>
          <t>MCC Building Size Larger Than Assumed</t>
        </is>
      </c>
      <c r="H283" s="3" t="inlineStr"/>
    </row>
    <row r="284">
      <c r="A284" s="3" t="inlineStr">
        <is>
          <t>UNCATEGORIZED</t>
        </is>
      </c>
      <c r="B284" s="3" t="inlineStr">
        <is>
          <t>Uncategorized</t>
        </is>
      </c>
      <c r="C284" s="3" t="inlineStr">
        <is>
          <t>UNCATEGORIZED-104</t>
        </is>
      </c>
      <c r="D284" s="3" t="inlineStr">
        <is>
          <t>Missing Physical Quantities (Site Facilities &amp; Infrastructure)</t>
        </is>
      </c>
      <c r="E284" s="3" t="inlineStr">
        <is>
          <t>PKG-00</t>
        </is>
      </c>
      <c r="F284" s="3" t="inlineStr">
        <is>
          <t>R-002</t>
        </is>
      </c>
      <c r="G284" s="3" t="inlineStr">
        <is>
          <t>Missing Physical Quantities (Site Facilities &amp; Infrastruct..</t>
        </is>
      </c>
      <c r="H284" s="3" t="inlineStr"/>
    </row>
    <row r="285">
      <c r="A285" s="3" t="inlineStr">
        <is>
          <t>UNCATEGORIZED</t>
        </is>
      </c>
      <c r="B285" s="3" t="inlineStr">
        <is>
          <t>Uncategorized</t>
        </is>
      </c>
      <c r="C285" s="3" t="inlineStr">
        <is>
          <t>UNCATEGORIZED-105</t>
        </is>
      </c>
      <c r="D285" s="3" t="inlineStr">
        <is>
          <t>OEM Training Cost Overrun (MEDIUM)</t>
        </is>
      </c>
      <c r="E285" s="3" t="inlineStr">
        <is>
          <t>PKG-35</t>
        </is>
      </c>
      <c r="F285" s="3" t="inlineStr">
        <is>
          <t>R-002</t>
        </is>
      </c>
      <c r="G285" s="3" t="inlineStr">
        <is>
          <t>OEM Training Cost Overrun (MEDIUM)</t>
        </is>
      </c>
      <c r="H285" s="3" t="inlineStr">
        <is>
          <t>MEDIUM</t>
        </is>
      </c>
    </row>
    <row r="286">
      <c r="A286" s="3" t="inlineStr">
        <is>
          <t>UNCATEGORIZED</t>
        </is>
      </c>
      <c r="B286" s="3" t="inlineStr">
        <is>
          <t>Uncategorized</t>
        </is>
      </c>
      <c r="C286" s="3" t="inlineStr">
        <is>
          <t>UNCATEGORIZED-106</t>
        </is>
      </c>
      <c r="D286" s="3" t="inlineStr">
        <is>
          <t>Operator Shelter Count Increase</t>
        </is>
      </c>
      <c r="E286" s="3" t="inlineStr">
        <is>
          <t>PKG-21</t>
        </is>
      </c>
      <c r="F286" s="3" t="inlineStr">
        <is>
          <t>R-006</t>
        </is>
      </c>
      <c r="G286" s="3" t="inlineStr">
        <is>
          <t>Operator Shelter Count Increase</t>
        </is>
      </c>
      <c r="H286" s="3" t="inlineStr"/>
    </row>
    <row r="287">
      <c r="A287" s="3" t="inlineStr">
        <is>
          <t>UNCATEGORIZED</t>
        </is>
      </c>
      <c r="B287" s="3" t="inlineStr">
        <is>
          <t>Uncategorized</t>
        </is>
      </c>
      <c r="C287" s="3" t="inlineStr">
        <is>
          <t>UNCATEGORIZED-107</t>
        </is>
      </c>
      <c r="D287" s="3" t="inlineStr">
        <is>
          <t>Pump Redundancy and N+1 Configuration</t>
        </is>
      </c>
      <c r="E287" s="3" t="inlineStr">
        <is>
          <t>PKG-15</t>
        </is>
      </c>
      <c r="F287" s="3" t="inlineStr">
        <is>
          <t>R-019</t>
        </is>
      </c>
      <c r="G287" s="3" t="inlineStr">
        <is>
          <t>Pump Redundancy and N+1 Configuration</t>
        </is>
      </c>
      <c r="H287" s="3" t="inlineStr"/>
    </row>
    <row r="288">
      <c r="A288" s="3" t="inlineStr">
        <is>
          <t>UNCATEGORIZED</t>
        </is>
      </c>
      <c r="B288" s="3" t="inlineStr">
        <is>
          <t>Uncategorized</t>
        </is>
      </c>
      <c r="C288" s="3" t="inlineStr">
        <is>
          <t>UNCATEGORIZED-108</t>
        </is>
      </c>
      <c r="D288" s="3" t="inlineStr">
        <is>
          <t>Relief Valve Scenario Identification Risk</t>
        </is>
      </c>
      <c r="E288" s="3" t="inlineStr">
        <is>
          <t>PKG-16</t>
        </is>
      </c>
      <c r="F288" s="3" t="inlineStr">
        <is>
          <t>R-1614</t>
        </is>
      </c>
      <c r="G288" s="3" t="inlineStr">
        <is>
          <t>Relief Valve Scenario Identification Risk</t>
        </is>
      </c>
      <c r="H288" s="3" t="inlineStr"/>
    </row>
    <row r="289">
      <c r="A289" s="3" t="inlineStr">
        <is>
          <t>UNCATEGORIZED</t>
        </is>
      </c>
      <c r="B289" s="3" t="inlineStr">
        <is>
          <t>Uncategorized</t>
        </is>
      </c>
      <c r="C289" s="3" t="inlineStr">
        <is>
          <t>UNCATEGORIZED-109</t>
        </is>
      </c>
      <c r="D289" s="3" t="inlineStr">
        <is>
          <t>Simultaneous Operations and Throughput Risk</t>
        </is>
      </c>
      <c r="E289" s="3" t="inlineStr">
        <is>
          <t>PKG-10</t>
        </is>
      </c>
      <c r="F289" s="3" t="inlineStr">
        <is>
          <t>R-004</t>
        </is>
      </c>
      <c r="G289" s="3" t="inlineStr">
        <is>
          <t>Simultaneous Operations and Throughput Risk</t>
        </is>
      </c>
      <c r="H289" s="3" t="inlineStr"/>
    </row>
    <row r="290">
      <c r="A290" s="3" t="inlineStr">
        <is>
          <t>UNCATEGORIZED</t>
        </is>
      </c>
      <c r="B290" s="3" t="inlineStr">
        <is>
          <t>Uncategorized</t>
        </is>
      </c>
      <c r="C290" s="3" t="inlineStr">
        <is>
          <t>UNCATEGORIZED-110</t>
        </is>
      </c>
      <c r="D290" s="3" t="inlineStr">
        <is>
          <t>Site Layout Changes Affecting Exterior Lighting Design</t>
        </is>
      </c>
      <c r="E290" s="3" t="inlineStr">
        <is>
          <t>PKG-18</t>
        </is>
      </c>
      <c r="F290" s="3" t="inlineStr">
        <is>
          <t>R-1803</t>
        </is>
      </c>
      <c r="G290" s="3" t="inlineStr">
        <is>
          <t>Site Layout Changes Affecting Exterior Lighting Design</t>
        </is>
      </c>
      <c r="H290" s="3" t="inlineStr"/>
    </row>
    <row r="291">
      <c r="A291" s="3" t="inlineStr">
        <is>
          <t>UNCATEGORIZED</t>
        </is>
      </c>
      <c r="B291" s="3" t="inlineStr">
        <is>
          <t>Uncategorized</t>
        </is>
      </c>
      <c r="C291" s="3" t="inlineStr">
        <is>
          <t>UNCATEGORIZED-111</t>
        </is>
      </c>
      <c r="D291" s="3" t="inlineStr">
        <is>
          <t>Spare Parts Strategy Unknown</t>
        </is>
      </c>
      <c r="E291" s="3" t="inlineStr">
        <is>
          <t>PKG-15</t>
        </is>
      </c>
      <c r="F291" s="3" t="inlineStr">
        <is>
          <t>R-014</t>
        </is>
      </c>
      <c r="G291" s="3" t="inlineStr">
        <is>
          <t>Spare Parts Strategy Unknown</t>
        </is>
      </c>
      <c r="H291" s="3" t="inlineStr"/>
    </row>
    <row r="292">
      <c r="A292" s="3" t="inlineStr">
        <is>
          <t>UNCATEGORIZED</t>
        </is>
      </c>
      <c r="B292" s="3" t="inlineStr">
        <is>
          <t>Uncategorized</t>
        </is>
      </c>
      <c r="C292" s="3" t="inlineStr">
        <is>
          <t>UNCATEGORIZED-112</t>
        </is>
      </c>
      <c r="D292" s="3" t="inlineStr">
        <is>
          <t>Stainless Steel Material Premium Risk</t>
        </is>
      </c>
      <c r="E292" s="3" t="inlineStr">
        <is>
          <t>PKG-16</t>
        </is>
      </c>
      <c r="F292" s="3" t="inlineStr">
        <is>
          <t>R-1603</t>
        </is>
      </c>
      <c r="G292" s="3" t="inlineStr">
        <is>
          <t>Stainless Steel Material Premium Risk</t>
        </is>
      </c>
      <c r="H292" s="3" t="inlineStr"/>
    </row>
    <row r="293">
      <c r="A293" s="3" t="inlineStr">
        <is>
          <t>UNCATEGORIZED</t>
        </is>
      </c>
      <c r="B293" s="3" t="inlineStr">
        <is>
          <t>Uncategorized</t>
        </is>
      </c>
      <c r="C293" s="3" t="inlineStr">
        <is>
          <t>UNCATEGORIZED-113</t>
        </is>
      </c>
      <c r="D293" s="3" t="inlineStr">
        <is>
          <t>System Breakdown Variance</t>
        </is>
      </c>
      <c r="E293" s="3" t="inlineStr">
        <is>
          <t>PKG-31</t>
        </is>
      </c>
      <c r="F293" s="3" t="inlineStr">
        <is>
          <t>R-003</t>
        </is>
      </c>
      <c r="G293" s="3" t="inlineStr">
        <is>
          <t>System Breakdown Variance</t>
        </is>
      </c>
      <c r="H293" s="3" t="inlineStr"/>
    </row>
    <row r="294">
      <c r="A294" s="3" t="inlineStr">
        <is>
          <t>UNCATEGORIZED</t>
        </is>
      </c>
      <c r="B294" s="3" t="inlineStr">
        <is>
          <t>Uncategorized</t>
        </is>
      </c>
      <c r="C294" s="3" t="inlineStr">
        <is>
          <t>UNCATEGORIZED-114</t>
        </is>
      </c>
      <c r="D294" s="3" t="inlineStr">
        <is>
          <t>Temporary Power and Utilities for Commissioning</t>
        </is>
      </c>
      <c r="E294" s="3" t="inlineStr">
        <is>
          <t>PKG-15</t>
        </is>
      </c>
      <c r="F294" s="3" t="inlineStr">
        <is>
          <t>R-017</t>
        </is>
      </c>
      <c r="G294" s="3" t="inlineStr">
        <is>
          <t>Temporary Power and Utilities for Commissioning</t>
        </is>
      </c>
      <c r="H294" s="3" t="inlineStr"/>
    </row>
    <row r="295">
      <c r="A295" s="3" t="inlineStr">
        <is>
          <t>UNCATEGORIZED</t>
        </is>
      </c>
      <c r="B295" s="3" t="inlineStr">
        <is>
          <t>Uncategorized</t>
        </is>
      </c>
      <c r="C295" s="3" t="inlineStr">
        <is>
          <t>UNCATEGORIZED-115</t>
        </is>
      </c>
      <c r="D295" s="3" t="inlineStr">
        <is>
          <t>Terminal Operations Conflicts (MEDIUM)</t>
        </is>
      </c>
      <c r="E295" s="3" t="inlineStr">
        <is>
          <t>PKG-35</t>
        </is>
      </c>
      <c r="F295" s="3" t="inlineStr">
        <is>
          <t>R-009</t>
        </is>
      </c>
      <c r="G295" s="3" t="inlineStr">
        <is>
          <t>Terminal Operations Conflicts (MEDIUM)</t>
        </is>
      </c>
      <c r="H295" s="3" t="inlineStr">
        <is>
          <t>MEDIUM</t>
        </is>
      </c>
    </row>
    <row r="296">
      <c r="A296" s="3" t="inlineStr">
        <is>
          <t>UNCATEGORIZED</t>
        </is>
      </c>
      <c r="B296" s="3" t="inlineStr">
        <is>
          <t>Uncategorized</t>
        </is>
      </c>
      <c r="C296" s="3" t="inlineStr">
        <is>
          <t>UNCATEGORIZED-116</t>
        </is>
      </c>
      <c r="D296" s="3" t="inlineStr">
        <is>
          <t>Terminal Operations Interference</t>
        </is>
      </c>
      <c r="E296" s="3" t="inlineStr">
        <is>
          <t>PKG-23</t>
        </is>
      </c>
      <c r="F296" s="3" t="inlineStr">
        <is>
          <t>R-006</t>
        </is>
      </c>
      <c r="G296" s="3" t="inlineStr">
        <is>
          <t>Terminal Operations Interference</t>
        </is>
      </c>
      <c r="H296" s="3" t="inlineStr"/>
    </row>
    <row r="297">
      <c r="A297" s="3" t="inlineStr">
        <is>
          <t>UNCATEGORIZED</t>
        </is>
      </c>
      <c r="B297" s="3" t="inlineStr">
        <is>
          <t>Uncategorized</t>
        </is>
      </c>
      <c r="C297" s="3" t="inlineStr">
        <is>
          <t>UNCATEGORIZED-117</t>
        </is>
      </c>
      <c r="D297" s="3" t="inlineStr">
        <is>
          <t>Terminal Operations Interference (MEDIUM)</t>
        </is>
      </c>
      <c r="E297" s="3" t="inlineStr">
        <is>
          <t>PKG-01</t>
        </is>
      </c>
      <c r="F297" s="3" t="inlineStr">
        <is>
          <t>R-105</t>
        </is>
      </c>
      <c r="G297" s="3" t="inlineStr">
        <is>
          <t>Terminal Operations Interference (MEDIUM)</t>
        </is>
      </c>
      <c r="H297" s="3" t="inlineStr">
        <is>
          <t>MEDIUM</t>
        </is>
      </c>
    </row>
    <row r="298">
      <c r="A298" s="3" t="inlineStr">
        <is>
          <t>UNCATEGORIZED</t>
        </is>
      </c>
      <c r="B298" s="3" t="inlineStr">
        <is>
          <t>Uncategorized</t>
        </is>
      </c>
      <c r="C298" s="3" t="inlineStr">
        <is>
          <t>UNCATEGORIZED-118</t>
        </is>
      </c>
      <c r="D298" s="3" t="inlineStr">
        <is>
          <t>Track 6 Ballast Contamination (HIGH)</t>
        </is>
      </c>
      <c r="E298" s="3" t="inlineStr">
        <is>
          <t>PKG-01</t>
        </is>
      </c>
      <c r="F298" s="3" t="inlineStr">
        <is>
          <t>R-103</t>
        </is>
      </c>
      <c r="G298" s="3" t="inlineStr">
        <is>
          <t>Track 6 Ballast Contamination (HIGH)</t>
        </is>
      </c>
      <c r="H298" s="3" t="inlineStr">
        <is>
          <t>HIGH</t>
        </is>
      </c>
    </row>
    <row r="299">
      <c r="A299" s="3" t="inlineStr">
        <is>
          <t>UNCATEGORIZED</t>
        </is>
      </c>
      <c r="B299" s="3" t="inlineStr">
        <is>
          <t>Uncategorized</t>
        </is>
      </c>
      <c r="C299" s="3" t="inlineStr">
        <is>
          <t>UNCATEGORIZED-119</t>
        </is>
      </c>
      <c r="D299" s="3" t="inlineStr">
        <is>
          <t>VFPA Standards Compliance Effort</t>
        </is>
      </c>
      <c r="E299" s="3" t="inlineStr">
        <is>
          <t>PKG-31</t>
        </is>
      </c>
      <c r="F299" s="3" t="inlineStr">
        <is>
          <t>R-004</t>
        </is>
      </c>
      <c r="G299" s="3" t="inlineStr">
        <is>
          <t>VFPA Standards Compliance Effort</t>
        </is>
      </c>
      <c r="H299" s="3" t="inlineStr"/>
    </row>
    <row r="300">
      <c r="A300" s="3" t="inlineStr">
        <is>
          <t>UNCATEGORIZED</t>
        </is>
      </c>
      <c r="B300" s="3" t="inlineStr">
        <is>
          <t>Uncategorized</t>
        </is>
      </c>
      <c r="C300" s="3" t="inlineStr">
        <is>
          <t>UNCATEGORIZED-120</t>
        </is>
      </c>
      <c r="D300" s="3" t="inlineStr">
        <is>
          <t>Valve Size and Specification Risk</t>
        </is>
      </c>
      <c r="E300" s="3" t="inlineStr">
        <is>
          <t>PKG-16</t>
        </is>
      </c>
      <c r="F300" s="3" t="inlineStr">
        <is>
          <t>R-1602</t>
        </is>
      </c>
      <c r="G300" s="3" t="inlineStr">
        <is>
          <t>Valve Size and Specification Risk</t>
        </is>
      </c>
      <c r="H300" s="3" t="inlineStr"/>
    </row>
  </sheetData>
  <hyperlinks>
    <hyperlink xmlns:r="http://schemas.openxmlformats.org/officeDocument/2006/relationships" ref="I1" r:id="rId1"/>
  </hyperlinks>
  <pageMargins left="0.75" right="0.75" top="1" bottom="1" header="0.5" footer="0.5"/>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X868"/>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8" customWidth="1" min="4" max="4"/>
    <col width="7" customWidth="1" min="5" max="5"/>
    <col width="12" customWidth="1" min="6" max="6"/>
    <col width="14" customWidth="1" min="7" max="7"/>
    <col width="60" customWidth="1" min="8" max="8"/>
    <col width="8" customWidth="1" min="9" max="9"/>
    <col width="7" customWidth="1" min="10" max="10"/>
    <col width="11" customWidth="1" min="11" max="11"/>
    <col width="12" customWidth="1" min="12" max="12"/>
    <col width="9" customWidth="1" min="13" max="13"/>
    <col width="12" customWidth="1" min="14" max="14"/>
    <col width="10" customWidth="1" min="15" max="15"/>
    <col width="10" customWidth="1" min="16" max="16"/>
    <col width="24" customWidth="1" min="17" max="17"/>
    <col width="20" customWidth="1" min="18" max="18"/>
    <col width="16" customWidth="1" min="19" max="19"/>
    <col width="18" customWidth="1" min="20" max="20"/>
    <col width="20" customWidth="1" min="21" max="21"/>
  </cols>
  <sheetData>
    <row r="1">
      <c r="A1" s="16" t="inlineStr">
        <is>
          <t>LineUID</t>
        </is>
      </c>
      <c r="B1" s="16" t="inlineStr">
        <is>
          <t>FromPackageID</t>
        </is>
      </c>
      <c r="C1" s="16" t="inlineStr">
        <is>
          <t>FromDeliverableID</t>
        </is>
      </c>
      <c r="D1" s="16" t="inlineStr">
        <is>
          <t>LineID</t>
        </is>
      </c>
      <c r="E1" s="16" t="inlineStr">
        <is>
          <t>CBS</t>
        </is>
      </c>
      <c r="F1" s="16" t="inlineStr">
        <is>
          <t>WBS_PackageID</t>
        </is>
      </c>
      <c r="G1" s="16" t="inlineStr">
        <is>
          <t>WBS_DeliverableID</t>
        </is>
      </c>
      <c r="H1" s="16" t="inlineStr">
        <is>
          <t>Description</t>
        </is>
      </c>
      <c r="I1" s="16" t="inlineStr">
        <is>
          <t>Qty</t>
        </is>
      </c>
      <c r="J1" s="16" t="inlineStr">
        <is>
          <t>Unit</t>
        </is>
      </c>
      <c r="K1" s="16" t="inlineStr">
        <is>
          <t>UnitRate</t>
        </is>
      </c>
      <c r="L1" s="16" t="inlineStr">
        <is>
          <t>Amount</t>
        </is>
      </c>
      <c r="M1" s="16" t="inlineStr">
        <is>
          <t>Currency</t>
        </is>
      </c>
      <c r="N1" s="16" t="inlineStr">
        <is>
          <t>Method</t>
        </is>
      </c>
      <c r="O1" s="16" t="inlineStr">
        <is>
          <t>SourceRef</t>
        </is>
      </c>
      <c r="P1" s="16" t="inlineStr">
        <is>
          <t>Confidence</t>
        </is>
      </c>
      <c r="Q1" s="16" t="inlineStr">
        <is>
          <t>Notes</t>
        </is>
      </c>
      <c r="R1" s="16" t="inlineStr">
        <is>
          <t>Category</t>
        </is>
      </c>
      <c r="S1" s="16" t="inlineStr">
        <is>
          <t>ContingencyRate</t>
        </is>
      </c>
      <c r="T1" s="16" t="inlineStr">
        <is>
          <t>ContingencyAmount</t>
        </is>
      </c>
      <c r="U1" s="16" t="inlineStr">
        <is>
          <t>TotalWithContingency</t>
        </is>
      </c>
      <c r="X1" s="4" t="inlineStr">
        <is>
          <t>Home</t>
        </is>
      </c>
    </row>
    <row r="2">
      <c r="A2" s="3" t="inlineStr">
        <is>
          <t>PKG-00::L001</t>
        </is>
      </c>
      <c r="B2" s="3" t="inlineStr">
        <is>
          <t>PKG-00</t>
        </is>
      </c>
      <c r="C2" s="3" t="inlineStr">
        <is>
          <t>DEL-00.01</t>
        </is>
      </c>
      <c r="D2" s="3" t="inlineStr">
        <is>
          <t>L001</t>
        </is>
      </c>
      <c r="E2" s="3" t="inlineStr">
        <is>
          <t>E</t>
        </is>
      </c>
      <c r="F2" s="3" t="inlineStr">
        <is>
          <t>PKG-00</t>
        </is>
      </c>
      <c r="G2" s="3" t="inlineStr">
        <is>
          <t>DEL-00.01</t>
        </is>
      </c>
      <c r="H2" s="3" t="inlineStr">
        <is>
          <t>Site Establishment Design Drawing Set - CAD drafting and production (4 drawings)</t>
        </is>
      </c>
      <c r="I2" s="22" t="n">
        <v>1</v>
      </c>
      <c r="J2" s="3" t="inlineStr">
        <is>
          <t>LS</t>
        </is>
      </c>
      <c r="K2" s="39" t="n">
        <v>12000</v>
      </c>
      <c r="L2" s="35" t="n">
        <v>12000</v>
      </c>
      <c r="M2" s="3" t="inlineStr">
        <is>
          <t>CAD</t>
        </is>
      </c>
      <c r="N2" s="3" t="inlineStr">
        <is>
          <t>ALLOWANCE</t>
        </is>
      </c>
      <c r="O2" s="3" t="inlineStr">
        <is>
          <t>A-001</t>
        </is>
      </c>
      <c r="P2" s="3" t="inlineStr">
        <is>
          <t>LOW</t>
        </is>
      </c>
      <c r="Q2" s="3" t="inlineStr">
        <is>
          <t>Allowance for drawing production without vendor quotes or rate tables</t>
        </is>
      </c>
      <c r="R2" s="3">
        <f>VLOOKUP($F2,Inputs!$D$6:$E$41,2,FALSE)</f>
        <v/>
      </c>
      <c r="S2" s="36">
        <f>VLOOKUP($E2,Inputs!$A$6:$B$13,2,FALSE)*Inputs!$B$2</f>
        <v/>
      </c>
      <c r="T2" s="35">
        <f>$L2*$S2</f>
        <v/>
      </c>
      <c r="U2" s="35">
        <f>$L2+$T2</f>
        <v/>
      </c>
    </row>
    <row r="3">
      <c r="A3" s="3" t="inlineStr">
        <is>
          <t>PKG-00::L002</t>
        </is>
      </c>
      <c r="B3" s="3" t="inlineStr">
        <is>
          <t>PKG-00</t>
        </is>
      </c>
      <c r="C3" s="3" t="inlineStr">
        <is>
          <t>DEL-00.02</t>
        </is>
      </c>
      <c r="D3" s="3" t="inlineStr">
        <is>
          <t>L002</t>
        </is>
      </c>
      <c r="E3" s="3" t="inlineStr">
        <is>
          <t>E</t>
        </is>
      </c>
      <c r="F3" s="3" t="inlineStr">
        <is>
          <t>PKG-00</t>
        </is>
      </c>
      <c r="G3" s="3" t="inlineStr">
        <is>
          <t>DEL-00.02</t>
        </is>
      </c>
      <c r="H3" s="3" t="inlineStr">
        <is>
          <t>Site Establishment Technical Specification - specification writing (2 specifications)</t>
        </is>
      </c>
      <c r="I3" s="22" t="n">
        <v>1</v>
      </c>
      <c r="J3" s="3" t="inlineStr">
        <is>
          <t>LS</t>
        </is>
      </c>
      <c r="K3" s="39" t="n">
        <v>10000</v>
      </c>
      <c r="L3" s="35" t="n">
        <v>10000</v>
      </c>
      <c r="M3" s="3" t="inlineStr">
        <is>
          <t>CAD</t>
        </is>
      </c>
      <c r="N3" s="3" t="inlineStr">
        <is>
          <t>ALLOWANCE</t>
        </is>
      </c>
      <c r="O3" s="3" t="inlineStr">
        <is>
          <t>A-002</t>
        </is>
      </c>
      <c r="P3" s="3" t="inlineStr">
        <is>
          <t>LOW</t>
        </is>
      </c>
      <c r="Q3" s="3" t="inlineStr">
        <is>
          <t>Allowance for specification writing without rate tables</t>
        </is>
      </c>
      <c r="R3" s="3">
        <f>VLOOKUP($F3,Inputs!$D$6:$E$41,2,FALSE)</f>
        <v/>
      </c>
      <c r="S3" s="36">
        <f>VLOOKUP($E3,Inputs!$A$6:$B$13,2,FALSE)*Inputs!$B$2</f>
        <v/>
      </c>
      <c r="T3" s="35">
        <f>$L3*$S3</f>
        <v/>
      </c>
      <c r="U3" s="35">
        <f>$L3+$T3</f>
        <v/>
      </c>
    </row>
    <row r="4">
      <c r="A4" s="3" t="inlineStr">
        <is>
          <t>PKG-00::L003</t>
        </is>
      </c>
      <c r="B4" s="3" t="inlineStr">
        <is>
          <t>PKG-00</t>
        </is>
      </c>
      <c r="C4" s="3" t="inlineStr">
        <is>
          <t>DEL-00.03</t>
        </is>
      </c>
      <c r="D4" s="3" t="inlineStr">
        <is>
          <t>L003</t>
        </is>
      </c>
      <c r="E4" s="3" t="inlineStr">
        <is>
          <t>PM</t>
        </is>
      </c>
      <c r="F4" s="3" t="inlineStr">
        <is>
          <t>PKG-00</t>
        </is>
      </c>
      <c r="G4" s="3" t="inlineStr">
        <is>
          <t>DEL-00.03</t>
        </is>
      </c>
      <c r="H4" s="3" t="inlineStr">
        <is>
          <t>Site Establishment Procedures - procedure development (3 procedures)</t>
        </is>
      </c>
      <c r="I4" s="22" t="n">
        <v>1</v>
      </c>
      <c r="J4" s="3" t="inlineStr">
        <is>
          <t>LS</t>
        </is>
      </c>
      <c r="K4" s="39" t="n">
        <v>9000</v>
      </c>
      <c r="L4" s="35" t="n">
        <v>9000</v>
      </c>
      <c r="M4" s="3" t="inlineStr">
        <is>
          <t>CAD</t>
        </is>
      </c>
      <c r="N4" s="3" t="inlineStr">
        <is>
          <t>ALLOWANCE</t>
        </is>
      </c>
      <c r="O4" s="3" t="inlineStr">
        <is>
          <t>A-003</t>
        </is>
      </c>
      <c r="P4" s="3" t="inlineStr">
        <is>
          <t>LOW</t>
        </is>
      </c>
      <c r="Q4" s="3" t="inlineStr">
        <is>
          <t>Allowance for PM procedure development</t>
        </is>
      </c>
      <c r="R4" s="3">
        <f>VLOOKUP($F4,Inputs!$D$6:$E$41,2,FALSE)</f>
        <v/>
      </c>
      <c r="S4" s="36">
        <f>VLOOKUP($E4,Inputs!$A$6:$B$13,2,FALSE)*Inputs!$B$2</f>
        <v/>
      </c>
      <c r="T4" s="35">
        <f>$L4*$S4</f>
        <v/>
      </c>
      <c r="U4" s="35">
        <f>$L4+$T4</f>
        <v/>
      </c>
    </row>
    <row r="5">
      <c r="A5" s="3" t="inlineStr">
        <is>
          <t>PKG-00::L004</t>
        </is>
      </c>
      <c r="B5" s="3" t="inlineStr">
        <is>
          <t>PKG-00</t>
        </is>
      </c>
      <c r="C5" s="3" t="inlineStr">
        <is>
          <t>DEL-00.04</t>
        </is>
      </c>
      <c r="D5" s="3" t="inlineStr">
        <is>
          <t>L004</t>
        </is>
      </c>
      <c r="E5" s="3" t="inlineStr">
        <is>
          <t>PM</t>
        </is>
      </c>
      <c r="F5" s="3" t="inlineStr">
        <is>
          <t>PKG-00</t>
        </is>
      </c>
      <c r="G5" s="3" t="inlineStr">
        <is>
          <t>DEL-00.04</t>
        </is>
      </c>
      <c r="H5" s="3" t="inlineStr">
        <is>
          <t>Contractor's Equipment Schedule - project controls documentation (2 documents)</t>
        </is>
      </c>
      <c r="I5" s="22" t="n">
        <v>1</v>
      </c>
      <c r="J5" s="3" t="inlineStr">
        <is>
          <t>LS</t>
        </is>
      </c>
      <c r="K5" s="39" t="n">
        <v>5000</v>
      </c>
      <c r="L5" s="35" t="n">
        <v>5000</v>
      </c>
      <c r="M5" s="3" t="inlineStr">
        <is>
          <t>CAD</t>
        </is>
      </c>
      <c r="N5" s="3" t="inlineStr">
        <is>
          <t>ALLOWANCE</t>
        </is>
      </c>
      <c r="O5" s="3" t="inlineStr">
        <is>
          <t>A-004</t>
        </is>
      </c>
      <c r="P5" s="3" t="inlineStr">
        <is>
          <t>LOW</t>
        </is>
      </c>
      <c r="Q5" s="3" t="inlineStr">
        <is>
          <t>Allowance for equipment schedule preparation</t>
        </is>
      </c>
      <c r="R5" s="3">
        <f>VLOOKUP($F5,Inputs!$D$6:$E$41,2,FALSE)</f>
        <v/>
      </c>
      <c r="S5" s="36">
        <f>VLOOKUP($E5,Inputs!$A$6:$B$13,2,FALSE)*Inputs!$B$2</f>
        <v/>
      </c>
      <c r="T5" s="35">
        <f>$L5*$S5</f>
        <v/>
      </c>
      <c r="U5" s="35">
        <f>$L5+$T5</f>
        <v/>
      </c>
    </row>
    <row r="6">
      <c r="A6" s="3" t="inlineStr">
        <is>
          <t>PKG-00::L005</t>
        </is>
      </c>
      <c r="B6" s="3" t="inlineStr">
        <is>
          <t>PKG-00</t>
        </is>
      </c>
      <c r="C6" s="3" t="inlineStr">
        <is>
          <t>DEL-00.05</t>
        </is>
      </c>
      <c r="D6" s="3" t="inlineStr">
        <is>
          <t>L005</t>
        </is>
      </c>
      <c r="E6" s="3" t="inlineStr">
        <is>
          <t>PM</t>
        </is>
      </c>
      <c r="F6" s="3" t="inlineStr">
        <is>
          <t>PKG-00</t>
        </is>
      </c>
      <c r="G6" s="3" t="inlineStr">
        <is>
          <t>DEL-00.05</t>
        </is>
      </c>
      <c r="H6" s="3" t="inlineStr">
        <is>
          <t>Road Access &amp; Security Planning - access/security process documentation (3 plans)</t>
        </is>
      </c>
      <c r="I6" s="22" t="n">
        <v>1</v>
      </c>
      <c r="J6" s="3" t="inlineStr">
        <is>
          <t>LS</t>
        </is>
      </c>
      <c r="K6" s="39" t="n">
        <v>8000</v>
      </c>
      <c r="L6" s="35" t="n">
        <v>8000</v>
      </c>
      <c r="M6" s="3" t="inlineStr">
        <is>
          <t>CAD</t>
        </is>
      </c>
      <c r="N6" s="3" t="inlineStr">
        <is>
          <t>ALLOWANCE</t>
        </is>
      </c>
      <c r="O6" s="3" t="inlineStr">
        <is>
          <t>A-005</t>
        </is>
      </c>
      <c r="P6" s="3" t="inlineStr">
        <is>
          <t>LOW</t>
        </is>
      </c>
      <c r="Q6" s="3" t="inlineStr">
        <is>
          <t>Allowance for security planning and procedure development</t>
        </is>
      </c>
      <c r="R6" s="3">
        <f>VLOOKUP($F6,Inputs!$D$6:$E$41,2,FALSE)</f>
        <v/>
      </c>
      <c r="S6" s="36">
        <f>VLOOKUP($E6,Inputs!$A$6:$B$13,2,FALSE)*Inputs!$B$2</f>
        <v/>
      </c>
      <c r="T6" s="35">
        <f>$L6*$S6</f>
        <v/>
      </c>
      <c r="U6" s="35">
        <f>$L6+$T6</f>
        <v/>
      </c>
    </row>
    <row r="7">
      <c r="A7" s="3" t="inlineStr">
        <is>
          <t>PKG-00::L006</t>
        </is>
      </c>
      <c r="B7" s="3" t="inlineStr">
        <is>
          <t>PKG-00</t>
        </is>
      </c>
      <c r="C7" s="3" t="inlineStr">
        <is>
          <t>DEL-00.06</t>
        </is>
      </c>
      <c r="D7" s="3" t="inlineStr">
        <is>
          <t>L006</t>
        </is>
      </c>
      <c r="E7" s="3" t="inlineStr">
        <is>
          <t>E</t>
        </is>
      </c>
      <c r="F7" s="3" t="inlineStr">
        <is>
          <t>PKG-00</t>
        </is>
      </c>
      <c r="G7" s="3" t="inlineStr">
        <is>
          <t>DEL-00.06</t>
        </is>
      </c>
      <c r="H7" s="3" t="inlineStr">
        <is>
          <t>Pre-Works Road Condition Survey - field survey and photo documentation</t>
        </is>
      </c>
      <c r="I7" s="22" t="n">
        <v>1</v>
      </c>
      <c r="J7" s="3" t="inlineStr">
        <is>
          <t>LS</t>
        </is>
      </c>
      <c r="K7" s="39" t="n">
        <v>15000</v>
      </c>
      <c r="L7" s="35" t="n">
        <v>15000</v>
      </c>
      <c r="M7" s="3" t="inlineStr">
        <is>
          <t>CAD</t>
        </is>
      </c>
      <c r="N7" s="3" t="inlineStr">
        <is>
          <t>ALLOWANCE</t>
        </is>
      </c>
      <c r="O7" s="3" t="inlineStr">
        <is>
          <t>A-006</t>
        </is>
      </c>
      <c r="P7" s="3" t="inlineStr">
        <is>
          <t>LOW</t>
        </is>
      </c>
      <c r="Q7" s="3" t="inlineStr">
        <is>
          <t>Allowance for surveyor services without vendor quote</t>
        </is>
      </c>
      <c r="R7" s="3">
        <f>VLOOKUP($F7,Inputs!$D$6:$E$41,2,FALSE)</f>
        <v/>
      </c>
      <c r="S7" s="36">
        <f>VLOOKUP($E7,Inputs!$A$6:$B$13,2,FALSE)*Inputs!$B$2</f>
        <v/>
      </c>
      <c r="T7" s="35">
        <f>$L7*$S7</f>
        <v/>
      </c>
      <c r="U7" s="35">
        <f>$L7+$T7</f>
        <v/>
      </c>
    </row>
    <row r="8">
      <c r="A8" s="3" t="inlineStr">
        <is>
          <t>PKG-00::L007</t>
        </is>
      </c>
      <c r="B8" s="3" t="inlineStr">
        <is>
          <t>PKG-00</t>
        </is>
      </c>
      <c r="C8" s="3" t="inlineStr">
        <is>
          <t>DEL-00.07</t>
        </is>
      </c>
      <c r="D8" s="3" t="inlineStr">
        <is>
          <t>L007</t>
        </is>
      </c>
      <c r="E8" s="3" t="inlineStr">
        <is>
          <t>E</t>
        </is>
      </c>
      <c r="F8" s="3" t="inlineStr">
        <is>
          <t>PKG-00</t>
        </is>
      </c>
      <c r="G8" s="3" t="inlineStr">
        <is>
          <t>DEL-00.07</t>
        </is>
      </c>
      <c r="H8" s="3" t="inlineStr">
        <is>
          <t>Post-Works Road Condition Survey - survey and deficiency closeout</t>
        </is>
      </c>
      <c r="I8" s="22" t="n">
        <v>1</v>
      </c>
      <c r="J8" s="3" t="inlineStr">
        <is>
          <t>LS</t>
        </is>
      </c>
      <c r="K8" s="39" t="n">
        <v>18000</v>
      </c>
      <c r="L8" s="35" t="n">
        <v>18000</v>
      </c>
      <c r="M8" s="3" t="inlineStr">
        <is>
          <t>CAD</t>
        </is>
      </c>
      <c r="N8" s="3" t="inlineStr">
        <is>
          <t>ALLOWANCE</t>
        </is>
      </c>
      <c r="O8" s="3" t="inlineStr">
        <is>
          <t>A-007</t>
        </is>
      </c>
      <c r="P8" s="3" t="inlineStr">
        <is>
          <t>LOW</t>
        </is>
      </c>
      <c r="Q8" s="3" t="inlineStr">
        <is>
          <t>Allowance for post-construction survey services</t>
        </is>
      </c>
      <c r="R8" s="3">
        <f>VLOOKUP($F8,Inputs!$D$6:$E$41,2,FALSE)</f>
        <v/>
      </c>
      <c r="S8" s="36">
        <f>VLOOKUP($E8,Inputs!$A$6:$B$13,2,FALSE)*Inputs!$B$2</f>
        <v/>
      </c>
      <c r="T8" s="35">
        <f>$L8*$S8</f>
        <v/>
      </c>
      <c r="U8" s="35">
        <f>$L8+$T8</f>
        <v/>
      </c>
    </row>
    <row r="9">
      <c r="A9" s="3" t="inlineStr">
        <is>
          <t>PKG-00::L008</t>
        </is>
      </c>
      <c r="B9" s="3" t="inlineStr">
        <is>
          <t>PKG-00</t>
        </is>
      </c>
      <c r="C9" s="3" t="inlineStr">
        <is>
          <t>DEL-00.07</t>
        </is>
      </c>
      <c r="D9" s="3" t="inlineStr">
        <is>
          <t>L008</t>
        </is>
      </c>
      <c r="E9" s="3" t="inlineStr">
        <is>
          <t>CD</t>
        </is>
      </c>
      <c r="F9" s="3" t="inlineStr">
        <is>
          <t>PKG-00</t>
        </is>
      </c>
      <c r="G9" s="3" t="inlineStr">
        <is>
          <t>DEL-00.07</t>
        </is>
      </c>
      <c r="H9" s="3" t="inlineStr">
        <is>
          <t>Road Deficiency Remediation - asphalt patching and restoration work</t>
        </is>
      </c>
      <c r="I9" s="22" t="n">
        <v>1</v>
      </c>
      <c r="J9" s="3" t="inlineStr">
        <is>
          <t>LS</t>
        </is>
      </c>
      <c r="K9" s="39" t="n">
        <v>25000</v>
      </c>
      <c r="L9" s="35" t="n">
        <v>25000</v>
      </c>
      <c r="M9" s="3" t="inlineStr">
        <is>
          <t>CAD</t>
        </is>
      </c>
      <c r="N9" s="3" t="inlineStr">
        <is>
          <t>ALLOWANCE</t>
        </is>
      </c>
      <c r="O9" s="3" t="inlineStr">
        <is>
          <t>A-008</t>
        </is>
      </c>
      <c r="P9" s="3" t="inlineStr">
        <is>
          <t>LOW</t>
        </is>
      </c>
      <c r="Q9" s="3" t="inlineStr">
        <is>
          <t>Placeholder for road restoration; highly variable based on actual damage</t>
        </is>
      </c>
      <c r="R9" s="3">
        <f>VLOOKUP($F9,Inputs!$D$6:$E$41,2,FALSE)</f>
        <v/>
      </c>
      <c r="S9" s="36">
        <f>VLOOKUP($E9,Inputs!$A$6:$B$13,2,FALSE)*Inputs!$B$2</f>
        <v/>
      </c>
      <c r="T9" s="35">
        <f>$L9*$S9</f>
        <v/>
      </c>
      <c r="U9" s="35">
        <f>$L9+$T9</f>
        <v/>
      </c>
    </row>
    <row r="10">
      <c r="A10" s="3" t="inlineStr">
        <is>
          <t>PKG-00::L009</t>
        </is>
      </c>
      <c r="B10" s="3" t="inlineStr">
        <is>
          <t>PKG-00</t>
        </is>
      </c>
      <c r="C10" s="3" t="inlineStr">
        <is>
          <t>DEL-00.08</t>
        </is>
      </c>
      <c r="D10" s="3" t="inlineStr">
        <is>
          <t>L009</t>
        </is>
      </c>
      <c r="E10" s="3" t="inlineStr">
        <is>
          <t>E</t>
        </is>
      </c>
      <c r="F10" s="3" t="inlineStr">
        <is>
          <t>PKG-00</t>
        </is>
      </c>
      <c r="G10" s="3" t="inlineStr">
        <is>
          <t>DEL-00.08</t>
        </is>
      </c>
      <c r="H10" s="3" t="inlineStr">
        <is>
          <t>Temporary Water Supply Design - utility design drawings (3 drawings)</t>
        </is>
      </c>
      <c r="I10" s="22" t="n">
        <v>1</v>
      </c>
      <c r="J10" s="3" t="inlineStr">
        <is>
          <t>LS</t>
        </is>
      </c>
      <c r="K10" s="39" t="n">
        <v>10000</v>
      </c>
      <c r="L10" s="35" t="n">
        <v>10000</v>
      </c>
      <c r="M10" s="3" t="inlineStr">
        <is>
          <t>CAD</t>
        </is>
      </c>
      <c r="N10" s="3" t="inlineStr">
        <is>
          <t>ALLOWANCE</t>
        </is>
      </c>
      <c r="O10" s="3" t="inlineStr">
        <is>
          <t>A-009</t>
        </is>
      </c>
      <c r="P10" s="3" t="inlineStr">
        <is>
          <t>LOW</t>
        </is>
      </c>
      <c r="Q10" s="3" t="inlineStr">
        <is>
          <t>Allowance for water supply design effort</t>
        </is>
      </c>
      <c r="R10" s="3">
        <f>VLOOKUP($F10,Inputs!$D$6:$E$41,2,FALSE)</f>
        <v/>
      </c>
      <c r="S10" s="36">
        <f>VLOOKUP($E10,Inputs!$A$6:$B$13,2,FALSE)*Inputs!$B$2</f>
        <v/>
      </c>
      <c r="T10" s="35">
        <f>$L10*$S10</f>
        <v/>
      </c>
      <c r="U10" s="35">
        <f>$L10+$T10</f>
        <v/>
      </c>
    </row>
    <row r="11">
      <c r="A11" s="3" t="inlineStr">
        <is>
          <t>PKG-00::L010</t>
        </is>
      </c>
      <c r="B11" s="3" t="inlineStr">
        <is>
          <t>PKG-00</t>
        </is>
      </c>
      <c r="C11" s="3" t="inlineStr">
        <is>
          <t>DEL-00.08</t>
        </is>
      </c>
      <c r="D11" s="3" t="inlineStr">
        <is>
          <t>L010</t>
        </is>
      </c>
      <c r="E11" s="3" t="inlineStr">
        <is>
          <t>MAT</t>
        </is>
      </c>
      <c r="F11" s="3" t="inlineStr">
        <is>
          <t>PKG-00</t>
        </is>
      </c>
      <c r="G11" s="3" t="inlineStr">
        <is>
          <t>DEL-00.08</t>
        </is>
      </c>
      <c r="H11" s="3" t="inlineStr">
        <is>
          <t>Temporary Water Supply Materials - pipe fittings backflow preventer valves</t>
        </is>
      </c>
      <c r="I11" s="22" t="n">
        <v>1</v>
      </c>
      <c r="J11" s="3" t="inlineStr">
        <is>
          <t>LS</t>
        </is>
      </c>
      <c r="K11" s="39" t="n">
        <v>20000</v>
      </c>
      <c r="L11" s="35" t="n">
        <v>20000</v>
      </c>
      <c r="M11" s="3" t="inlineStr">
        <is>
          <t>CAD</t>
        </is>
      </c>
      <c r="N11" s="3" t="inlineStr">
        <is>
          <t>ALLOWANCE</t>
        </is>
      </c>
      <c r="O11" s="3" t="inlineStr">
        <is>
          <t>A-010</t>
        </is>
      </c>
      <c r="P11" s="3" t="inlineStr">
        <is>
          <t>LOW</t>
        </is>
      </c>
      <c r="Q11" s="3" t="inlineStr">
        <is>
          <t>Material allowance without vendor quotes or site layout distances</t>
        </is>
      </c>
      <c r="R11" s="3">
        <f>VLOOKUP($F11,Inputs!$D$6:$E$41,2,FALSE)</f>
        <v/>
      </c>
      <c r="S11" s="36">
        <f>VLOOKUP($E11,Inputs!$A$6:$B$13,2,FALSE)*Inputs!$B$2</f>
        <v/>
      </c>
      <c r="T11" s="35">
        <f>$L11*$S11</f>
        <v/>
      </c>
      <c r="U11" s="35">
        <f>$L11+$T11</f>
        <v/>
      </c>
    </row>
    <row r="12">
      <c r="A12" s="3" t="inlineStr">
        <is>
          <t>PKG-00::L011</t>
        </is>
      </c>
      <c r="B12" s="3" t="inlineStr">
        <is>
          <t>PKG-00</t>
        </is>
      </c>
      <c r="C12" s="3" t="inlineStr">
        <is>
          <t>DEL-00.08</t>
        </is>
      </c>
      <c r="D12" s="3" t="inlineStr">
        <is>
          <t>L011</t>
        </is>
      </c>
      <c r="E12" s="3" t="inlineStr">
        <is>
          <t>CD</t>
        </is>
      </c>
      <c r="F12" s="3" t="inlineStr">
        <is>
          <t>PKG-00</t>
        </is>
      </c>
      <c r="G12" s="3" t="inlineStr">
        <is>
          <t>DEL-00.08</t>
        </is>
      </c>
      <c r="H12" s="3" t="inlineStr">
        <is>
          <t>Temporary Water Supply Installation - plumbing labor connection testing</t>
        </is>
      </c>
      <c r="I12" s="22" t="n">
        <v>1</v>
      </c>
      <c r="J12" s="3" t="inlineStr">
        <is>
          <t>LS</t>
        </is>
      </c>
      <c r="K12" s="39" t="n">
        <v>25000</v>
      </c>
      <c r="L12" s="35" t="n">
        <v>25000</v>
      </c>
      <c r="M12" s="3" t="inlineStr">
        <is>
          <t>CAD</t>
        </is>
      </c>
      <c r="N12" s="3" t="inlineStr">
        <is>
          <t>ALLOWANCE</t>
        </is>
      </c>
      <c r="O12" s="3" t="inlineStr">
        <is>
          <t>A-010</t>
        </is>
      </c>
      <c r="P12" s="3" t="inlineStr">
        <is>
          <t>LOW</t>
        </is>
      </c>
      <c r="Q12" s="3" t="inlineStr">
        <is>
          <t>Installation labor allowance without rate tables</t>
        </is>
      </c>
      <c r="R12" s="3">
        <f>VLOOKUP($F12,Inputs!$D$6:$E$41,2,FALSE)</f>
        <v/>
      </c>
      <c r="S12" s="36">
        <f>VLOOKUP($E12,Inputs!$A$6:$B$13,2,FALSE)*Inputs!$B$2</f>
        <v/>
      </c>
      <c r="T12" s="35">
        <f>$L12*$S12</f>
        <v/>
      </c>
      <c r="U12" s="35">
        <f>$L12+$T12</f>
        <v/>
      </c>
    </row>
    <row r="13">
      <c r="A13" s="3" t="inlineStr">
        <is>
          <t>PKG-00::L012</t>
        </is>
      </c>
      <c r="B13" s="3" t="inlineStr">
        <is>
          <t>PKG-00</t>
        </is>
      </c>
      <c r="C13" s="3" t="inlineStr">
        <is>
          <t>DEL-00.05</t>
        </is>
      </c>
      <c r="D13" s="3" t="inlineStr">
        <is>
          <t>L012</t>
        </is>
      </c>
      <c r="E13" s="3" t="inlineStr">
        <is>
          <t>CD</t>
        </is>
      </c>
      <c r="F13" s="3" t="inlineStr">
        <is>
          <t>PKG-00</t>
        </is>
      </c>
      <c r="G13" s="3" t="inlineStr">
        <is>
          <t>DEL-00.05</t>
        </is>
      </c>
      <c r="H13" s="3" t="inlineStr">
        <is>
          <t>Security Gate &amp; Access Control Installation - gate hardware and system install</t>
        </is>
      </c>
      <c r="I13" s="22" t="n">
        <v>1</v>
      </c>
      <c r="J13" s="3" t="inlineStr">
        <is>
          <t>LS</t>
        </is>
      </c>
      <c r="K13" s="39" t="n">
        <v>75000</v>
      </c>
      <c r="L13" s="35" t="n">
        <v>75000</v>
      </c>
      <c r="M13" s="3" t="inlineStr">
        <is>
          <t>CAD</t>
        </is>
      </c>
      <c r="N13" s="3" t="inlineStr">
        <is>
          <t>ALLOWANCE</t>
        </is>
      </c>
      <c r="O13" s="3" t="inlineStr">
        <is>
          <t>A-011</t>
        </is>
      </c>
      <c r="P13" s="3" t="inlineStr">
        <is>
          <t>LOW</t>
        </is>
      </c>
      <c r="Q13" s="3" t="inlineStr">
        <is>
          <t>Allowance for security equipment and installation</t>
        </is>
      </c>
      <c r="R13" s="3">
        <f>VLOOKUP($F13,Inputs!$D$6:$E$41,2,FALSE)</f>
        <v/>
      </c>
      <c r="S13" s="36">
        <f>VLOOKUP($E13,Inputs!$A$6:$B$13,2,FALSE)*Inputs!$B$2</f>
        <v/>
      </c>
      <c r="T13" s="35">
        <f>$L13*$S13</f>
        <v/>
      </c>
      <c r="U13" s="35">
        <f>$L13+$T13</f>
        <v/>
      </c>
    </row>
    <row r="14">
      <c r="A14" s="3" t="inlineStr">
        <is>
          <t>PKG-00::L013</t>
        </is>
      </c>
      <c r="B14" s="3" t="inlineStr">
        <is>
          <t>PKG-00</t>
        </is>
      </c>
      <c r="C14" s="3" t="n"/>
      <c r="D14" s="3" t="inlineStr">
        <is>
          <t>L013</t>
        </is>
      </c>
      <c r="E14" s="3" t="inlineStr">
        <is>
          <t>MAT</t>
        </is>
      </c>
      <c r="F14" s="3" t="inlineStr">
        <is>
          <t>PKG-00</t>
        </is>
      </c>
      <c r="G14" s="3" t="n"/>
      <c r="H14" s="3" t="inlineStr">
        <is>
          <t>Temporary Site Facilities - Materials (office trailers welfare facilities fencing)</t>
        </is>
      </c>
      <c r="I14" s="22" t="n">
        <v>1</v>
      </c>
      <c r="J14" s="3" t="inlineStr">
        <is>
          <t>LS</t>
        </is>
      </c>
      <c r="K14" s="39" t="n">
        <v>500000</v>
      </c>
      <c r="L14" s="35" t="n">
        <v>500000</v>
      </c>
      <c r="M14" s="3" t="inlineStr">
        <is>
          <t>CAD</t>
        </is>
      </c>
      <c r="N14" s="3" t="inlineStr">
        <is>
          <t>ALLOWANCE</t>
        </is>
      </c>
      <c r="O14" s="3" t="inlineStr">
        <is>
          <t>A-012</t>
        </is>
      </c>
      <c r="P14" s="3" t="inlineStr">
        <is>
          <t>LOW</t>
        </is>
      </c>
      <c r="Q14" s="3" t="inlineStr">
        <is>
          <t>Material component of site facilities allowance; breakdown: trailers $300k fencing $150k misc $50k</t>
        </is>
      </c>
      <c r="R14" s="3">
        <f>VLOOKUP($F14,Inputs!$D$6:$E$41,2,FALSE)</f>
        <v/>
      </c>
      <c r="S14" s="36">
        <f>VLOOKUP($E14,Inputs!$A$6:$B$13,2,FALSE)*Inputs!$B$2</f>
        <v/>
      </c>
      <c r="T14" s="35">
        <f>$L14*$S14</f>
        <v/>
      </c>
      <c r="U14" s="35">
        <f>$L14+$T14</f>
        <v/>
      </c>
    </row>
    <row r="15">
      <c r="A15" s="3" t="inlineStr">
        <is>
          <t>PKG-00::L014</t>
        </is>
      </c>
      <c r="B15" s="3" t="inlineStr">
        <is>
          <t>PKG-00</t>
        </is>
      </c>
      <c r="C15" s="3" t="n"/>
      <c r="D15" s="3" t="inlineStr">
        <is>
          <t>L014</t>
        </is>
      </c>
      <c r="E15" s="3" t="inlineStr">
        <is>
          <t>CD</t>
        </is>
      </c>
      <c r="F15" s="3" t="inlineStr">
        <is>
          <t>PKG-00</t>
        </is>
      </c>
      <c r="G15" s="3" t="n"/>
      <c r="H15" s="3" t="inlineStr">
        <is>
          <t>Temporary Site Infrastructure - Construction (laydown electrical utilities signage)</t>
        </is>
      </c>
      <c r="I15" s="22" t="n">
        <v>1</v>
      </c>
      <c r="J15" s="3" t="inlineStr">
        <is>
          <t>LS</t>
        </is>
      </c>
      <c r="K15" s="39" t="n">
        <v>350000</v>
      </c>
      <c r="L15" s="35" t="n">
        <v>350000</v>
      </c>
      <c r="M15" s="3" t="inlineStr">
        <is>
          <t>CAD</t>
        </is>
      </c>
      <c r="N15" s="3" t="inlineStr">
        <is>
          <t>ALLOWANCE</t>
        </is>
      </c>
      <c r="O15" s="3" t="inlineStr">
        <is>
          <t>A-012</t>
        </is>
      </c>
      <c r="P15" s="3" t="inlineStr">
        <is>
          <t>LOW</t>
        </is>
      </c>
      <c r="Q15" s="3" t="inlineStr">
        <is>
          <t>Construction component of site infrastructure allowance; breakdown: laydown $150k electrical $120k welfare $80k</t>
        </is>
      </c>
      <c r="R15" s="3">
        <f>VLOOKUP($F15,Inputs!$D$6:$E$41,2,FALSE)</f>
        <v/>
      </c>
      <c r="S15" s="36">
        <f>VLOOKUP($E15,Inputs!$A$6:$B$13,2,FALSE)*Inputs!$B$2</f>
        <v/>
      </c>
      <c r="T15" s="35">
        <f>$L15*$S15</f>
        <v/>
      </c>
      <c r="U15" s="35">
        <f>$L15+$T15</f>
        <v/>
      </c>
    </row>
    <row r="16">
      <c r="A16" s="3" t="inlineStr">
        <is>
          <t>PKG-00::L015</t>
        </is>
      </c>
      <c r="B16" s="3" t="inlineStr">
        <is>
          <t>PKG-00</t>
        </is>
      </c>
      <c r="C16" s="3" t="n"/>
      <c r="D16" s="3" t="inlineStr">
        <is>
          <t>L015</t>
        </is>
      </c>
      <c r="E16" s="3" t="inlineStr">
        <is>
          <t>CI</t>
        </is>
      </c>
      <c r="F16" s="3" t="inlineStr">
        <is>
          <t>PKG-00</t>
        </is>
      </c>
      <c r="G16" s="3" t="n"/>
      <c r="H16" s="3" t="inlineStr">
        <is>
          <t>Security Gate Staffing - construction phase security operations</t>
        </is>
      </c>
      <c r="I16" s="22" t="n">
        <v>1</v>
      </c>
      <c r="J16" s="3" t="inlineStr">
        <is>
          <t>LS</t>
        </is>
      </c>
      <c r="K16" s="39" t="n">
        <v>180000</v>
      </c>
      <c r="L16" s="35" t="n">
        <v>180000</v>
      </c>
      <c r="M16" s="3" t="inlineStr">
        <is>
          <t>CAD</t>
        </is>
      </c>
      <c r="N16" s="3" t="inlineStr">
        <is>
          <t>ALLOWANCE</t>
        </is>
      </c>
      <c r="O16" s="3" t="inlineStr">
        <is>
          <t>A-013</t>
        </is>
      </c>
      <c r="P16" s="3" t="inlineStr">
        <is>
          <t>LOW</t>
        </is>
      </c>
      <c r="Q16" s="3" t="inlineStr">
        <is>
          <t>24-month gate staffing allowance (12hr/day 6day/week @ $30/hr); hours TBD from schedule</t>
        </is>
      </c>
      <c r="R16" s="3">
        <f>VLOOKUP($F16,Inputs!$D$6:$E$41,2,FALSE)</f>
        <v/>
      </c>
      <c r="S16" s="36">
        <f>VLOOKUP($E16,Inputs!$A$6:$B$13,2,FALSE)*Inputs!$B$2</f>
        <v/>
      </c>
      <c r="T16" s="35">
        <f>$L16*$S16</f>
        <v/>
      </c>
      <c r="U16" s="35">
        <f>$L16+$T16</f>
        <v/>
      </c>
    </row>
    <row r="17">
      <c r="A17" s="3" t="inlineStr">
        <is>
          <t>PKG-00::L016</t>
        </is>
      </c>
      <c r="B17" s="3" t="inlineStr">
        <is>
          <t>PKG-00</t>
        </is>
      </c>
      <c r="C17" s="3" t="n"/>
      <c r="D17" s="3" t="inlineStr">
        <is>
          <t>L016</t>
        </is>
      </c>
      <c r="E17" s="3" t="inlineStr">
        <is>
          <t>CI</t>
        </is>
      </c>
      <c r="F17" s="3" t="inlineStr">
        <is>
          <t>PKG-00</t>
        </is>
      </c>
      <c r="G17" s="3" t="n"/>
      <c r="H17" s="3" t="inlineStr">
        <is>
          <t>Construction Indirects - field supervision site overhead QA/QC (factor-based)</t>
        </is>
      </c>
      <c r="I17" s="22" t="n">
        <v>1</v>
      </c>
      <c r="J17" s="3" t="inlineStr">
        <is>
          <t>LS</t>
        </is>
      </c>
      <c r="K17" s="39" t="n">
        <v>85500</v>
      </c>
      <c r="L17" s="35" t="n">
        <v>85500</v>
      </c>
      <c r="M17" s="3" t="inlineStr">
        <is>
          <t>CAD</t>
        </is>
      </c>
      <c r="N17" s="3" t="inlineStr">
        <is>
          <t>PARAMETRIC</t>
        </is>
      </c>
      <c r="O17" s="3" t="inlineStr">
        <is>
          <t>D-006</t>
        </is>
      </c>
      <c r="P17" s="3" t="inlineStr">
        <is>
          <t>LOW</t>
        </is>
      </c>
      <c r="Q17" s="3" t="inlineStr">
        <is>
          <t>18% of CD base ($475k CD × 0.18); factor from fallback model</t>
        </is>
      </c>
      <c r="R17" s="3">
        <f>VLOOKUP($F17,Inputs!$D$6:$E$41,2,FALSE)</f>
        <v/>
      </c>
      <c r="S17" s="36">
        <f>VLOOKUP($E17,Inputs!$A$6:$B$13,2,FALSE)*Inputs!$B$2</f>
        <v/>
      </c>
      <c r="T17" s="35">
        <f>$L17*$S17</f>
        <v/>
      </c>
      <c r="U17" s="35">
        <f>$L17+$T17</f>
        <v/>
      </c>
    </row>
    <row r="18">
      <c r="A18" s="3" t="inlineStr">
        <is>
          <t>PKG-00::L017</t>
        </is>
      </c>
      <c r="B18" s="3" t="inlineStr">
        <is>
          <t>PKG-00</t>
        </is>
      </c>
      <c r="C18" s="3" t="n"/>
      <c r="D18" s="3" t="inlineStr">
        <is>
          <t>L017</t>
        </is>
      </c>
      <c r="E18" s="3" t="inlineStr">
        <is>
          <t>PM</t>
        </is>
      </c>
      <c r="F18" s="3" t="inlineStr">
        <is>
          <t>PKG-00</t>
        </is>
      </c>
      <c r="G18" s="3" t="n"/>
      <c r="H18" s="3" t="inlineStr">
        <is>
          <t>EPCM / Project Management - PKG-00 allocation (factor-based)</t>
        </is>
      </c>
      <c r="I18" s="22" t="n">
        <v>1</v>
      </c>
      <c r="J18" s="3" t="inlineStr">
        <is>
          <t>LS</t>
        </is>
      </c>
      <c r="K18" s="39" t="n">
        <v>75630</v>
      </c>
      <c r="L18" s="35" t="n">
        <v>75630</v>
      </c>
      <c r="M18" s="3" t="inlineStr">
        <is>
          <t>CAD</t>
        </is>
      </c>
      <c r="N18" s="3" t="inlineStr">
        <is>
          <t>PARAMETRIC</t>
        </is>
      </c>
      <c r="O18" s="3" t="inlineStr">
        <is>
          <t>D-006</t>
        </is>
      </c>
      <c r="P18" s="3" t="inlineStr">
        <is>
          <t>MED</t>
        </is>
      </c>
      <c r="Q18" s="3" t="inlineStr">
        <is>
          <t>6% of (CD+CI+MAT) = 6% × ($475k + $265.5k + $520k) = $75.6k; factor from fallback model</t>
        </is>
      </c>
      <c r="R18" s="3">
        <f>VLOOKUP($F18,Inputs!$D$6:$E$41,2,FALSE)</f>
        <v/>
      </c>
      <c r="S18" s="36">
        <f>VLOOKUP($E18,Inputs!$A$6:$B$13,2,FALSE)*Inputs!$B$2</f>
        <v/>
      </c>
      <c r="T18" s="35">
        <f>$L18*$S18</f>
        <v/>
      </c>
      <c r="U18" s="35">
        <f>$L18+$T18</f>
        <v/>
      </c>
    </row>
    <row r="19">
      <c r="A19" s="3" t="inlineStr">
        <is>
          <t>PKG-00::L018</t>
        </is>
      </c>
      <c r="B19" s="3" t="inlineStr">
        <is>
          <t>PKG-00</t>
        </is>
      </c>
      <c r="C19" s="3" t="n"/>
      <c r="D19" s="3" t="inlineStr">
        <is>
          <t>L018</t>
        </is>
      </c>
      <c r="E19" s="3" t="inlineStr">
        <is>
          <t>P</t>
        </is>
      </c>
      <c r="F19" s="3" t="inlineStr">
        <is>
          <t>PKG-00</t>
        </is>
      </c>
      <c r="G19" s="3" t="n"/>
      <c r="H19" s="3" t="inlineStr">
        <is>
          <t>Procurement Services - vendor coordination expediting (factor-based)</t>
        </is>
      </c>
      <c r="I19" s="22" t="n">
        <v>1</v>
      </c>
      <c r="J19" s="3" t="inlineStr">
        <is>
          <t>LS</t>
        </is>
      </c>
      <c r="K19" s="39" t="n">
        <v>10400</v>
      </c>
      <c r="L19" s="35" t="n">
        <v>10400</v>
      </c>
      <c r="M19" s="3" t="inlineStr">
        <is>
          <t>CAD</t>
        </is>
      </c>
      <c r="N19" s="3" t="inlineStr">
        <is>
          <t>PARAMETRIC</t>
        </is>
      </c>
      <c r="O19" s="3" t="inlineStr">
        <is>
          <t>D-006</t>
        </is>
      </c>
      <c r="P19" s="3" t="inlineStr">
        <is>
          <t>MED</t>
        </is>
      </c>
      <c r="Q19" s="3" t="inlineStr">
        <is>
          <t>2% of MAT = 2% × $520k; factor from fallback model</t>
        </is>
      </c>
      <c r="R19" s="3">
        <f>VLOOKUP($F19,Inputs!$D$6:$E$41,2,FALSE)</f>
        <v/>
      </c>
      <c r="S19" s="36">
        <f>VLOOKUP($E19,Inputs!$A$6:$B$13,2,FALSE)*Inputs!$B$2</f>
        <v/>
      </c>
      <c r="T19" s="35">
        <f>$L19*$S19</f>
        <v/>
      </c>
      <c r="U19" s="35">
        <f>$L19+$T19</f>
        <v/>
      </c>
    </row>
    <row r="20">
      <c r="A20" s="3" t="inlineStr">
        <is>
          <t>PKG-01::L101</t>
        </is>
      </c>
      <c r="B20" s="3" t="inlineStr">
        <is>
          <t>PKG-01</t>
        </is>
      </c>
      <c r="C20" s="3" t="inlineStr">
        <is>
          <t>DEL-01.01</t>
        </is>
      </c>
      <c r="D20" s="3" t="inlineStr">
        <is>
          <t>L101</t>
        </is>
      </c>
      <c r="E20" s="3" t="inlineStr">
        <is>
          <t>E</t>
        </is>
      </c>
      <c r="F20" s="3" t="inlineStr">
        <is>
          <t>PKG-01</t>
        </is>
      </c>
      <c r="G20" s="3" t="inlineStr">
        <is>
          <t>DEL-01.01</t>
        </is>
      </c>
      <c r="H20" s="3" t="inlineStr">
        <is>
          <t>Demolition Design Drawing Set - CAD drafting and production (demolition plans removal sequence disposal location plans ~6 drawings)</t>
        </is>
      </c>
      <c r="I20" s="22" t="n">
        <v>1</v>
      </c>
      <c r="J20" s="3" t="inlineStr">
        <is>
          <t>LS</t>
        </is>
      </c>
      <c r="K20" s="39" t="n">
        <v>18000</v>
      </c>
      <c r="L20" s="35" t="n">
        <v>18000</v>
      </c>
      <c r="M20" s="3" t="inlineStr">
        <is>
          <t>CAD</t>
        </is>
      </c>
      <c r="N20" s="3" t="inlineStr">
        <is>
          <t>ALLOWANCE</t>
        </is>
      </c>
      <c r="O20" s="3" t="inlineStr">
        <is>
          <t>A-101</t>
        </is>
      </c>
      <c r="P20" s="3" t="inlineStr">
        <is>
          <t>LOW</t>
        </is>
      </c>
      <c r="Q20" s="3" t="inlineStr">
        <is>
          <t>Allowance for demolition drawing production; more complex than site establishment due to phasing and marine interface</t>
        </is>
      </c>
      <c r="R20" s="3">
        <f>VLOOKUP($F20,Inputs!$D$6:$E$41,2,FALSE)</f>
        <v/>
      </c>
      <c r="S20" s="36">
        <f>VLOOKUP($E20,Inputs!$A$6:$B$13,2,FALSE)*Inputs!$B$2</f>
        <v/>
      </c>
      <c r="T20" s="35">
        <f>$L20*$S20</f>
        <v/>
      </c>
      <c r="U20" s="35">
        <f>$L20+$T20</f>
        <v/>
      </c>
    </row>
    <row r="21">
      <c r="A21" s="3" t="inlineStr">
        <is>
          <t>PKG-01::L102</t>
        </is>
      </c>
      <c r="B21" s="3" t="inlineStr">
        <is>
          <t>PKG-01</t>
        </is>
      </c>
      <c r="C21" s="3" t="inlineStr">
        <is>
          <t>DEL-01.02</t>
        </is>
      </c>
      <c r="D21" s="3" t="inlineStr">
        <is>
          <t>L102</t>
        </is>
      </c>
      <c r="E21" s="3" t="inlineStr">
        <is>
          <t>E</t>
        </is>
      </c>
      <c r="F21" s="3" t="inlineStr">
        <is>
          <t>PKG-01</t>
        </is>
      </c>
      <c r="G21" s="3" t="inlineStr">
        <is>
          <t>DEL-01.02</t>
        </is>
      </c>
      <c r="H21" s="3" t="inlineStr">
        <is>
          <t>Demolition Technical Specification - specification writing (demolition spec disposal requirements)</t>
        </is>
      </c>
      <c r="I21" s="22" t="n">
        <v>1</v>
      </c>
      <c r="J21" s="3" t="inlineStr">
        <is>
          <t>LS</t>
        </is>
      </c>
      <c r="K21" s="39" t="n">
        <v>15000</v>
      </c>
      <c r="L21" s="35" t="n">
        <v>15000</v>
      </c>
      <c r="M21" s="3" t="inlineStr">
        <is>
          <t>CAD</t>
        </is>
      </c>
      <c r="N21" s="3" t="inlineStr">
        <is>
          <t>ALLOWANCE</t>
        </is>
      </c>
      <c r="O21" s="3" t="inlineStr">
        <is>
          <t>A-102</t>
        </is>
      </c>
      <c r="P21" s="3" t="inlineStr">
        <is>
          <t>LOW</t>
        </is>
      </c>
      <c r="Q21" s="3" t="inlineStr">
        <is>
          <t>Allowance for specification writing; includes performance materials workmanship and disposal requirements sections</t>
        </is>
      </c>
      <c r="R21" s="3">
        <f>VLOOKUP($F21,Inputs!$D$6:$E$41,2,FALSE)</f>
        <v/>
      </c>
      <c r="S21" s="36">
        <f>VLOOKUP($E21,Inputs!$A$6:$B$13,2,FALSE)*Inputs!$B$2</f>
        <v/>
      </c>
      <c r="T21" s="35">
        <f>$L21*$S21</f>
        <v/>
      </c>
      <c r="U21" s="35">
        <f>$L21+$T21</f>
        <v/>
      </c>
    </row>
    <row r="22">
      <c r="A22" s="3" t="inlineStr">
        <is>
          <t>PKG-01::L103</t>
        </is>
      </c>
      <c r="B22" s="3" t="inlineStr">
        <is>
          <t>PKG-01</t>
        </is>
      </c>
      <c r="C22" s="3" t="inlineStr">
        <is>
          <t>DEL-01.03</t>
        </is>
      </c>
      <c r="D22" s="3" t="inlineStr">
        <is>
          <t>L103</t>
        </is>
      </c>
      <c r="E22" s="3" t="inlineStr">
        <is>
          <t>PM</t>
        </is>
      </c>
      <c r="F22" s="3" t="inlineStr">
        <is>
          <t>PKG-01</t>
        </is>
      </c>
      <c r="G22" s="3" t="inlineStr">
        <is>
          <t>DEL-01.03</t>
        </is>
      </c>
      <c r="H22" s="3" t="inlineStr">
        <is>
          <t>Demolition Procedures - method statement and procedure development (5 procedures: general plus Track 6 Dolphin 2 fencing salt tent)</t>
        </is>
      </c>
      <c r="I22" s="22" t="n">
        <v>1</v>
      </c>
      <c r="J22" s="3" t="inlineStr">
        <is>
          <t>LS</t>
        </is>
      </c>
      <c r="K22" s="39" t="n">
        <v>25000</v>
      </c>
      <c r="L22" s="35" t="n">
        <v>25000</v>
      </c>
      <c r="M22" s="3" t="inlineStr">
        <is>
          <t>CAD</t>
        </is>
      </c>
      <c r="N22" s="3" t="inlineStr">
        <is>
          <t>ALLOWANCE</t>
        </is>
      </c>
      <c r="O22" s="3" t="inlineStr">
        <is>
          <t>A-103</t>
        </is>
      </c>
      <c r="P22" s="3" t="inlineStr">
        <is>
          <t>LOW</t>
        </is>
      </c>
      <c r="Q22" s="3" t="inlineStr">
        <is>
          <t>Allowance for HSE procedure development; Track 6 and Dolphin 2 procedures require specialized content</t>
        </is>
      </c>
      <c r="R22" s="3">
        <f>VLOOKUP($F22,Inputs!$D$6:$E$41,2,FALSE)</f>
        <v/>
      </c>
      <c r="S22" s="36">
        <f>VLOOKUP($E22,Inputs!$A$6:$B$13,2,FALSE)*Inputs!$B$2</f>
        <v/>
      </c>
      <c r="T22" s="35">
        <f>$L22*$S22</f>
        <v/>
      </c>
      <c r="U22" s="35">
        <f>$L22+$T22</f>
        <v/>
      </c>
    </row>
    <row r="23">
      <c r="A23" s="3" t="inlineStr">
        <is>
          <t>PKG-01::L104</t>
        </is>
      </c>
      <c r="B23" s="3" t="inlineStr">
        <is>
          <t>PKG-01</t>
        </is>
      </c>
      <c r="C23" s="3" t="inlineStr">
        <is>
          <t>DEL-01.04</t>
        </is>
      </c>
      <c r="D23" s="3" t="inlineStr">
        <is>
          <t>L104</t>
        </is>
      </c>
      <c r="E23" s="3" t="inlineStr">
        <is>
          <t>E</t>
        </is>
      </c>
      <c r="F23" s="3" t="inlineStr">
        <is>
          <t>PKG-01</t>
        </is>
      </c>
      <c r="G23" s="3" t="inlineStr">
        <is>
          <t>DEL-01.04</t>
        </is>
      </c>
      <c r="H23" s="3" t="inlineStr">
        <is>
          <t>Demolition Installation &amp; Test Records - QA/QC documentation setup and record preparation</t>
        </is>
      </c>
      <c r="I23" s="22" t="n">
        <v>1</v>
      </c>
      <c r="J23" s="3" t="inlineStr">
        <is>
          <t>LS</t>
        </is>
      </c>
      <c r="K23" s="39" t="n">
        <v>8000</v>
      </c>
      <c r="L23" s="35" t="n">
        <v>8000</v>
      </c>
      <c r="M23" s="3" t="inlineStr">
        <is>
          <t>CAD</t>
        </is>
      </c>
      <c r="N23" s="3" t="inlineStr">
        <is>
          <t>ALLOWANCE</t>
        </is>
      </c>
      <c r="O23" s="3" t="inlineStr">
        <is>
          <t>A-104</t>
        </is>
      </c>
      <c r="P23" s="3" t="inlineStr">
        <is>
          <t>LOW</t>
        </is>
      </c>
      <c r="Q23" s="3" t="inlineStr">
        <is>
          <t>Allowance for QA/QC documentation templates record setup and closeout documentation</t>
        </is>
      </c>
      <c r="R23" s="3">
        <f>VLOOKUP($F23,Inputs!$D$6:$E$41,2,FALSE)</f>
        <v/>
      </c>
      <c r="S23" s="36">
        <f>VLOOKUP($E23,Inputs!$A$6:$B$13,2,FALSE)*Inputs!$B$2</f>
        <v/>
      </c>
      <c r="T23" s="35">
        <f>$L23*$S23</f>
        <v/>
      </c>
      <c r="U23" s="35">
        <f>$L23+$T23</f>
        <v/>
      </c>
    </row>
    <row r="24">
      <c r="A24" s="3" t="inlineStr">
        <is>
          <t>PKG-01::L105</t>
        </is>
      </c>
      <c r="B24" s="3" t="inlineStr">
        <is>
          <t>PKG-01</t>
        </is>
      </c>
      <c r="C24" s="3" t="n"/>
      <c r="D24" s="3" t="inlineStr">
        <is>
          <t>L105</t>
        </is>
      </c>
      <c r="E24" s="3" t="inlineStr">
        <is>
          <t>CD</t>
        </is>
      </c>
      <c r="F24" s="3" t="inlineStr">
        <is>
          <t>PKG-01</t>
        </is>
      </c>
      <c r="G24" s="3" t="n"/>
      <c r="H24" s="3" t="inlineStr">
        <is>
          <t>Track 6 Rail Demolition - rail track removal ballast removal tie disposal (assume ~500 LF rail track)</t>
        </is>
      </c>
      <c r="I24" s="22" t="n">
        <v>1</v>
      </c>
      <c r="J24" s="3" t="inlineStr">
        <is>
          <t>LS</t>
        </is>
      </c>
      <c r="K24" s="39" t="n">
        <v>175000</v>
      </c>
      <c r="L24" s="35" t="n">
        <v>175000</v>
      </c>
      <c r="M24" s="3" t="inlineStr">
        <is>
          <t>CAD</t>
        </is>
      </c>
      <c r="N24" s="3" t="inlineStr">
        <is>
          <t>ALLOWANCE</t>
        </is>
      </c>
      <c r="O24" s="3" t="inlineStr">
        <is>
          <t>A-105</t>
        </is>
      </c>
      <c r="P24" s="3" t="inlineStr">
        <is>
          <t>LOW</t>
        </is>
      </c>
      <c r="Q24" s="3" t="inlineStr">
        <is>
          <t>Placeholder for Track 6 demolition; actual cost depends on track length condition and ballast contamination status</t>
        </is>
      </c>
      <c r="R24" s="3">
        <f>VLOOKUP($F24,Inputs!$D$6:$E$41,2,FALSE)</f>
        <v/>
      </c>
      <c r="S24" s="36">
        <f>VLOOKUP($E24,Inputs!$A$6:$B$13,2,FALSE)*Inputs!$B$2</f>
        <v/>
      </c>
      <c r="T24" s="35">
        <f>$L24*$S24</f>
        <v/>
      </c>
      <c r="U24" s="35">
        <f>$L24+$T24</f>
        <v/>
      </c>
    </row>
    <row r="25">
      <c r="A25" s="3" t="inlineStr">
        <is>
          <t>PKG-01::L106</t>
        </is>
      </c>
      <c r="B25" s="3" t="inlineStr">
        <is>
          <t>PKG-01</t>
        </is>
      </c>
      <c r="C25" s="3" t="n"/>
      <c r="D25" s="3" t="inlineStr">
        <is>
          <t>L106</t>
        </is>
      </c>
      <c r="E25" s="3" t="inlineStr">
        <is>
          <t>CD</t>
        </is>
      </c>
      <c r="F25" s="3" t="inlineStr">
        <is>
          <t>PKG-01</t>
        </is>
      </c>
      <c r="G25" s="3" t="n"/>
      <c r="H25" s="3" t="inlineStr">
        <is>
          <t>Dolphin 2 Marine Demolition - marine structure removal including barge/crane mobilization pile cutting deck removal marine debris control</t>
        </is>
      </c>
      <c r="I25" s="22" t="n">
        <v>1</v>
      </c>
      <c r="J25" s="3" t="inlineStr">
        <is>
          <t>LS</t>
        </is>
      </c>
      <c r="K25" s="39" t="n">
        <v>450000</v>
      </c>
      <c r="L25" s="35" t="n">
        <v>450000</v>
      </c>
      <c r="M25" s="3" t="inlineStr">
        <is>
          <t>CAD</t>
        </is>
      </c>
      <c r="N25" s="3" t="inlineStr">
        <is>
          <t>ALLOWANCE</t>
        </is>
      </c>
      <c r="O25" s="3" t="inlineStr">
        <is>
          <t>A-106</t>
        </is>
      </c>
      <c r="P25" s="3" t="inlineStr">
        <is>
          <t>LOW</t>
        </is>
      </c>
      <c r="Q25" s="3" t="inlineStr">
        <is>
          <t>Marine demolition requires specialized marine equipment and crew; placeholder based on typical marine pile structure removal - highly variable</t>
        </is>
      </c>
      <c r="R25" s="3">
        <f>VLOOKUP($F25,Inputs!$D$6:$E$41,2,FALSE)</f>
        <v/>
      </c>
      <c r="S25" s="36">
        <f>VLOOKUP($E25,Inputs!$A$6:$B$13,2,FALSE)*Inputs!$B$2</f>
        <v/>
      </c>
      <c r="T25" s="35">
        <f>$L25*$S25</f>
        <v/>
      </c>
      <c r="U25" s="35">
        <f>$L25+$T25</f>
        <v/>
      </c>
    </row>
    <row r="26">
      <c r="A26" s="3" t="inlineStr">
        <is>
          <t>PKG-01::L107</t>
        </is>
      </c>
      <c r="B26" s="3" t="inlineStr">
        <is>
          <t>PKG-01</t>
        </is>
      </c>
      <c r="C26" s="3" t="n"/>
      <c r="D26" s="3" t="inlineStr">
        <is>
          <t>L107</t>
        </is>
      </c>
      <c r="E26" s="3" t="inlineStr">
        <is>
          <t>CD</t>
        </is>
      </c>
      <c r="F26" s="3" t="inlineStr">
        <is>
          <t>PKG-01</t>
        </is>
      </c>
      <c r="G26" s="3" t="n"/>
      <c r="H26" s="3" t="inlineStr">
        <is>
          <t>Fencing Removal - perimeter fencing demolition and disposal (assume ~2000 LF chain-link or similar)</t>
        </is>
      </c>
      <c r="I26" s="22" t="n">
        <v>1</v>
      </c>
      <c r="J26" s="3" t="inlineStr">
        <is>
          <t>LS</t>
        </is>
      </c>
      <c r="K26" s="39" t="n">
        <v>35000</v>
      </c>
      <c r="L26" s="35" t="n">
        <v>35000</v>
      </c>
      <c r="M26" s="3" t="inlineStr">
        <is>
          <t>CAD</t>
        </is>
      </c>
      <c r="N26" s="3" t="inlineStr">
        <is>
          <t>ALLOWANCE</t>
        </is>
      </c>
      <c r="O26" s="3" t="inlineStr">
        <is>
          <t>A-107</t>
        </is>
      </c>
      <c r="P26" s="3" t="inlineStr">
        <is>
          <t>LOW</t>
        </is>
      </c>
      <c r="Q26" s="3" t="inlineStr">
        <is>
          <t>Placeholder for fencing removal; relatively simple scope but length unknown</t>
        </is>
      </c>
      <c r="R26" s="3">
        <f>VLOOKUP($F26,Inputs!$D$6:$E$41,2,FALSE)</f>
        <v/>
      </c>
      <c r="S26" s="36">
        <f>VLOOKUP($E26,Inputs!$A$6:$B$13,2,FALSE)*Inputs!$B$2</f>
        <v/>
      </c>
      <c r="T26" s="35">
        <f>$L26*$S26</f>
        <v/>
      </c>
      <c r="U26" s="35">
        <f>$L26+$T26</f>
        <v/>
      </c>
    </row>
    <row r="27">
      <c r="A27" s="3" t="inlineStr">
        <is>
          <t>PKG-01::L108</t>
        </is>
      </c>
      <c r="B27" s="3" t="inlineStr">
        <is>
          <t>PKG-01</t>
        </is>
      </c>
      <c r="C27" s="3" t="n"/>
      <c r="D27" s="3" t="inlineStr">
        <is>
          <t>L108</t>
        </is>
      </c>
      <c r="E27" s="3" t="inlineStr">
        <is>
          <t>CD</t>
        </is>
      </c>
      <c r="F27" s="3" t="inlineStr">
        <is>
          <t>PKG-01</t>
        </is>
      </c>
      <c r="G27" s="3" t="n"/>
      <c r="H27" s="3" t="inlineStr">
        <is>
          <t>Salt Tent Dismantling - building structure demolition foundation removal site restoration</t>
        </is>
      </c>
      <c r="I27" s="22" t="n">
        <v>1</v>
      </c>
      <c r="J27" s="3" t="inlineStr">
        <is>
          <t>LS</t>
        </is>
      </c>
      <c r="K27" s="39" t="n">
        <v>125000</v>
      </c>
      <c r="L27" s="35" t="n">
        <v>125000</v>
      </c>
      <c r="M27" s="3" t="inlineStr">
        <is>
          <t>CAD</t>
        </is>
      </c>
      <c r="N27" s="3" t="inlineStr">
        <is>
          <t>ALLOWANCE</t>
        </is>
      </c>
      <c r="O27" s="3" t="inlineStr">
        <is>
          <t>A-108</t>
        </is>
      </c>
      <c r="P27" s="3" t="inlineStr">
        <is>
          <t>LOW</t>
        </is>
      </c>
      <c r="Q27" s="3" t="inlineStr">
        <is>
          <t>Placeholder for salt tent demolition; cost depends on structure type size and foundation requirements</t>
        </is>
      </c>
      <c r="R27" s="3">
        <f>VLOOKUP($F27,Inputs!$D$6:$E$41,2,FALSE)</f>
        <v/>
      </c>
      <c r="S27" s="36">
        <f>VLOOKUP($E27,Inputs!$A$6:$B$13,2,FALSE)*Inputs!$B$2</f>
        <v/>
      </c>
      <c r="T27" s="35">
        <f>$L27*$S27</f>
        <v/>
      </c>
      <c r="U27" s="35">
        <f>$L27+$T27</f>
        <v/>
      </c>
    </row>
    <row r="28">
      <c r="A28" s="3" t="inlineStr">
        <is>
          <t>PKG-01::L109</t>
        </is>
      </c>
      <c r="B28" s="3" t="inlineStr">
        <is>
          <t>PKG-01</t>
        </is>
      </c>
      <c r="C28" s="3" t="n"/>
      <c r="D28" s="3" t="inlineStr">
        <is>
          <t>L109</t>
        </is>
      </c>
      <c r="E28" s="3" t="inlineStr">
        <is>
          <t>MAT</t>
        </is>
      </c>
      <c r="F28" s="3" t="inlineStr">
        <is>
          <t>PKG-01</t>
        </is>
      </c>
      <c r="G28" s="3" t="n"/>
      <c r="H28" s="3" t="inlineStr">
        <is>
          <t>Demolition Materials and Temporary Works - protection barriers dust control erosion control disposal containers</t>
        </is>
      </c>
      <c r="I28" s="22" t="n">
        <v>1</v>
      </c>
      <c r="J28" s="3" t="inlineStr">
        <is>
          <t>LS</t>
        </is>
      </c>
      <c r="K28" s="39" t="n">
        <v>40000</v>
      </c>
      <c r="L28" s="35" t="n">
        <v>40000</v>
      </c>
      <c r="M28" s="3" t="inlineStr">
        <is>
          <t>CAD</t>
        </is>
      </c>
      <c r="N28" s="3" t="inlineStr">
        <is>
          <t>ALLOWANCE</t>
        </is>
      </c>
      <c r="O28" s="3" t="inlineStr">
        <is>
          <t>A-109</t>
        </is>
      </c>
      <c r="P28" s="3" t="inlineStr">
        <is>
          <t>LOW</t>
        </is>
      </c>
      <c r="Q28" s="3" t="inlineStr">
        <is>
          <t>Materials allowance for temporary works and protection measures during demolition</t>
        </is>
      </c>
      <c r="R28" s="3">
        <f>VLOOKUP($F28,Inputs!$D$6:$E$41,2,FALSE)</f>
        <v/>
      </c>
      <c r="S28" s="36">
        <f>VLOOKUP($E28,Inputs!$A$6:$B$13,2,FALSE)*Inputs!$B$2</f>
        <v/>
      </c>
      <c r="T28" s="35">
        <f>$L28*$S28</f>
        <v/>
      </c>
      <c r="U28" s="35">
        <f>$L28+$T28</f>
        <v/>
      </c>
    </row>
    <row r="29">
      <c r="A29" s="3" t="inlineStr">
        <is>
          <t>PKG-01::L110</t>
        </is>
      </c>
      <c r="B29" s="3" t="inlineStr">
        <is>
          <t>PKG-01</t>
        </is>
      </c>
      <c r="C29" s="3" t="n"/>
      <c r="D29" s="3" t="inlineStr">
        <is>
          <t>L110</t>
        </is>
      </c>
      <c r="E29" s="3" t="inlineStr">
        <is>
          <t>CD</t>
        </is>
      </c>
      <c r="F29" s="3" t="inlineStr">
        <is>
          <t>PKG-01</t>
        </is>
      </c>
      <c r="G29" s="3" t="n"/>
      <c r="H29" s="3" t="inlineStr">
        <is>
          <t>Hazardous Materials Contingency Placeholder - potential asbestos lead or contaminated materials (hazmat survey pending)</t>
        </is>
      </c>
      <c r="I29" s="22" t="n">
        <v>1</v>
      </c>
      <c r="J29" s="3" t="inlineStr">
        <is>
          <t>LS</t>
        </is>
      </c>
      <c r="K29" s="39" t="n">
        <v>75000</v>
      </c>
      <c r="L29" s="35" t="n">
        <v>75000</v>
      </c>
      <c r="M29" s="3" t="inlineStr">
        <is>
          <t>CAD</t>
        </is>
      </c>
      <c r="N29" s="3" t="inlineStr">
        <is>
          <t>ALLOWANCE</t>
        </is>
      </c>
      <c r="O29" s="3" t="inlineStr">
        <is>
          <t>A-110</t>
        </is>
      </c>
      <c r="P29" s="3" t="inlineStr">
        <is>
          <t>LOW</t>
        </is>
      </c>
      <c r="Q29" s="3" t="inlineStr">
        <is>
          <t>Contingency placeholder per D-016; hazmat presence unknown - if survey confirms hazmat actual costs may be significantly higher</t>
        </is>
      </c>
      <c r="R29" s="3">
        <f>VLOOKUP($F29,Inputs!$D$6:$E$41,2,FALSE)</f>
        <v/>
      </c>
      <c r="S29" s="36">
        <f>VLOOKUP($E29,Inputs!$A$6:$B$13,2,FALSE)*Inputs!$B$2</f>
        <v/>
      </c>
      <c r="T29" s="35">
        <f>$L29*$S29</f>
        <v/>
      </c>
      <c r="U29" s="35">
        <f>$L29+$T29</f>
        <v/>
      </c>
    </row>
    <row r="30">
      <c r="A30" s="3" t="inlineStr">
        <is>
          <t>PKG-01::L111</t>
        </is>
      </c>
      <c r="B30" s="3" t="inlineStr">
        <is>
          <t>PKG-01</t>
        </is>
      </c>
      <c r="C30" s="3" t="n"/>
      <c r="D30" s="3" t="inlineStr">
        <is>
          <t>L111</t>
        </is>
      </c>
      <c r="E30" s="3" t="inlineStr">
        <is>
          <t>CD</t>
        </is>
      </c>
      <c r="F30" s="3" t="inlineStr">
        <is>
          <t>PKG-01</t>
        </is>
      </c>
      <c r="G30" s="3" t="n"/>
      <c r="H30" s="3" t="inlineStr">
        <is>
          <t>Waste Disposal and Hauling - demolition waste transport to disposal/recycling facilities (concrete steel wood rail materials)</t>
        </is>
      </c>
      <c r="I30" s="22" t="n">
        <v>1</v>
      </c>
      <c r="J30" s="3" t="inlineStr">
        <is>
          <t>LS</t>
        </is>
      </c>
      <c r="K30" s="39" t="n">
        <v>95000</v>
      </c>
      <c r="L30" s="35" t="n">
        <v>95000</v>
      </c>
      <c r="M30" s="3" t="inlineStr">
        <is>
          <t>CAD</t>
        </is>
      </c>
      <c r="N30" s="3" t="inlineStr">
        <is>
          <t>ALLOWANCE</t>
        </is>
      </c>
      <c r="O30" s="3" t="inlineStr">
        <is>
          <t>A-111</t>
        </is>
      </c>
      <c r="P30" s="3" t="inlineStr">
        <is>
          <t>LOW</t>
        </is>
      </c>
      <c r="Q30" s="3" t="inlineStr">
        <is>
          <t>Placeholder for waste disposal; actual cost depends on material volumes disposal distances and tipping fees</t>
        </is>
      </c>
      <c r="R30" s="3">
        <f>VLOOKUP($F30,Inputs!$D$6:$E$41,2,FALSE)</f>
        <v/>
      </c>
      <c r="S30" s="36">
        <f>VLOOKUP($E30,Inputs!$A$6:$B$13,2,FALSE)*Inputs!$B$2</f>
        <v/>
      </c>
      <c r="T30" s="35">
        <f>$L30*$S30</f>
        <v/>
      </c>
      <c r="U30" s="35">
        <f>$L30+$T30</f>
        <v/>
      </c>
    </row>
    <row r="31">
      <c r="A31" s="3" t="inlineStr">
        <is>
          <t>PKG-01::L112</t>
        </is>
      </c>
      <c r="B31" s="3" t="inlineStr">
        <is>
          <t>PKG-01</t>
        </is>
      </c>
      <c r="C31" s="3" t="n"/>
      <c r="D31" s="3" t="inlineStr">
        <is>
          <t>L112</t>
        </is>
      </c>
      <c r="E31" s="3" t="inlineStr">
        <is>
          <t>CI</t>
        </is>
      </c>
      <c r="F31" s="3" t="inlineStr">
        <is>
          <t>PKG-01</t>
        </is>
      </c>
      <c r="G31" s="3" t="n"/>
      <c r="H31" s="3" t="inlineStr">
        <is>
          <t>Construction Indirects - field supervision safety oversight QA/QC coordination (factor-based)</t>
        </is>
      </c>
      <c r="I31" s="22" t="n">
        <v>1</v>
      </c>
      <c r="J31" s="3" t="inlineStr">
        <is>
          <t>LS</t>
        </is>
      </c>
      <c r="K31" s="39" t="n">
        <v>171000</v>
      </c>
      <c r="L31" s="35" t="n">
        <v>171000</v>
      </c>
      <c r="M31" s="3" t="inlineStr">
        <is>
          <t>CAD</t>
        </is>
      </c>
      <c r="N31" s="3" t="inlineStr">
        <is>
          <t>PARAMETRIC</t>
        </is>
      </c>
      <c r="O31" s="3" t="inlineStr">
        <is>
          <t>D-017</t>
        </is>
      </c>
      <c r="P31" s="3" t="inlineStr">
        <is>
          <t>LOW</t>
        </is>
      </c>
      <c r="Q31" s="3" t="inlineStr">
        <is>
          <t>18% of CD base ($950k CD x 0.18 = $171k); factor from fallback model per D-017</t>
        </is>
      </c>
      <c r="R31" s="3">
        <f>VLOOKUP($F31,Inputs!$D$6:$E$41,2,FALSE)</f>
        <v/>
      </c>
      <c r="S31" s="36">
        <f>VLOOKUP($E31,Inputs!$A$6:$B$13,2,FALSE)*Inputs!$B$2</f>
        <v/>
      </c>
      <c r="T31" s="35">
        <f>$L31*$S31</f>
        <v/>
      </c>
      <c r="U31" s="35">
        <f>$L31+$T31</f>
        <v/>
      </c>
    </row>
    <row r="32">
      <c r="A32" s="3" t="inlineStr">
        <is>
          <t>PKG-01::L113</t>
        </is>
      </c>
      <c r="B32" s="3" t="inlineStr">
        <is>
          <t>PKG-01</t>
        </is>
      </c>
      <c r="C32" s="3" t="n"/>
      <c r="D32" s="3" t="inlineStr">
        <is>
          <t>L113</t>
        </is>
      </c>
      <c r="E32" s="3" t="inlineStr">
        <is>
          <t>PM</t>
        </is>
      </c>
      <c r="F32" s="3" t="inlineStr">
        <is>
          <t>PKG-01</t>
        </is>
      </c>
      <c r="G32" s="3" t="n"/>
      <c r="H32" s="3" t="inlineStr">
        <is>
          <t>EPCM / Project Management - PKG-01 allocation (factor-based)</t>
        </is>
      </c>
      <c r="I32" s="22" t="n">
        <v>1</v>
      </c>
      <c r="J32" s="3" t="inlineStr">
        <is>
          <t>LS</t>
        </is>
      </c>
      <c r="K32" s="39" t="n">
        <v>69660</v>
      </c>
      <c r="L32" s="35" t="n">
        <v>69660</v>
      </c>
      <c r="M32" s="3" t="inlineStr">
        <is>
          <t>CAD</t>
        </is>
      </c>
      <c r="N32" s="3" t="inlineStr">
        <is>
          <t>PARAMETRIC</t>
        </is>
      </c>
      <c r="O32" s="3" t="inlineStr">
        <is>
          <t>D-017</t>
        </is>
      </c>
      <c r="P32" s="3" t="inlineStr">
        <is>
          <t>MED</t>
        </is>
      </c>
      <c r="Q32" s="3" t="inlineStr">
        <is>
          <t>6% of (CD+CI+MAT) = 6% x ($950k + $171k + $40k) = $69.7k; factor from fallback model per D-017</t>
        </is>
      </c>
      <c r="R32" s="3">
        <f>VLOOKUP($F32,Inputs!$D$6:$E$41,2,FALSE)</f>
        <v/>
      </c>
      <c r="S32" s="36">
        <f>VLOOKUP($E32,Inputs!$A$6:$B$13,2,FALSE)*Inputs!$B$2</f>
        <v/>
      </c>
      <c r="T32" s="35">
        <f>$L32*$S32</f>
        <v/>
      </c>
      <c r="U32" s="35">
        <f>$L32+$T32</f>
        <v/>
      </c>
    </row>
    <row r="33">
      <c r="A33" s="3" t="inlineStr">
        <is>
          <t>PKG-01::L114</t>
        </is>
      </c>
      <c r="B33" s="3" t="inlineStr">
        <is>
          <t>PKG-01</t>
        </is>
      </c>
      <c r="C33" s="3" t="n"/>
      <c r="D33" s="3" t="inlineStr">
        <is>
          <t>L114</t>
        </is>
      </c>
      <c r="E33" s="3" t="inlineStr">
        <is>
          <t>P</t>
        </is>
      </c>
      <c r="F33" s="3" t="inlineStr">
        <is>
          <t>PKG-01</t>
        </is>
      </c>
      <c r="G33" s="3" t="n"/>
      <c r="H33" s="3" t="inlineStr">
        <is>
          <t>Procurement Services - vendor coordination expediting (factor-based)</t>
        </is>
      </c>
      <c r="I33" s="22" t="n">
        <v>1</v>
      </c>
      <c r="J33" s="3" t="inlineStr">
        <is>
          <t>LS</t>
        </is>
      </c>
      <c r="K33" s="39" t="n">
        <v>800</v>
      </c>
      <c r="L33" s="35" t="n">
        <v>800</v>
      </c>
      <c r="M33" s="3" t="inlineStr">
        <is>
          <t>CAD</t>
        </is>
      </c>
      <c r="N33" s="3" t="inlineStr">
        <is>
          <t>PARAMETRIC</t>
        </is>
      </c>
      <c r="O33" s="3" t="inlineStr">
        <is>
          <t>D-017</t>
        </is>
      </c>
      <c r="P33" s="3" t="inlineStr">
        <is>
          <t>MED</t>
        </is>
      </c>
      <c r="Q33" s="3" t="inlineStr">
        <is>
          <t>2% of MAT = 2% x $40k = $800; factor from fallback model per D-017</t>
        </is>
      </c>
      <c r="R33" s="3">
        <f>VLOOKUP($F33,Inputs!$D$6:$E$41,2,FALSE)</f>
        <v/>
      </c>
      <c r="S33" s="36">
        <f>VLOOKUP($E33,Inputs!$A$6:$B$13,2,FALSE)*Inputs!$B$2</f>
        <v/>
      </c>
      <c r="T33" s="35">
        <f>$L33*$S33</f>
        <v/>
      </c>
      <c r="U33" s="35">
        <f>$L33+$T33</f>
        <v/>
      </c>
    </row>
    <row r="34">
      <c r="A34" s="3" t="inlineStr">
        <is>
          <t>PKG-02::L001</t>
        </is>
      </c>
      <c r="B34" s="3" t="inlineStr">
        <is>
          <t>PKG-02</t>
        </is>
      </c>
      <c r="C34" s="3" t="inlineStr">
        <is>
          <t>DEL-02.01</t>
        </is>
      </c>
      <c r="D34" s="3" t="inlineStr">
        <is>
          <t>L001</t>
        </is>
      </c>
      <c r="E34" s="3" t="inlineStr">
        <is>
          <t>E</t>
        </is>
      </c>
      <c r="F34" s="3" t="inlineStr">
        <is>
          <t>PKG-02</t>
        </is>
      </c>
      <c r="G34" s="3" t="inlineStr">
        <is>
          <t>DEL-02.01</t>
        </is>
      </c>
      <c r="H34" s="3" t="inlineStr">
        <is>
          <t>Earthworks Design Drawing Set - CAD drafting (grading plans cut/fill plans ground improvement sections)</t>
        </is>
      </c>
      <c r="I34" s="22" t="n">
        <v>1</v>
      </c>
      <c r="J34" s="3" t="inlineStr">
        <is>
          <t>LS</t>
        </is>
      </c>
      <c r="K34" s="39" t="n">
        <v>25000</v>
      </c>
      <c r="L34" s="35" t="n">
        <v>25000</v>
      </c>
      <c r="M34" s="3" t="inlineStr">
        <is>
          <t>CAD</t>
        </is>
      </c>
      <c r="N34" s="3" t="inlineStr">
        <is>
          <t>ALLOWANCE</t>
        </is>
      </c>
      <c r="O34" s="3" t="inlineStr">
        <is>
          <t>A-001</t>
        </is>
      </c>
      <c r="P34" s="3" t="inlineStr">
        <is>
          <t>LOW</t>
        </is>
      </c>
      <c r="Q34" s="3" t="inlineStr">
        <is>
          <t>~8-10 sheets at $3k/sheet average</t>
        </is>
      </c>
      <c r="R34" s="3">
        <f>VLOOKUP($F34,Inputs!$D$6:$E$41,2,FALSE)</f>
        <v/>
      </c>
      <c r="S34" s="36">
        <f>VLOOKUP($E34,Inputs!$A$6:$B$13,2,FALSE)*Inputs!$B$2</f>
        <v/>
      </c>
      <c r="T34" s="35">
        <f>$L34*$S34</f>
        <v/>
      </c>
      <c r="U34" s="35">
        <f>$L34+$T34</f>
        <v/>
      </c>
    </row>
    <row r="35">
      <c r="A35" s="3" t="inlineStr">
        <is>
          <t>PKG-02::L002</t>
        </is>
      </c>
      <c r="B35" s="3" t="inlineStr">
        <is>
          <t>PKG-02</t>
        </is>
      </c>
      <c r="C35" s="3" t="inlineStr">
        <is>
          <t>DEL-02.02</t>
        </is>
      </c>
      <c r="D35" s="3" t="inlineStr">
        <is>
          <t>L002</t>
        </is>
      </c>
      <c r="E35" s="3" t="inlineStr">
        <is>
          <t>E</t>
        </is>
      </c>
      <c r="F35" s="3" t="inlineStr">
        <is>
          <t>PKG-02</t>
        </is>
      </c>
      <c r="G35" s="3" t="inlineStr">
        <is>
          <t>DEL-02.02</t>
        </is>
      </c>
      <c r="H35" s="3" t="inlineStr">
        <is>
          <t>Earthworks Technical Specification - specification writing (earthworks ground improvement geotextile specs)</t>
        </is>
      </c>
      <c r="I35" s="22" t="n">
        <v>1</v>
      </c>
      <c r="J35" s="3" t="inlineStr">
        <is>
          <t>LS</t>
        </is>
      </c>
      <c r="K35" s="39" t="n">
        <v>8000</v>
      </c>
      <c r="L35" s="35" t="n">
        <v>8000</v>
      </c>
      <c r="M35" s="3" t="inlineStr">
        <is>
          <t>CAD</t>
        </is>
      </c>
      <c r="N35" s="3" t="inlineStr">
        <is>
          <t>ALLOWANCE</t>
        </is>
      </c>
      <c r="O35" s="3" t="inlineStr">
        <is>
          <t>A-002</t>
        </is>
      </c>
      <c r="P35" s="3" t="inlineStr">
        <is>
          <t>LOW</t>
        </is>
      </c>
      <c r="Q35" s="3" t="inlineStr">
        <is>
          <t>~50 hours at $150/hr</t>
        </is>
      </c>
      <c r="R35" s="3">
        <f>VLOOKUP($F35,Inputs!$D$6:$E$41,2,FALSE)</f>
        <v/>
      </c>
      <c r="S35" s="36">
        <f>VLOOKUP($E35,Inputs!$A$6:$B$13,2,FALSE)*Inputs!$B$2</f>
        <v/>
      </c>
      <c r="T35" s="35">
        <f>$L35*$S35</f>
        <v/>
      </c>
      <c r="U35" s="35">
        <f>$L35+$T35</f>
        <v/>
      </c>
    </row>
    <row r="36">
      <c r="A36" s="3" t="inlineStr">
        <is>
          <t>PKG-02::L003</t>
        </is>
      </c>
      <c r="B36" s="3" t="inlineStr">
        <is>
          <t>PKG-02</t>
        </is>
      </c>
      <c r="C36" s="3" t="inlineStr">
        <is>
          <t>DEL-02.03</t>
        </is>
      </c>
      <c r="D36" s="3" t="inlineStr">
        <is>
          <t>L003</t>
        </is>
      </c>
      <c r="E36" s="3" t="inlineStr">
        <is>
          <t>E</t>
        </is>
      </c>
      <c r="F36" s="3" t="inlineStr">
        <is>
          <t>PKG-02</t>
        </is>
      </c>
      <c r="G36" s="3" t="inlineStr">
        <is>
          <t>DEL-02.03</t>
        </is>
      </c>
      <c r="H36" s="3" t="inlineStr">
        <is>
          <t>Earthworks Design Calculations - cut/fill calculations bearing capacity settlement analysis</t>
        </is>
      </c>
      <c r="I36" s="22" t="n">
        <v>1</v>
      </c>
      <c r="J36" s="3" t="inlineStr">
        <is>
          <t>LS</t>
        </is>
      </c>
      <c r="K36" s="39" t="n">
        <v>12000</v>
      </c>
      <c r="L36" s="35" t="n">
        <v>12000</v>
      </c>
      <c r="M36" s="3" t="inlineStr">
        <is>
          <t>CAD</t>
        </is>
      </c>
      <c r="N36" s="3" t="inlineStr">
        <is>
          <t>ALLOWANCE</t>
        </is>
      </c>
      <c r="O36" s="3" t="inlineStr">
        <is>
          <t>A-003</t>
        </is>
      </c>
      <c r="P36" s="3" t="inlineStr">
        <is>
          <t>LOW</t>
        </is>
      </c>
      <c r="Q36" s="3" t="inlineStr">
        <is>
          <t>~70 hours at $175/hr</t>
        </is>
      </c>
      <c r="R36" s="3">
        <f>VLOOKUP($F36,Inputs!$D$6:$E$41,2,FALSE)</f>
        <v/>
      </c>
      <c r="S36" s="36">
        <f>VLOOKUP($E36,Inputs!$A$6:$B$13,2,FALSE)*Inputs!$B$2</f>
        <v/>
      </c>
      <c r="T36" s="35">
        <f>$L36*$S36</f>
        <v/>
      </c>
      <c r="U36" s="35">
        <f>$L36+$T36</f>
        <v/>
      </c>
    </row>
    <row r="37">
      <c r="A37" s="3" t="inlineStr">
        <is>
          <t>PKG-02::L004</t>
        </is>
      </c>
      <c r="B37" s="3" t="inlineStr">
        <is>
          <t>PKG-02</t>
        </is>
      </c>
      <c r="C37" s="3" t="inlineStr">
        <is>
          <t>DEL-02.04</t>
        </is>
      </c>
      <c r="D37" s="3" t="inlineStr">
        <is>
          <t>L004</t>
        </is>
      </c>
      <c r="E37" s="3" t="inlineStr">
        <is>
          <t>E</t>
        </is>
      </c>
      <c r="F37" s="3" t="inlineStr">
        <is>
          <t>PKG-02</t>
        </is>
      </c>
      <c r="G37" s="3" t="inlineStr">
        <is>
          <t>DEL-02.04</t>
        </is>
      </c>
      <c r="H37" s="3" t="inlineStr">
        <is>
          <t>Geotechnical Investigation - field drilling program (15-20 boreholes 15-25m deep)</t>
        </is>
      </c>
      <c r="I37" s="22" t="n">
        <v>1</v>
      </c>
      <c r="J37" s="3" t="inlineStr">
        <is>
          <t>LS</t>
        </is>
      </c>
      <c r="K37" s="39" t="n">
        <v>100000</v>
      </c>
      <c r="L37" s="35" t="n">
        <v>100000</v>
      </c>
      <c r="M37" s="3" t="inlineStr">
        <is>
          <t>CAD</t>
        </is>
      </c>
      <c r="N37" s="3" t="inlineStr">
        <is>
          <t>ALLOWANCE</t>
        </is>
      </c>
      <c r="O37" s="3" t="inlineStr">
        <is>
          <t>A-004</t>
        </is>
      </c>
      <c r="P37" s="3" t="inlineStr">
        <is>
          <t>LOW</t>
        </is>
      </c>
      <c r="Q37" s="3" t="inlineStr">
        <is>
          <t>Drilling mobilization boreholes sampling monitoring wells</t>
        </is>
      </c>
      <c r="R37" s="3">
        <f>VLOOKUP($F37,Inputs!$D$6:$E$41,2,FALSE)</f>
        <v/>
      </c>
      <c r="S37" s="36">
        <f>VLOOKUP($E37,Inputs!$A$6:$B$13,2,FALSE)*Inputs!$B$2</f>
        <v/>
      </c>
      <c r="T37" s="35">
        <f>$L37*$S37</f>
        <v/>
      </c>
      <c r="U37" s="35">
        <f>$L37+$T37</f>
        <v/>
      </c>
    </row>
    <row r="38">
      <c r="A38" s="3" t="inlineStr">
        <is>
          <t>PKG-02::L005</t>
        </is>
      </c>
      <c r="B38" s="3" t="inlineStr">
        <is>
          <t>PKG-02</t>
        </is>
      </c>
      <c r="C38" s="3" t="inlineStr">
        <is>
          <t>DEL-02.04</t>
        </is>
      </c>
      <c r="D38" s="3" t="inlineStr">
        <is>
          <t>L005</t>
        </is>
      </c>
      <c r="E38" s="3" t="inlineStr">
        <is>
          <t>E</t>
        </is>
      </c>
      <c r="F38" s="3" t="inlineStr">
        <is>
          <t>PKG-02</t>
        </is>
      </c>
      <c r="G38" s="3" t="inlineStr">
        <is>
          <t>DEL-02.04</t>
        </is>
      </c>
      <c r="H38" s="3" t="inlineStr">
        <is>
          <t>Geotechnical Laboratory Testing - soil classification strength compaction tests</t>
        </is>
      </c>
      <c r="I38" s="22" t="n">
        <v>1</v>
      </c>
      <c r="J38" s="3" t="inlineStr">
        <is>
          <t>LS</t>
        </is>
      </c>
      <c r="K38" s="39" t="n">
        <v>25000</v>
      </c>
      <c r="L38" s="35" t="n">
        <v>25000</v>
      </c>
      <c r="M38" s="3" t="inlineStr">
        <is>
          <t>CAD</t>
        </is>
      </c>
      <c r="N38" s="3" t="inlineStr">
        <is>
          <t>ALLOWANCE</t>
        </is>
      </c>
      <c r="O38" s="3" t="inlineStr">
        <is>
          <t>A-005</t>
        </is>
      </c>
      <c r="P38" s="3" t="inlineStr">
        <is>
          <t>LOW</t>
        </is>
      </c>
      <c r="Q38" s="3" t="inlineStr">
        <is>
          <t>Full lab program for design parameters</t>
        </is>
      </c>
      <c r="R38" s="3">
        <f>VLOOKUP($F38,Inputs!$D$6:$E$41,2,FALSE)</f>
        <v/>
      </c>
      <c r="S38" s="36">
        <f>VLOOKUP($E38,Inputs!$A$6:$B$13,2,FALSE)*Inputs!$B$2</f>
        <v/>
      </c>
      <c r="T38" s="35">
        <f>$L38*$S38</f>
        <v/>
      </c>
      <c r="U38" s="35">
        <f>$L38+$T38</f>
        <v/>
      </c>
    </row>
    <row r="39">
      <c r="A39" s="3" t="inlineStr">
        <is>
          <t>PKG-02::L006</t>
        </is>
      </c>
      <c r="B39" s="3" t="inlineStr">
        <is>
          <t>PKG-02</t>
        </is>
      </c>
      <c r="C39" s="3" t="inlineStr">
        <is>
          <t>DEL-02.04</t>
        </is>
      </c>
      <c r="D39" s="3" t="inlineStr">
        <is>
          <t>L006</t>
        </is>
      </c>
      <c r="E39" s="3" t="inlineStr">
        <is>
          <t>E</t>
        </is>
      </c>
      <c r="F39" s="3" t="inlineStr">
        <is>
          <t>PKG-02</t>
        </is>
      </c>
      <c r="G39" s="3" t="inlineStr">
        <is>
          <t>DEL-02.04</t>
        </is>
      </c>
      <c r="H39" s="3" t="inlineStr">
        <is>
          <t>Geotechnical Reporting - investigation report and ground improvement design</t>
        </is>
      </c>
      <c r="I39" s="22" t="n">
        <v>1</v>
      </c>
      <c r="J39" s="3" t="inlineStr">
        <is>
          <t>LS</t>
        </is>
      </c>
      <c r="K39" s="39" t="n">
        <v>18000</v>
      </c>
      <c r="L39" s="35" t="n">
        <v>18000</v>
      </c>
      <c r="M39" s="3" t="inlineStr">
        <is>
          <t>CAD</t>
        </is>
      </c>
      <c r="N39" s="3" t="inlineStr">
        <is>
          <t>ALLOWANCE</t>
        </is>
      </c>
      <c r="O39" s="3" t="inlineStr">
        <is>
          <t>A-006</t>
        </is>
      </c>
      <c r="P39" s="3" t="inlineStr">
        <is>
          <t>LOW</t>
        </is>
      </c>
      <c r="Q39" s="3" t="inlineStr">
        <is>
          <t>~100 hours engineering time</t>
        </is>
      </c>
      <c r="R39" s="3">
        <f>VLOOKUP($F39,Inputs!$D$6:$E$41,2,FALSE)</f>
        <v/>
      </c>
      <c r="S39" s="36">
        <f>VLOOKUP($E39,Inputs!$A$6:$B$13,2,FALSE)*Inputs!$B$2</f>
        <v/>
      </c>
      <c r="T39" s="35">
        <f>$L39*$S39</f>
        <v/>
      </c>
      <c r="U39" s="35">
        <f>$L39+$T39</f>
        <v/>
      </c>
    </row>
    <row r="40">
      <c r="A40" s="3" t="inlineStr">
        <is>
          <t>PKG-02::L007</t>
        </is>
      </c>
      <c r="B40" s="3" t="inlineStr">
        <is>
          <t>PKG-02</t>
        </is>
      </c>
      <c r="C40" s="3" t="inlineStr">
        <is>
          <t>DEL-02.05</t>
        </is>
      </c>
      <c r="D40" s="3" t="inlineStr">
        <is>
          <t>L007</t>
        </is>
      </c>
      <c r="E40" s="3" t="inlineStr">
        <is>
          <t>E</t>
        </is>
      </c>
      <c r="F40" s="3" t="inlineStr">
        <is>
          <t>PKG-02</t>
        </is>
      </c>
      <c r="G40" s="3" t="inlineStr">
        <is>
          <t>DEL-02.05</t>
        </is>
      </c>
      <c r="H40" s="3" t="inlineStr">
        <is>
          <t>Topographic Survey - site survey including utility locates (~7 ha)</t>
        </is>
      </c>
      <c r="I40" s="22" t="n">
        <v>1</v>
      </c>
      <c r="J40" s="3" t="inlineStr">
        <is>
          <t>LS</t>
        </is>
      </c>
      <c r="K40" s="39" t="n">
        <v>55000</v>
      </c>
      <c r="L40" s="35" t="n">
        <v>55000</v>
      </c>
      <c r="M40" s="3" t="inlineStr">
        <is>
          <t>CAD</t>
        </is>
      </c>
      <c r="N40" s="3" t="inlineStr">
        <is>
          <t>ALLOWANCE</t>
        </is>
      </c>
      <c r="O40" s="3" t="inlineStr">
        <is>
          <t>A-007</t>
        </is>
      </c>
      <c r="P40" s="3" t="inlineStr">
        <is>
          <t>LOW</t>
        </is>
      </c>
      <c r="Q40" s="3" t="inlineStr">
        <is>
          <t>Survey and CAD deliverables</t>
        </is>
      </c>
      <c r="R40" s="3">
        <f>VLOOKUP($F40,Inputs!$D$6:$E$41,2,FALSE)</f>
        <v/>
      </c>
      <c r="S40" s="36">
        <f>VLOOKUP($E40,Inputs!$A$6:$B$13,2,FALSE)*Inputs!$B$2</f>
        <v/>
      </c>
      <c r="T40" s="35">
        <f>$L40*$S40</f>
        <v/>
      </c>
      <c r="U40" s="35">
        <f>$L40+$T40</f>
        <v/>
      </c>
    </row>
    <row r="41">
      <c r="A41" s="3" t="inlineStr">
        <is>
          <t>PKG-02::L008</t>
        </is>
      </c>
      <c r="B41" s="3" t="inlineStr">
        <is>
          <t>PKG-02</t>
        </is>
      </c>
      <c r="C41" s="3" t="inlineStr">
        <is>
          <t>DEL-02.06</t>
        </is>
      </c>
      <c r="D41" s="3" t="inlineStr">
        <is>
          <t>L008</t>
        </is>
      </c>
      <c r="E41" s="3" t="inlineStr">
        <is>
          <t>E</t>
        </is>
      </c>
      <c r="F41" s="3" t="inlineStr">
        <is>
          <t>PKG-02</t>
        </is>
      </c>
      <c r="G41" s="3" t="inlineStr">
        <is>
          <t>DEL-02.06</t>
        </is>
      </c>
      <c r="H41" s="3" t="inlineStr">
        <is>
          <t>Earthworks QA/QC Records Compilation - test records documentation</t>
        </is>
      </c>
      <c r="I41" s="22" t="n">
        <v>1</v>
      </c>
      <c r="J41" s="3" t="inlineStr">
        <is>
          <t>LS</t>
        </is>
      </c>
      <c r="K41" s="39" t="n">
        <v>12000</v>
      </c>
      <c r="L41" s="35" t="n">
        <v>12000</v>
      </c>
      <c r="M41" s="3" t="inlineStr">
        <is>
          <t>CAD</t>
        </is>
      </c>
      <c r="N41" s="3" t="inlineStr">
        <is>
          <t>ALLOWANCE</t>
        </is>
      </c>
      <c r="O41" s="3" t="inlineStr">
        <is>
          <t>A-009</t>
        </is>
      </c>
      <c r="P41" s="3" t="inlineStr">
        <is>
          <t>LOW</t>
        </is>
      </c>
      <c r="Q41" s="3" t="inlineStr">
        <is>
          <t>~120 hours record compilation</t>
        </is>
      </c>
      <c r="R41" s="3">
        <f>VLOOKUP($F41,Inputs!$D$6:$E$41,2,FALSE)</f>
        <v/>
      </c>
      <c r="S41" s="36">
        <f>VLOOKUP($E41,Inputs!$A$6:$B$13,2,FALSE)*Inputs!$B$2</f>
        <v/>
      </c>
      <c r="T41" s="35">
        <f>$L41*$S41</f>
        <v/>
      </c>
      <c r="U41" s="35">
        <f>$L41+$T41</f>
        <v/>
      </c>
    </row>
    <row r="42">
      <c r="A42" s="3" t="inlineStr">
        <is>
          <t>PKG-02::L009</t>
        </is>
      </c>
      <c r="B42" s="3" t="inlineStr">
        <is>
          <t>PKG-02</t>
        </is>
      </c>
      <c r="C42" s="3" t="inlineStr">
        <is>
          <t>DEL-02.07</t>
        </is>
      </c>
      <c r="D42" s="3" t="inlineStr">
        <is>
          <t>L009</t>
        </is>
      </c>
      <c r="E42" s="3" t="inlineStr">
        <is>
          <t>E</t>
        </is>
      </c>
      <c r="F42" s="3" t="inlineStr">
        <is>
          <t>PKG-02</t>
        </is>
      </c>
      <c r="G42" s="3" t="inlineStr">
        <is>
          <t>DEL-02.07</t>
        </is>
      </c>
      <c r="H42" s="3" t="inlineStr">
        <is>
          <t>Excavation &amp; Fill Placement Method Statement - procedure development</t>
        </is>
      </c>
      <c r="I42" s="22" t="n">
        <v>1</v>
      </c>
      <c r="J42" s="3" t="inlineStr">
        <is>
          <t>LS</t>
        </is>
      </c>
      <c r="K42" s="39" t="n">
        <v>6000</v>
      </c>
      <c r="L42" s="35" t="n">
        <v>6000</v>
      </c>
      <c r="M42" s="3" t="inlineStr">
        <is>
          <t>CAD</t>
        </is>
      </c>
      <c r="N42" s="3" t="inlineStr">
        <is>
          <t>ALLOWANCE</t>
        </is>
      </c>
      <c r="O42" s="3" t="inlineStr">
        <is>
          <t>A-010</t>
        </is>
      </c>
      <c r="P42" s="3" t="inlineStr">
        <is>
          <t>LOW</t>
        </is>
      </c>
      <c r="Q42" s="3" t="inlineStr">
        <is>
          <t>~40 hours at $140/hr</t>
        </is>
      </c>
      <c r="R42" s="3">
        <f>VLOOKUP($F42,Inputs!$D$6:$E$41,2,FALSE)</f>
        <v/>
      </c>
      <c r="S42" s="36">
        <f>VLOOKUP($E42,Inputs!$A$6:$B$13,2,FALSE)*Inputs!$B$2</f>
        <v/>
      </c>
      <c r="T42" s="35">
        <f>$L42*$S42</f>
        <v/>
      </c>
      <c r="U42" s="35">
        <f>$L42+$T42</f>
        <v/>
      </c>
    </row>
    <row r="43">
      <c r="A43" s="3" t="inlineStr">
        <is>
          <t>PKG-02::L010</t>
        </is>
      </c>
      <c r="B43" s="3" t="inlineStr">
        <is>
          <t>PKG-02</t>
        </is>
      </c>
      <c r="C43" s="3" t="inlineStr">
        <is>
          <t>DEL-02.08</t>
        </is>
      </c>
      <c r="D43" s="3" t="inlineStr">
        <is>
          <t>L010</t>
        </is>
      </c>
      <c r="E43" s="3" t="inlineStr">
        <is>
          <t>E</t>
        </is>
      </c>
      <c r="F43" s="3" t="inlineStr">
        <is>
          <t>PKG-02</t>
        </is>
      </c>
      <c r="G43" s="3" t="inlineStr">
        <is>
          <t>DEL-02.08</t>
        </is>
      </c>
      <c r="H43" s="3" t="inlineStr">
        <is>
          <t>Sampling &amp; Testing Program Development</t>
        </is>
      </c>
      <c r="I43" s="22" t="n">
        <v>1</v>
      </c>
      <c r="J43" s="3" t="inlineStr">
        <is>
          <t>LS</t>
        </is>
      </c>
      <c r="K43" s="39" t="n">
        <v>4000</v>
      </c>
      <c r="L43" s="35" t="n">
        <v>4000</v>
      </c>
      <c r="M43" s="3" t="inlineStr">
        <is>
          <t>CAD</t>
        </is>
      </c>
      <c r="N43" s="3" t="inlineStr">
        <is>
          <t>ALLOWANCE</t>
        </is>
      </c>
      <c r="O43" s="3" t="inlineStr">
        <is>
          <t>A-011</t>
        </is>
      </c>
      <c r="P43" s="3" t="inlineStr">
        <is>
          <t>LOW</t>
        </is>
      </c>
      <c r="Q43" s="3" t="inlineStr">
        <is>
          <t>~30 hours</t>
        </is>
      </c>
      <c r="R43" s="3">
        <f>VLOOKUP($F43,Inputs!$D$6:$E$41,2,FALSE)</f>
        <v/>
      </c>
      <c r="S43" s="36">
        <f>VLOOKUP($E43,Inputs!$A$6:$B$13,2,FALSE)*Inputs!$B$2</f>
        <v/>
      </c>
      <c r="T43" s="35">
        <f>$L43*$S43</f>
        <v/>
      </c>
      <c r="U43" s="35">
        <f>$L43+$T43</f>
        <v/>
      </c>
    </row>
    <row r="44">
      <c r="A44" s="3" t="inlineStr">
        <is>
          <t>PKG-02::L011</t>
        </is>
      </c>
      <c r="B44" s="3" t="inlineStr">
        <is>
          <t>PKG-02</t>
        </is>
      </c>
      <c r="C44" s="3" t="inlineStr">
        <is>
          <t>DEL-02.09</t>
        </is>
      </c>
      <c r="D44" s="3" t="inlineStr">
        <is>
          <t>L011</t>
        </is>
      </c>
      <c r="E44" s="3" t="inlineStr">
        <is>
          <t>E</t>
        </is>
      </c>
      <c r="F44" s="3" t="inlineStr">
        <is>
          <t>PKG-02</t>
        </is>
      </c>
      <c r="G44" s="3" t="inlineStr">
        <is>
          <t>DEL-02.09</t>
        </is>
      </c>
      <c r="H44" s="3" t="inlineStr">
        <is>
          <t>Compaction Verification Plan Development</t>
        </is>
      </c>
      <c r="I44" s="22" t="n">
        <v>1</v>
      </c>
      <c r="J44" s="3" t="inlineStr">
        <is>
          <t>LS</t>
        </is>
      </c>
      <c r="K44" s="39" t="n">
        <v>3500</v>
      </c>
      <c r="L44" s="35" t="n">
        <v>3500</v>
      </c>
      <c r="M44" s="3" t="inlineStr">
        <is>
          <t>CAD</t>
        </is>
      </c>
      <c r="N44" s="3" t="inlineStr">
        <is>
          <t>ALLOWANCE</t>
        </is>
      </c>
      <c r="O44" s="3" t="inlineStr">
        <is>
          <t>A-012</t>
        </is>
      </c>
      <c r="P44" s="3" t="inlineStr">
        <is>
          <t>LOW</t>
        </is>
      </c>
      <c r="Q44" s="3" t="inlineStr">
        <is>
          <t>~25 hours</t>
        </is>
      </c>
      <c r="R44" s="3">
        <f>VLOOKUP($F44,Inputs!$D$6:$E$41,2,FALSE)</f>
        <v/>
      </c>
      <c r="S44" s="36">
        <f>VLOOKUP($E44,Inputs!$A$6:$B$13,2,FALSE)*Inputs!$B$2</f>
        <v/>
      </c>
      <c r="T44" s="35">
        <f>$L44*$S44</f>
        <v/>
      </c>
      <c r="U44" s="35">
        <f>$L44+$T44</f>
        <v/>
      </c>
    </row>
    <row r="45">
      <c r="A45" s="3" t="inlineStr">
        <is>
          <t>PKG-02::L012</t>
        </is>
      </c>
      <c r="B45" s="3" t="inlineStr">
        <is>
          <t>PKG-02</t>
        </is>
      </c>
      <c r="C45" s="3" t="n"/>
      <c r="D45" s="3" t="inlineStr">
        <is>
          <t>L012</t>
        </is>
      </c>
      <c r="E45" s="3" t="inlineStr">
        <is>
          <t>CD</t>
        </is>
      </c>
      <c r="F45" s="3" t="inlineStr">
        <is>
          <t>PKG-02</t>
        </is>
      </c>
      <c r="G45" s="3" t="n"/>
      <c r="H45" s="3" t="inlineStr">
        <is>
          <t>Site Stripping &amp; Grubbing - topsoil removal vegetation clearing (~5 ha)</t>
        </is>
      </c>
      <c r="I45" s="22" t="n">
        <v>1</v>
      </c>
      <c r="J45" s="3" t="inlineStr">
        <is>
          <t>LS</t>
        </is>
      </c>
      <c r="K45" s="39" t="n">
        <v>75000</v>
      </c>
      <c r="L45" s="35" t="n">
        <v>75000</v>
      </c>
      <c r="M45" s="3" t="inlineStr">
        <is>
          <t>CAD</t>
        </is>
      </c>
      <c r="N45" s="3" t="inlineStr">
        <is>
          <t>ALLOWANCE</t>
        </is>
      </c>
      <c r="O45" s="3" t="inlineStr">
        <is>
          <t>A-013</t>
        </is>
      </c>
      <c r="P45" s="3" t="inlineStr">
        <is>
          <t>LOW</t>
        </is>
      </c>
      <c r="Q45" s="3" t="inlineStr">
        <is>
          <t>$15k/ha × 5 ha</t>
        </is>
      </c>
      <c r="R45" s="3">
        <f>VLOOKUP($F45,Inputs!$D$6:$E$41,2,FALSE)</f>
        <v/>
      </c>
      <c r="S45" s="36">
        <f>VLOOKUP($E45,Inputs!$A$6:$B$13,2,FALSE)*Inputs!$B$2</f>
        <v/>
      </c>
      <c r="T45" s="35">
        <f>$L45*$S45</f>
        <v/>
      </c>
      <c r="U45" s="35">
        <f>$L45+$T45</f>
        <v/>
      </c>
    </row>
    <row r="46">
      <c r="A46" s="3" t="inlineStr">
        <is>
          <t>PKG-02::L013</t>
        </is>
      </c>
      <c r="B46" s="3" t="inlineStr">
        <is>
          <t>PKG-02</t>
        </is>
      </c>
      <c r="C46" s="3" t="n"/>
      <c r="D46" s="3" t="inlineStr">
        <is>
          <t>L013</t>
        </is>
      </c>
      <c r="E46" s="3" t="inlineStr">
        <is>
          <t>CD</t>
        </is>
      </c>
      <c r="F46" s="3" t="inlineStr">
        <is>
          <t>PKG-02</t>
        </is>
      </c>
      <c r="G46" s="3" t="n"/>
      <c r="H46" s="3" t="inlineStr">
        <is>
          <t>Excavation - cut to design grades (~15000 m³)</t>
        </is>
      </c>
      <c r="I46" s="22" t="n">
        <v>1</v>
      </c>
      <c r="J46" s="3" t="inlineStr">
        <is>
          <t>LS</t>
        </is>
      </c>
      <c r="K46" s="39" t="n">
        <v>180000</v>
      </c>
      <c r="L46" s="35" t="n">
        <v>180000</v>
      </c>
      <c r="M46" s="3" t="inlineStr">
        <is>
          <t>CAD</t>
        </is>
      </c>
      <c r="N46" s="3" t="inlineStr">
        <is>
          <t>ALLOWANCE</t>
        </is>
      </c>
      <c r="O46" s="3" t="inlineStr">
        <is>
          <t>A-014</t>
        </is>
      </c>
      <c r="P46" s="3" t="inlineStr">
        <is>
          <t>LOW</t>
        </is>
      </c>
      <c r="Q46" s="3" t="inlineStr">
        <is>
          <t>$12/m³ × 15000 m³</t>
        </is>
      </c>
      <c r="R46" s="3">
        <f>VLOOKUP($F46,Inputs!$D$6:$E$41,2,FALSE)</f>
        <v/>
      </c>
      <c r="S46" s="36">
        <f>VLOOKUP($E46,Inputs!$A$6:$B$13,2,FALSE)*Inputs!$B$2</f>
        <v/>
      </c>
      <c r="T46" s="35">
        <f>$L46*$S46</f>
        <v/>
      </c>
      <c r="U46" s="35">
        <f>$L46+$T46</f>
        <v/>
      </c>
    </row>
    <row r="47">
      <c r="A47" s="3" t="inlineStr">
        <is>
          <t>PKG-02::L014</t>
        </is>
      </c>
      <c r="B47" s="3" t="inlineStr">
        <is>
          <t>PKG-02</t>
        </is>
      </c>
      <c r="C47" s="3" t="n"/>
      <c r="D47" s="3" t="inlineStr">
        <is>
          <t>L014</t>
        </is>
      </c>
      <c r="E47" s="3" t="inlineStr">
        <is>
          <t>MAT</t>
        </is>
      </c>
      <c r="F47" s="3" t="inlineStr">
        <is>
          <t>PKG-02</t>
        </is>
      </c>
      <c r="G47" s="3" t="n"/>
      <c r="H47" s="3" t="inlineStr">
        <is>
          <t>Imported Structural Fill Material - supply of engineered fill (~25000 m³)</t>
        </is>
      </c>
      <c r="I47" s="22" t="n">
        <v>1</v>
      </c>
      <c r="J47" s="3" t="inlineStr">
        <is>
          <t>LS</t>
        </is>
      </c>
      <c r="K47" s="39" t="n">
        <v>375000</v>
      </c>
      <c r="L47" s="35" t="n">
        <v>375000</v>
      </c>
      <c r="M47" s="3" t="inlineStr">
        <is>
          <t>CAD</t>
        </is>
      </c>
      <c r="N47" s="3" t="inlineStr">
        <is>
          <t>ALLOWANCE</t>
        </is>
      </c>
      <c r="O47" s="3" t="inlineStr">
        <is>
          <t>A-015</t>
        </is>
      </c>
      <c r="P47" s="3" t="inlineStr">
        <is>
          <t>LOW</t>
        </is>
      </c>
      <c r="Q47" s="3" t="inlineStr">
        <is>
          <t>$15/m³ × 25000 m³ material only</t>
        </is>
      </c>
      <c r="R47" s="3">
        <f>VLOOKUP($F47,Inputs!$D$6:$E$41,2,FALSE)</f>
        <v/>
      </c>
      <c r="S47" s="36">
        <f>VLOOKUP($E47,Inputs!$A$6:$B$13,2,FALSE)*Inputs!$B$2</f>
        <v/>
      </c>
      <c r="T47" s="35">
        <f>$L47*$S47</f>
        <v/>
      </c>
      <c r="U47" s="35">
        <f>$L47+$T47</f>
        <v/>
      </c>
    </row>
    <row r="48">
      <c r="A48" s="3" t="inlineStr">
        <is>
          <t>PKG-02::L015</t>
        </is>
      </c>
      <c r="B48" s="3" t="inlineStr">
        <is>
          <t>PKG-02</t>
        </is>
      </c>
      <c r="C48" s="3" t="n"/>
      <c r="D48" s="3" t="inlineStr">
        <is>
          <t>L015</t>
        </is>
      </c>
      <c r="E48" s="3" t="inlineStr">
        <is>
          <t>CD</t>
        </is>
      </c>
      <c r="F48" s="3" t="inlineStr">
        <is>
          <t>PKG-02</t>
        </is>
      </c>
      <c r="G48" s="3" t="n"/>
      <c r="H48" s="3" t="inlineStr">
        <is>
          <t>Fill Placement &amp; Compaction - place and compact in lifts (~25000 m³)</t>
        </is>
      </c>
      <c r="I48" s="22" t="n">
        <v>1</v>
      </c>
      <c r="J48" s="3" t="inlineStr">
        <is>
          <t>LS</t>
        </is>
      </c>
      <c r="K48" s="39" t="n">
        <v>250000</v>
      </c>
      <c r="L48" s="35" t="n">
        <v>250000</v>
      </c>
      <c r="M48" s="3" t="inlineStr">
        <is>
          <t>CAD</t>
        </is>
      </c>
      <c r="N48" s="3" t="inlineStr">
        <is>
          <t>ALLOWANCE</t>
        </is>
      </c>
      <c r="O48" s="3" t="inlineStr">
        <is>
          <t>A-015</t>
        </is>
      </c>
      <c r="P48" s="3" t="inlineStr">
        <is>
          <t>LOW</t>
        </is>
      </c>
      <c r="Q48" s="3" t="inlineStr">
        <is>
          <t>$10/m³ placement and compaction labor</t>
        </is>
      </c>
      <c r="R48" s="3">
        <f>VLOOKUP($F48,Inputs!$D$6:$E$41,2,FALSE)</f>
        <v/>
      </c>
      <c r="S48" s="36">
        <f>VLOOKUP($E48,Inputs!$A$6:$B$13,2,FALSE)*Inputs!$B$2</f>
        <v/>
      </c>
      <c r="T48" s="35">
        <f>$L48*$S48</f>
        <v/>
      </c>
      <c r="U48" s="35">
        <f>$L48+$T48</f>
        <v/>
      </c>
    </row>
    <row r="49">
      <c r="A49" s="3" t="inlineStr">
        <is>
          <t>PKG-02::L016</t>
        </is>
      </c>
      <c r="B49" s="3" t="inlineStr">
        <is>
          <t>PKG-02</t>
        </is>
      </c>
      <c r="C49" s="3" t="n"/>
      <c r="D49" s="3" t="inlineStr">
        <is>
          <t>L016</t>
        </is>
      </c>
      <c r="E49" s="3" t="inlineStr">
        <is>
          <t>MAT</t>
        </is>
      </c>
      <c r="F49" s="3" t="inlineStr">
        <is>
          <t>PKG-02</t>
        </is>
      </c>
      <c r="G49" s="3" t="n"/>
      <c r="H49" s="3" t="inlineStr">
        <is>
          <t>Ground Improvement Materials - stone columns/aggregate (~30000 m²)</t>
        </is>
      </c>
      <c r="I49" s="22" t="n">
        <v>1</v>
      </c>
      <c r="J49" s="3" t="inlineStr">
        <is>
          <t>LS</t>
        </is>
      </c>
      <c r="K49" s="39" t="n">
        <v>600000</v>
      </c>
      <c r="L49" s="35" t="n">
        <v>600000</v>
      </c>
      <c r="M49" s="3" t="inlineStr">
        <is>
          <t>CAD</t>
        </is>
      </c>
      <c r="N49" s="3" t="inlineStr">
        <is>
          <t>ALLOWANCE</t>
        </is>
      </c>
      <c r="O49" s="3" t="inlineStr">
        <is>
          <t>A-016</t>
        </is>
      </c>
      <c r="P49" s="3" t="inlineStr">
        <is>
          <t>LOW</t>
        </is>
      </c>
      <c r="Q49" s="3" t="inlineStr">
        <is>
          <t>$20/m² material component</t>
        </is>
      </c>
      <c r="R49" s="3">
        <f>VLOOKUP($F49,Inputs!$D$6:$E$41,2,FALSE)</f>
        <v/>
      </c>
      <c r="S49" s="36">
        <f>VLOOKUP($E49,Inputs!$A$6:$B$13,2,FALSE)*Inputs!$B$2</f>
        <v/>
      </c>
      <c r="T49" s="35">
        <f>$L49*$S49</f>
        <v/>
      </c>
      <c r="U49" s="35">
        <f>$L49+$T49</f>
        <v/>
      </c>
    </row>
    <row r="50">
      <c r="A50" s="3" t="inlineStr">
        <is>
          <t>PKG-02::L017</t>
        </is>
      </c>
      <c r="B50" s="3" t="inlineStr">
        <is>
          <t>PKG-02</t>
        </is>
      </c>
      <c r="C50" s="3" t="n"/>
      <c r="D50" s="3" t="inlineStr">
        <is>
          <t>L017</t>
        </is>
      </c>
      <c r="E50" s="3" t="inlineStr">
        <is>
          <t>CD</t>
        </is>
      </c>
      <c r="F50" s="3" t="inlineStr">
        <is>
          <t>PKG-02</t>
        </is>
      </c>
      <c r="G50" s="3" t="n"/>
      <c r="H50" s="3" t="inlineStr">
        <is>
          <t>Ground Improvement Installation - vibro-compaction/stone columns (~30000 m²)</t>
        </is>
      </c>
      <c r="I50" s="22" t="n">
        <v>1</v>
      </c>
      <c r="J50" s="3" t="inlineStr">
        <is>
          <t>LS</t>
        </is>
      </c>
      <c r="K50" s="39" t="n">
        <v>900000</v>
      </c>
      <c r="L50" s="35" t="n">
        <v>900000</v>
      </c>
      <c r="M50" s="3" t="inlineStr">
        <is>
          <t>CAD</t>
        </is>
      </c>
      <c r="N50" s="3" t="inlineStr">
        <is>
          <t>ALLOWANCE</t>
        </is>
      </c>
      <c r="O50" s="3" t="inlineStr">
        <is>
          <t>A-017</t>
        </is>
      </c>
      <c r="P50" s="3" t="inlineStr">
        <is>
          <t>LOW</t>
        </is>
      </c>
      <c r="Q50" s="3" t="inlineStr">
        <is>
          <t>$30/m² installation</t>
        </is>
      </c>
      <c r="R50" s="3">
        <f>VLOOKUP($F50,Inputs!$D$6:$E$41,2,FALSE)</f>
        <v/>
      </c>
      <c r="S50" s="36">
        <f>VLOOKUP($E50,Inputs!$A$6:$B$13,2,FALSE)*Inputs!$B$2</f>
        <v/>
      </c>
      <c r="T50" s="35">
        <f>$L50*$S50</f>
        <v/>
      </c>
      <c r="U50" s="35">
        <f>$L50+$T50</f>
        <v/>
      </c>
    </row>
    <row r="51">
      <c r="A51" s="3" t="inlineStr">
        <is>
          <t>PKG-02::L018</t>
        </is>
      </c>
      <c r="B51" s="3" t="inlineStr">
        <is>
          <t>PKG-02</t>
        </is>
      </c>
      <c r="C51" s="3" t="n"/>
      <c r="D51" s="3" t="inlineStr">
        <is>
          <t>L018</t>
        </is>
      </c>
      <c r="E51" s="3" t="inlineStr">
        <is>
          <t>CD</t>
        </is>
      </c>
      <c r="F51" s="3" t="inlineStr">
        <is>
          <t>PKG-02</t>
        </is>
      </c>
      <c r="G51" s="3" t="n"/>
      <c r="H51" s="3" t="inlineStr">
        <is>
          <t>Compaction Testing - nuclear density/sand cone tests (~50 tests)</t>
        </is>
      </c>
      <c r="I51" s="22" t="n">
        <v>1</v>
      </c>
      <c r="J51" s="3" t="inlineStr">
        <is>
          <t>LS</t>
        </is>
      </c>
      <c r="K51" s="39" t="n">
        <v>25000</v>
      </c>
      <c r="L51" s="35" t="n">
        <v>25000</v>
      </c>
      <c r="M51" s="3" t="inlineStr">
        <is>
          <t>CAD</t>
        </is>
      </c>
      <c r="N51" s="3" t="inlineStr">
        <is>
          <t>ALLOWANCE</t>
        </is>
      </c>
      <c r="O51" s="3" t="inlineStr">
        <is>
          <t>A-018</t>
        </is>
      </c>
      <c r="P51" s="3" t="inlineStr">
        <is>
          <t>LOW</t>
        </is>
      </c>
      <c r="Q51" s="3" t="inlineStr">
        <is>
          <t>Testing during fill placement</t>
        </is>
      </c>
      <c r="R51" s="3">
        <f>VLOOKUP($F51,Inputs!$D$6:$E$41,2,FALSE)</f>
        <v/>
      </c>
      <c r="S51" s="36">
        <f>VLOOKUP($E51,Inputs!$A$6:$B$13,2,FALSE)*Inputs!$B$2</f>
        <v/>
      </c>
      <c r="T51" s="35">
        <f>$L51*$S51</f>
        <v/>
      </c>
      <c r="U51" s="35">
        <f>$L51+$T51</f>
        <v/>
      </c>
    </row>
    <row r="52">
      <c r="A52" s="3" t="inlineStr">
        <is>
          <t>PKG-02::L019</t>
        </is>
      </c>
      <c r="B52" s="3" t="inlineStr">
        <is>
          <t>PKG-02</t>
        </is>
      </c>
      <c r="C52" s="3" t="n"/>
      <c r="D52" s="3" t="inlineStr">
        <is>
          <t>L019</t>
        </is>
      </c>
      <c r="E52" s="3" t="inlineStr">
        <is>
          <t>CD</t>
        </is>
      </c>
      <c r="F52" s="3" t="inlineStr">
        <is>
          <t>PKG-02</t>
        </is>
      </c>
      <c r="G52" s="3" t="n"/>
      <c r="H52" s="3" t="inlineStr">
        <is>
          <t>Proof Rolling - verification of structural areas</t>
        </is>
      </c>
      <c r="I52" s="22" t="n">
        <v>1</v>
      </c>
      <c r="J52" s="3" t="inlineStr">
        <is>
          <t>LS</t>
        </is>
      </c>
      <c r="K52" s="39" t="n">
        <v>15000</v>
      </c>
      <c r="L52" s="35" t="n">
        <v>15000</v>
      </c>
      <c r="M52" s="3" t="inlineStr">
        <is>
          <t>CAD</t>
        </is>
      </c>
      <c r="N52" s="3" t="inlineStr">
        <is>
          <t>ALLOWANCE</t>
        </is>
      </c>
      <c r="O52" s="3" t="inlineStr">
        <is>
          <t>A-019</t>
        </is>
      </c>
      <c r="P52" s="3" t="inlineStr">
        <is>
          <t>LOW</t>
        </is>
      </c>
      <c r="Q52" s="3" t="inlineStr">
        <is>
          <t>Proof roll with loaded truck</t>
        </is>
      </c>
      <c r="R52" s="3">
        <f>VLOOKUP($F52,Inputs!$D$6:$E$41,2,FALSE)</f>
        <v/>
      </c>
      <c r="S52" s="36">
        <f>VLOOKUP($E52,Inputs!$A$6:$B$13,2,FALSE)*Inputs!$B$2</f>
        <v/>
      </c>
      <c r="T52" s="35">
        <f>$L52*$S52</f>
        <v/>
      </c>
      <c r="U52" s="35">
        <f>$L52+$T52</f>
        <v/>
      </c>
    </row>
    <row r="53">
      <c r="A53" s="3" t="inlineStr">
        <is>
          <t>PKG-02::L020</t>
        </is>
      </c>
      <c r="B53" s="3" t="inlineStr">
        <is>
          <t>PKG-02</t>
        </is>
      </c>
      <c r="C53" s="3" t="n"/>
      <c r="D53" s="3" t="inlineStr">
        <is>
          <t>L020</t>
        </is>
      </c>
      <c r="E53" s="3" t="inlineStr">
        <is>
          <t>CD</t>
        </is>
      </c>
      <c r="F53" s="3" t="inlineStr">
        <is>
          <t>PKG-02</t>
        </is>
      </c>
      <c r="G53" s="3" t="n"/>
      <c r="H53" s="3" t="inlineStr">
        <is>
          <t>Dewatering - temporary dewatering for excavations</t>
        </is>
      </c>
      <c r="I53" s="22" t="n">
        <v>1</v>
      </c>
      <c r="J53" s="3" t="inlineStr">
        <is>
          <t>LS</t>
        </is>
      </c>
      <c r="K53" s="39" t="n">
        <v>50000</v>
      </c>
      <c r="L53" s="35" t="n">
        <v>50000</v>
      </c>
      <c r="M53" s="3" t="inlineStr">
        <is>
          <t>CAD</t>
        </is>
      </c>
      <c r="N53" s="3" t="inlineStr">
        <is>
          <t>ALLOWANCE</t>
        </is>
      </c>
      <c r="O53" s="3" t="inlineStr">
        <is>
          <t>A-021</t>
        </is>
      </c>
      <c r="P53" s="3" t="inlineStr">
        <is>
          <t>LOW</t>
        </is>
      </c>
      <c r="Q53" s="3" t="inlineStr">
        <is>
          <t>Pumping and disposal allowance</t>
        </is>
      </c>
      <c r="R53" s="3">
        <f>VLOOKUP($F53,Inputs!$D$6:$E$41,2,FALSE)</f>
        <v/>
      </c>
      <c r="S53" s="36">
        <f>VLOOKUP($E53,Inputs!$A$6:$B$13,2,FALSE)*Inputs!$B$2</f>
        <v/>
      </c>
      <c r="T53" s="35">
        <f>$L53*$S53</f>
        <v/>
      </c>
      <c r="U53" s="35">
        <f>$L53+$T53</f>
        <v/>
      </c>
    </row>
    <row r="54">
      <c r="A54" s="3" t="inlineStr">
        <is>
          <t>PKG-02::L021</t>
        </is>
      </c>
      <c r="B54" s="3" t="inlineStr">
        <is>
          <t>PKG-02</t>
        </is>
      </c>
      <c r="C54" s="3" t="n"/>
      <c r="D54" s="3" t="inlineStr">
        <is>
          <t>L021</t>
        </is>
      </c>
      <c r="E54" s="3" t="inlineStr">
        <is>
          <t>MAT</t>
        </is>
      </c>
      <c r="F54" s="3" t="inlineStr">
        <is>
          <t>PKG-02</t>
        </is>
      </c>
      <c r="G54" s="3" t="n"/>
      <c r="H54" s="3" t="inlineStr">
        <is>
          <t>Geotextile Separation Layer - fabric under fill areas (~20000 m²)</t>
        </is>
      </c>
      <c r="I54" s="22" t="n">
        <v>1</v>
      </c>
      <c r="J54" s="3" t="inlineStr">
        <is>
          <t>LS</t>
        </is>
      </c>
      <c r="K54" s="39" t="n">
        <v>160000</v>
      </c>
      <c r="L54" s="35" t="n">
        <v>160000</v>
      </c>
      <c r="M54" s="3" t="inlineStr">
        <is>
          <t>CAD</t>
        </is>
      </c>
      <c r="N54" s="3" t="inlineStr">
        <is>
          <t>ALLOWANCE</t>
        </is>
      </c>
      <c r="O54" s="3" t="inlineStr">
        <is>
          <t>A-022</t>
        </is>
      </c>
      <c r="P54" s="3" t="inlineStr">
        <is>
          <t>LOW</t>
        </is>
      </c>
      <c r="Q54" s="3" t="inlineStr">
        <is>
          <t>$8/m² installed</t>
        </is>
      </c>
      <c r="R54" s="3">
        <f>VLOOKUP($F54,Inputs!$D$6:$E$41,2,FALSE)</f>
        <v/>
      </c>
      <c r="S54" s="36">
        <f>VLOOKUP($E54,Inputs!$A$6:$B$13,2,FALSE)*Inputs!$B$2</f>
        <v/>
      </c>
      <c r="T54" s="35">
        <f>$L54*$S54</f>
        <v/>
      </c>
      <c r="U54" s="35">
        <f>$L54+$T54</f>
        <v/>
      </c>
    </row>
    <row r="55">
      <c r="A55" s="3" t="inlineStr">
        <is>
          <t>PKG-02::L022</t>
        </is>
      </c>
      <c r="B55" s="3" t="inlineStr">
        <is>
          <t>PKG-02</t>
        </is>
      </c>
      <c r="C55" s="3" t="n"/>
      <c r="D55" s="3" t="inlineStr">
        <is>
          <t>L022</t>
        </is>
      </c>
      <c r="E55" s="3" t="inlineStr">
        <is>
          <t>CD</t>
        </is>
      </c>
      <c r="F55" s="3" t="inlineStr">
        <is>
          <t>PKG-02</t>
        </is>
      </c>
      <c r="G55" s="3" t="n"/>
      <c r="H55" s="3" t="inlineStr">
        <is>
          <t>Fine Grading - final grade preparation for pavements/structures</t>
        </is>
      </c>
      <c r="I55" s="22" t="n">
        <v>1</v>
      </c>
      <c r="J55" s="3" t="inlineStr">
        <is>
          <t>LS</t>
        </is>
      </c>
      <c r="K55" s="39" t="n">
        <v>45000</v>
      </c>
      <c r="L55" s="35" t="n">
        <v>45000</v>
      </c>
      <c r="M55" s="3" t="inlineStr">
        <is>
          <t>CAD</t>
        </is>
      </c>
      <c r="N55" s="3" t="inlineStr">
        <is>
          <t>ALLOWANCE</t>
        </is>
      </c>
      <c r="O55" s="3" t="inlineStr">
        <is>
          <t>D-012</t>
        </is>
      </c>
      <c r="P55" s="3" t="inlineStr">
        <is>
          <t>LOW</t>
        </is>
      </c>
      <c r="Q55" s="3" t="inlineStr">
        <is>
          <t>~5 ha at $9k/ha</t>
        </is>
      </c>
      <c r="R55" s="3">
        <f>VLOOKUP($F55,Inputs!$D$6:$E$41,2,FALSE)</f>
        <v/>
      </c>
      <c r="S55" s="36">
        <f>VLOOKUP($E55,Inputs!$A$6:$B$13,2,FALSE)*Inputs!$B$2</f>
        <v/>
      </c>
      <c r="T55" s="35">
        <f>$L55*$S55</f>
        <v/>
      </c>
      <c r="U55" s="35">
        <f>$L55+$T55</f>
        <v/>
      </c>
    </row>
    <row r="56">
      <c r="A56" s="3" t="inlineStr">
        <is>
          <t>PKG-02::L023</t>
        </is>
      </c>
      <c r="B56" s="3" t="inlineStr">
        <is>
          <t>PKG-02</t>
        </is>
      </c>
      <c r="C56" s="3" t="n"/>
      <c r="D56" s="3" t="inlineStr">
        <is>
          <t>L023</t>
        </is>
      </c>
      <c r="E56" s="3" t="inlineStr">
        <is>
          <t>CD</t>
        </is>
      </c>
      <c r="F56" s="3" t="inlineStr">
        <is>
          <t>PKG-02</t>
        </is>
      </c>
      <c r="G56" s="3" t="n"/>
      <c r="H56" s="3" t="inlineStr">
        <is>
          <t>Erosion &amp; Sediment Control - temporary measures during construction</t>
        </is>
      </c>
      <c r="I56" s="22" t="n">
        <v>1</v>
      </c>
      <c r="J56" s="3" t="inlineStr">
        <is>
          <t>LS</t>
        </is>
      </c>
      <c r="K56" s="39" t="n">
        <v>35000</v>
      </c>
      <c r="L56" s="35" t="n">
        <v>35000</v>
      </c>
      <c r="M56" s="3" t="inlineStr">
        <is>
          <t>CAD</t>
        </is>
      </c>
      <c r="N56" s="3" t="inlineStr">
        <is>
          <t>ALLOWANCE</t>
        </is>
      </c>
      <c r="O56" s="3" t="inlineStr">
        <is>
          <t>D-012</t>
        </is>
      </c>
      <c r="P56" s="3" t="inlineStr">
        <is>
          <t>LOW</t>
        </is>
      </c>
      <c r="Q56" s="3" t="inlineStr">
        <is>
          <t>Silt fence sediment traps</t>
        </is>
      </c>
      <c r="R56" s="3">
        <f>VLOOKUP($F56,Inputs!$D$6:$E$41,2,FALSE)</f>
        <v/>
      </c>
      <c r="S56" s="36">
        <f>VLOOKUP($E56,Inputs!$A$6:$B$13,2,FALSE)*Inputs!$B$2</f>
        <v/>
      </c>
      <c r="T56" s="35">
        <f>$L56*$S56</f>
        <v/>
      </c>
      <c r="U56" s="35">
        <f>$L56+$T56</f>
        <v/>
      </c>
    </row>
    <row r="57">
      <c r="A57" s="3" t="inlineStr">
        <is>
          <t>PKG-02::L024</t>
        </is>
      </c>
      <c r="B57" s="3" t="inlineStr">
        <is>
          <t>PKG-02</t>
        </is>
      </c>
      <c r="C57" s="3" t="n"/>
      <c r="D57" s="3" t="inlineStr">
        <is>
          <t>L024</t>
        </is>
      </c>
      <c r="E57" s="3" t="inlineStr">
        <is>
          <t>CI</t>
        </is>
      </c>
      <c r="F57" s="3" t="inlineStr">
        <is>
          <t>PKG-02</t>
        </is>
      </c>
      <c r="G57" s="3" t="n"/>
      <c r="H57" s="3" t="inlineStr">
        <is>
          <t>Construction Indirects - field supervision site overhead QA/QC (factor-based)</t>
        </is>
      </c>
      <c r="I57" s="22" t="n">
        <v>1</v>
      </c>
      <c r="J57" s="3" t="inlineStr">
        <is>
          <t>LS</t>
        </is>
      </c>
      <c r="K57" s="39" t="n">
        <v>279000</v>
      </c>
      <c r="L57" s="35" t="n">
        <v>279000</v>
      </c>
      <c r="M57" s="3" t="inlineStr">
        <is>
          <t>CAD</t>
        </is>
      </c>
      <c r="N57" s="3" t="inlineStr">
        <is>
          <t>PARAMETRIC</t>
        </is>
      </c>
      <c r="O57" s="3" t="inlineStr">
        <is>
          <t>D-009</t>
        </is>
      </c>
      <c r="P57" s="3" t="inlineStr">
        <is>
          <t>LOW</t>
        </is>
      </c>
      <c r="Q57" s="3" t="inlineStr">
        <is>
          <t>18% of CD base ($1.55M × 0.18)</t>
        </is>
      </c>
      <c r="R57" s="3">
        <f>VLOOKUP($F57,Inputs!$D$6:$E$41,2,FALSE)</f>
        <v/>
      </c>
      <c r="S57" s="36">
        <f>VLOOKUP($E57,Inputs!$A$6:$B$13,2,FALSE)*Inputs!$B$2</f>
        <v/>
      </c>
      <c r="T57" s="35">
        <f>$L57*$S57</f>
        <v/>
      </c>
      <c r="U57" s="35">
        <f>$L57+$T57</f>
        <v/>
      </c>
    </row>
    <row r="58">
      <c r="A58" s="3" t="inlineStr">
        <is>
          <t>PKG-02::L025</t>
        </is>
      </c>
      <c r="B58" s="3" t="inlineStr">
        <is>
          <t>PKG-02</t>
        </is>
      </c>
      <c r="C58" s="3" t="n"/>
      <c r="D58" s="3" t="inlineStr">
        <is>
          <t>L025</t>
        </is>
      </c>
      <c r="E58" s="3" t="inlineStr">
        <is>
          <t>PM</t>
        </is>
      </c>
      <c r="F58" s="3" t="inlineStr">
        <is>
          <t>PKG-02</t>
        </is>
      </c>
      <c r="G58" s="3" t="n"/>
      <c r="H58" s="3" t="inlineStr">
        <is>
          <t>EPCM / Project Management - PKG-02 allocation (factor-based)</t>
        </is>
      </c>
      <c r="I58" s="22" t="n">
        <v>1</v>
      </c>
      <c r="J58" s="3" t="inlineStr">
        <is>
          <t>LS</t>
        </is>
      </c>
      <c r="K58" s="39" t="n">
        <v>176000</v>
      </c>
      <c r="L58" s="35" t="n">
        <v>176000</v>
      </c>
      <c r="M58" s="3" t="inlineStr">
        <is>
          <t>CAD</t>
        </is>
      </c>
      <c r="N58" s="3" t="inlineStr">
        <is>
          <t>PARAMETRIC</t>
        </is>
      </c>
      <c r="O58" s="3" t="inlineStr">
        <is>
          <t>D-009</t>
        </is>
      </c>
      <c r="P58" s="3" t="inlineStr">
        <is>
          <t>MED</t>
        </is>
      </c>
      <c r="Q58" s="3" t="inlineStr">
        <is>
          <t>6% of (CD+CI+MAT) base</t>
        </is>
      </c>
      <c r="R58" s="3">
        <f>VLOOKUP($F58,Inputs!$D$6:$E$41,2,FALSE)</f>
        <v/>
      </c>
      <c r="S58" s="36">
        <f>VLOOKUP($E58,Inputs!$A$6:$B$13,2,FALSE)*Inputs!$B$2</f>
        <v/>
      </c>
      <c r="T58" s="35">
        <f>$L58*$S58</f>
        <v/>
      </c>
      <c r="U58" s="35">
        <f>$L58+$T58</f>
        <v/>
      </c>
    </row>
    <row r="59">
      <c r="A59" s="3" t="inlineStr">
        <is>
          <t>PKG-02::L026</t>
        </is>
      </c>
      <c r="B59" s="3" t="inlineStr">
        <is>
          <t>PKG-02</t>
        </is>
      </c>
      <c r="C59" s="3" t="n"/>
      <c r="D59" s="3" t="inlineStr">
        <is>
          <t>L026</t>
        </is>
      </c>
      <c r="E59" s="3" t="inlineStr">
        <is>
          <t>P</t>
        </is>
      </c>
      <c r="F59" s="3" t="inlineStr">
        <is>
          <t>PKG-02</t>
        </is>
      </c>
      <c r="G59" s="3" t="n"/>
      <c r="H59" s="3" t="inlineStr">
        <is>
          <t>Procurement Services - vendor coordination expediting (factor-based)</t>
        </is>
      </c>
      <c r="I59" s="22" t="n">
        <v>1</v>
      </c>
      <c r="J59" s="3" t="inlineStr">
        <is>
          <t>LS</t>
        </is>
      </c>
      <c r="K59" s="39" t="n">
        <v>23000</v>
      </c>
      <c r="L59" s="35" t="n">
        <v>23000</v>
      </c>
      <c r="M59" s="3" t="inlineStr">
        <is>
          <t>CAD</t>
        </is>
      </c>
      <c r="N59" s="3" t="inlineStr">
        <is>
          <t>PARAMETRIC</t>
        </is>
      </c>
      <c r="O59" s="3" t="inlineStr">
        <is>
          <t>D-009</t>
        </is>
      </c>
      <c r="P59" s="3" t="inlineStr">
        <is>
          <t>MED</t>
        </is>
      </c>
      <c r="Q59" s="3" t="inlineStr">
        <is>
          <t>2% of MAT ($1.135M × 0.02)</t>
        </is>
      </c>
      <c r="R59" s="3">
        <f>VLOOKUP($F59,Inputs!$D$6:$E$41,2,FALSE)</f>
        <v/>
      </c>
      <c r="S59" s="36">
        <f>VLOOKUP($E59,Inputs!$A$6:$B$13,2,FALSE)*Inputs!$B$2</f>
        <v/>
      </c>
      <c r="T59" s="35">
        <f>$L59*$S59</f>
        <v/>
      </c>
      <c r="U59" s="35">
        <f>$L59+$T59</f>
        <v/>
      </c>
    </row>
    <row r="60">
      <c r="A60" s="3" t="inlineStr">
        <is>
          <t>PKG-02::L027</t>
        </is>
      </c>
      <c r="B60" s="3" t="inlineStr">
        <is>
          <t>PKG-02</t>
        </is>
      </c>
      <c r="C60" s="3" t="n"/>
      <c r="D60" s="3" t="inlineStr">
        <is>
          <t>L027</t>
        </is>
      </c>
      <c r="E60" s="3" t="inlineStr">
        <is>
          <t>COM</t>
        </is>
      </c>
      <c r="F60" s="3" t="inlineStr">
        <is>
          <t>PKG-02</t>
        </is>
      </c>
      <c r="G60" s="3" t="n"/>
      <c r="H60" s="3" t="inlineStr">
        <is>
          <t>Testing &amp; Verification - final verification testing reporting</t>
        </is>
      </c>
      <c r="I60" s="22" t="n">
        <v>1</v>
      </c>
      <c r="J60" s="3" t="inlineStr">
        <is>
          <t>LS</t>
        </is>
      </c>
      <c r="K60" s="39" t="n">
        <v>88000</v>
      </c>
      <c r="L60" s="35" t="n">
        <v>88000</v>
      </c>
      <c r="M60" s="3" t="inlineStr">
        <is>
          <t>CAD</t>
        </is>
      </c>
      <c r="N60" s="3" t="inlineStr">
        <is>
          <t>PARAMETRIC</t>
        </is>
      </c>
      <c r="O60" s="3" t="inlineStr">
        <is>
          <t>D-009</t>
        </is>
      </c>
      <c r="P60" s="3" t="inlineStr">
        <is>
          <t>LOW</t>
        </is>
      </c>
      <c r="Q60" s="3" t="inlineStr">
        <is>
          <t>3% of (CD+CI+MAT) base</t>
        </is>
      </c>
      <c r="R60" s="3">
        <f>VLOOKUP($F60,Inputs!$D$6:$E$41,2,FALSE)</f>
        <v/>
      </c>
      <c r="S60" s="36">
        <f>VLOOKUP($E60,Inputs!$A$6:$B$13,2,FALSE)*Inputs!$B$2</f>
        <v/>
      </c>
      <c r="T60" s="35">
        <f>$L60*$S60</f>
        <v/>
      </c>
      <c r="U60" s="35">
        <f>$L60+$T60</f>
        <v/>
      </c>
    </row>
    <row r="61">
      <c r="A61" s="3" t="inlineStr">
        <is>
          <t>PKG-03::L-001</t>
        </is>
      </c>
      <c r="B61" s="3" t="inlineStr">
        <is>
          <t>PKG-03</t>
        </is>
      </c>
      <c r="C61" s="3" t="inlineStr">
        <is>
          <t>DEL-03.01</t>
        </is>
      </c>
      <c r="D61" s="3" t="inlineStr">
        <is>
          <t>L-001</t>
        </is>
      </c>
      <c r="E61" s="3" t="inlineStr">
        <is>
          <t>E</t>
        </is>
      </c>
      <c r="F61" s="3" t="inlineStr">
        <is>
          <t>PKG-03</t>
        </is>
      </c>
      <c r="G61" s="3" t="inlineStr">
        <is>
          <t>DEL-03.01</t>
        </is>
      </c>
      <c r="H61" s="3" t="inlineStr">
        <is>
          <t>Civil engineering design - Underground Utilities Design Drawing Set</t>
        </is>
      </c>
      <c r="I61" s="22" t="n">
        <v>1</v>
      </c>
      <c r="J61" s="3" t="inlineStr">
        <is>
          <t>LS</t>
        </is>
      </c>
      <c r="K61" s="39" t="n">
        <v>65000</v>
      </c>
      <c r="L61" s="35" t="n">
        <v>65000</v>
      </c>
      <c r="M61" s="3" t="inlineStr">
        <is>
          <t>CAD</t>
        </is>
      </c>
      <c r="N61" s="3" t="inlineStr">
        <is>
          <t>ALLOWANCE</t>
        </is>
      </c>
      <c r="O61" s="3" t="inlineStr">
        <is>
          <t>A-006</t>
        </is>
      </c>
      <c r="P61" s="3" t="inlineStr">
        <is>
          <t>LOW</t>
        </is>
      </c>
      <c r="Q61" s="3" t="inlineStr">
        <is>
          <t>Drawing set production including storm drainage plans/profiles; OWS layout; duct banks; trenchless crossings; CAD technician hours included</t>
        </is>
      </c>
      <c r="R61" s="3">
        <f>VLOOKUP($F61,Inputs!$D$6:$E$41,2,FALSE)</f>
        <v/>
      </c>
      <c r="S61" s="36">
        <f>VLOOKUP($E61,Inputs!$A$6:$B$13,2,FALSE)*Inputs!$B$2</f>
        <v/>
      </c>
      <c r="T61" s="35">
        <f>$L61*$S61</f>
        <v/>
      </c>
      <c r="U61" s="35">
        <f>$L61+$T61</f>
        <v/>
      </c>
    </row>
    <row r="62">
      <c r="A62" s="3" t="inlineStr">
        <is>
          <t>PKG-03::L-002</t>
        </is>
      </c>
      <c r="B62" s="3" t="inlineStr">
        <is>
          <t>PKG-03</t>
        </is>
      </c>
      <c r="C62" s="3" t="inlineStr">
        <is>
          <t>DEL-03.02</t>
        </is>
      </c>
      <c r="D62" s="3" t="inlineStr">
        <is>
          <t>L-002</t>
        </is>
      </c>
      <c r="E62" s="3" t="inlineStr">
        <is>
          <t>E</t>
        </is>
      </c>
      <c r="F62" s="3" t="inlineStr">
        <is>
          <t>PKG-03</t>
        </is>
      </c>
      <c r="G62" s="3" t="inlineStr">
        <is>
          <t>DEL-03.02</t>
        </is>
      </c>
      <c r="H62" s="3" t="inlineStr">
        <is>
          <t>Civil engineering design - Underground Utilities Technical Specification</t>
        </is>
      </c>
      <c r="I62" s="22" t="n">
        <v>1</v>
      </c>
      <c r="J62" s="3" t="inlineStr">
        <is>
          <t>LS</t>
        </is>
      </c>
      <c r="K62" s="39" t="n">
        <v>45000</v>
      </c>
      <c r="L62" s="35" t="n">
        <v>45000</v>
      </c>
      <c r="M62" s="3" t="inlineStr">
        <is>
          <t>CAD</t>
        </is>
      </c>
      <c r="N62" s="3" t="inlineStr">
        <is>
          <t>ALLOWANCE</t>
        </is>
      </c>
      <c r="O62" s="3" t="inlineStr">
        <is>
          <t>A-006</t>
        </is>
      </c>
      <c r="P62" s="3" t="inlineStr">
        <is>
          <t>LOW</t>
        </is>
      </c>
      <c r="Q62" s="3" t="inlineStr">
        <is>
          <t>Specification development for storm drainage; OWS; duct banks; trenchless crossings; materials and workmanship requirements</t>
        </is>
      </c>
      <c r="R62" s="3">
        <f>VLOOKUP($F62,Inputs!$D$6:$E$41,2,FALSE)</f>
        <v/>
      </c>
      <c r="S62" s="36">
        <f>VLOOKUP($E62,Inputs!$A$6:$B$13,2,FALSE)*Inputs!$B$2</f>
        <v/>
      </c>
      <c r="T62" s="35">
        <f>$L62*$S62</f>
        <v/>
      </c>
      <c r="U62" s="35">
        <f>$L62+$T62</f>
        <v/>
      </c>
    </row>
    <row r="63">
      <c r="A63" s="3" t="inlineStr">
        <is>
          <t>PKG-03::L-003</t>
        </is>
      </c>
      <c r="B63" s="3" t="inlineStr">
        <is>
          <t>PKG-03</t>
        </is>
      </c>
      <c r="C63" s="3" t="inlineStr">
        <is>
          <t>DEL-03.03</t>
        </is>
      </c>
      <c r="D63" s="3" t="inlineStr">
        <is>
          <t>L-003</t>
        </is>
      </c>
      <c r="E63" s="3" t="inlineStr">
        <is>
          <t>E</t>
        </is>
      </c>
      <c r="F63" s="3" t="inlineStr">
        <is>
          <t>PKG-03</t>
        </is>
      </c>
      <c r="G63" s="3" t="inlineStr">
        <is>
          <t>DEL-03.03</t>
        </is>
      </c>
      <c r="H63" s="3" t="inlineStr">
        <is>
          <t>Civil engineering design - Underground Utilities Design Calculations</t>
        </is>
      </c>
      <c r="I63" s="22" t="n">
        <v>1</v>
      </c>
      <c r="J63" s="3" t="inlineStr">
        <is>
          <t>LS</t>
        </is>
      </c>
      <c r="K63" s="39" t="n">
        <v>55000</v>
      </c>
      <c r="L63" s="35" t="n">
        <v>55000</v>
      </c>
      <c r="M63" s="3" t="inlineStr">
        <is>
          <t>CAD</t>
        </is>
      </c>
      <c r="N63" s="3" t="inlineStr">
        <is>
          <t>ALLOWANCE</t>
        </is>
      </c>
      <c r="O63" s="3" t="inlineStr">
        <is>
          <t>A-006</t>
        </is>
      </c>
      <c r="P63" s="3" t="inlineStr">
        <is>
          <t>LOW</t>
        </is>
      </c>
      <c r="Q63" s="3" t="inlineStr">
        <is>
          <t>Hydraulic calculations; OWS sizing; duct bank capacity analysis; trenchless crossing structural calculations</t>
        </is>
      </c>
      <c r="R63" s="3">
        <f>VLOOKUP($F63,Inputs!$D$6:$E$41,2,FALSE)</f>
        <v/>
      </c>
      <c r="S63" s="36">
        <f>VLOOKUP($E63,Inputs!$A$6:$B$13,2,FALSE)*Inputs!$B$2</f>
        <v/>
      </c>
      <c r="T63" s="35">
        <f>$L63*$S63</f>
        <v/>
      </c>
      <c r="U63" s="35">
        <f>$L63+$T63</f>
        <v/>
      </c>
    </row>
    <row r="64">
      <c r="A64" s="3" t="inlineStr">
        <is>
          <t>PKG-03::L-004</t>
        </is>
      </c>
      <c r="B64" s="3" t="inlineStr">
        <is>
          <t>PKG-03</t>
        </is>
      </c>
      <c r="C64" s="3" t="inlineStr">
        <is>
          <t>DEL-03.04</t>
        </is>
      </c>
      <c r="D64" s="3" t="inlineStr">
        <is>
          <t>L-004</t>
        </is>
      </c>
      <c r="E64" s="3" t="inlineStr">
        <is>
          <t>E</t>
        </is>
      </c>
      <c r="F64" s="3" t="inlineStr">
        <is>
          <t>PKG-03</t>
        </is>
      </c>
      <c r="G64" s="3" t="inlineStr">
        <is>
          <t>DEL-03.04</t>
        </is>
      </c>
      <c r="H64" s="3" t="inlineStr">
        <is>
          <t>Civil engineering design - Underground Utilities Data Sheet Package</t>
        </is>
      </c>
      <c r="I64" s="22" t="n">
        <v>1</v>
      </c>
      <c r="J64" s="3" t="inlineStr">
        <is>
          <t>LS</t>
        </is>
      </c>
      <c r="K64" s="39" t="n">
        <v>35000</v>
      </c>
      <c r="L64" s="35" t="n">
        <v>35000</v>
      </c>
      <c r="M64" s="3" t="inlineStr">
        <is>
          <t>CAD</t>
        </is>
      </c>
      <c r="N64" s="3" t="inlineStr">
        <is>
          <t>ALLOWANCE</t>
        </is>
      </c>
      <c r="O64" s="3" t="inlineStr">
        <is>
          <t>A-006</t>
        </is>
      </c>
      <c r="P64" s="3" t="inlineStr">
        <is>
          <t>LOW</t>
        </is>
      </c>
      <c r="Q64" s="3" t="inlineStr">
        <is>
          <t>Equipment and material data sheets for OWS; pipes; instrumentation; pumps</t>
        </is>
      </c>
      <c r="R64" s="3">
        <f>VLOOKUP($F64,Inputs!$D$6:$E$41,2,FALSE)</f>
        <v/>
      </c>
      <c r="S64" s="36">
        <f>VLOOKUP($E64,Inputs!$A$6:$B$13,2,FALSE)*Inputs!$B$2</f>
        <v/>
      </c>
      <c r="T64" s="35">
        <f>$L64*$S64</f>
        <v/>
      </c>
      <c r="U64" s="35">
        <f>$L64+$T64</f>
        <v/>
      </c>
    </row>
    <row r="65">
      <c r="A65" s="3" t="inlineStr">
        <is>
          <t>PKG-03::L-005</t>
        </is>
      </c>
      <c r="B65" s="3" t="inlineStr">
        <is>
          <t>PKG-03</t>
        </is>
      </c>
      <c r="C65" s="3" t="inlineStr">
        <is>
          <t>DEL-03.06</t>
        </is>
      </c>
      <c r="D65" s="3" t="inlineStr">
        <is>
          <t>L-005</t>
        </is>
      </c>
      <c r="E65" s="3" t="inlineStr">
        <is>
          <t>E</t>
        </is>
      </c>
      <c r="F65" s="3" t="inlineStr">
        <is>
          <t>PKG-03</t>
        </is>
      </c>
      <c r="G65" s="3" t="inlineStr">
        <is>
          <t>DEL-03.06</t>
        </is>
      </c>
      <c r="H65" s="3" t="inlineStr">
        <is>
          <t>Specialist CCTV survey and reporting</t>
        </is>
      </c>
      <c r="I65" s="22" t="n">
        <v>1</v>
      </c>
      <c r="J65" s="3" t="inlineStr">
        <is>
          <t>LS</t>
        </is>
      </c>
      <c r="K65" s="39" t="n">
        <v>32000</v>
      </c>
      <c r="L65" s="35" t="n">
        <v>32000</v>
      </c>
      <c r="M65" s="3" t="inlineStr">
        <is>
          <t>CAD</t>
        </is>
      </c>
      <c r="N65" s="3" t="inlineStr">
        <is>
          <t>ALLOWANCE</t>
        </is>
      </c>
      <c r="O65" s="3" t="inlineStr">
        <is>
          <t>A-013</t>
        </is>
      </c>
      <c r="P65" s="3" t="inlineStr">
        <is>
          <t>LOW</t>
        </is>
      </c>
      <c r="Q65" s="3" t="inlineStr">
        <is>
          <t>CCTV inspection of storm drainage pipes; defect analysis; remediation recommendations; video file archival; assumes 800-1200 LM survey extent</t>
        </is>
      </c>
      <c r="R65" s="3">
        <f>VLOOKUP($F65,Inputs!$D$6:$E$41,2,FALSE)</f>
        <v/>
      </c>
      <c r="S65" s="36">
        <f>VLOOKUP($E65,Inputs!$A$6:$B$13,2,FALSE)*Inputs!$B$2</f>
        <v/>
      </c>
      <c r="T65" s="35">
        <f>$L65*$S65</f>
        <v/>
      </c>
      <c r="U65" s="35">
        <f>$L65+$T65</f>
        <v/>
      </c>
    </row>
    <row r="66">
      <c r="A66" s="3" t="inlineStr">
        <is>
          <t>PKG-03::L-006</t>
        </is>
      </c>
      <c r="B66" s="3" t="inlineStr">
        <is>
          <t>PKG-03</t>
        </is>
      </c>
      <c r="C66" s="3" t="inlineStr">
        <is>
          <t>DEL-03.01</t>
        </is>
      </c>
      <c r="D66" s="3" t="inlineStr">
        <is>
          <t>L-006</t>
        </is>
      </c>
      <c r="E66" s="3" t="inlineStr">
        <is>
          <t>MAT</t>
        </is>
      </c>
      <c r="F66" s="3" t="inlineStr">
        <is>
          <t>PKG-03</t>
        </is>
      </c>
      <c r="G66" s="3" t="inlineStr">
        <is>
          <t>DEL-03.01</t>
        </is>
      </c>
      <c r="H66" s="3" t="inlineStr">
        <is>
          <t>Storm drainage pipe and fittings</t>
        </is>
      </c>
      <c r="I66" s="22" t="n">
        <v>1</v>
      </c>
      <c r="J66" s="3" t="inlineStr">
        <is>
          <t>LS</t>
        </is>
      </c>
      <c r="K66" s="39" t="n">
        <v>185000</v>
      </c>
      <c r="L66" s="35" t="n">
        <v>185000</v>
      </c>
      <c r="M66" s="3" t="inlineStr">
        <is>
          <t>CAD</t>
        </is>
      </c>
      <c r="N66" s="3" t="inlineStr">
        <is>
          <t>ALLOWANCE</t>
        </is>
      </c>
      <c r="O66" s="3" t="inlineStr">
        <is>
          <t>A-001 + A-009</t>
        </is>
      </c>
      <c r="P66" s="3" t="inlineStr">
        <is>
          <t>LOW</t>
        </is>
      </c>
      <c r="Q66" s="3" t="inlineStr">
        <is>
          <t>HDPE/concrete/PVC storm pipes DN150-DN600; approximately 800-1200 LM total; includes fittings; bedding materials; pipe material pricing per A-009</t>
        </is>
      </c>
      <c r="R66" s="3">
        <f>VLOOKUP($F66,Inputs!$D$6:$E$41,2,FALSE)</f>
        <v/>
      </c>
      <c r="S66" s="36">
        <f>VLOOKUP($E66,Inputs!$A$6:$B$13,2,FALSE)*Inputs!$B$2</f>
        <v/>
      </c>
      <c r="T66" s="35">
        <f>$L66*$S66</f>
        <v/>
      </c>
      <c r="U66" s="35">
        <f>$L66+$T66</f>
        <v/>
      </c>
    </row>
    <row r="67">
      <c r="A67" s="3" t="inlineStr">
        <is>
          <t>PKG-03::L-007</t>
        </is>
      </c>
      <c r="B67" s="3" t="inlineStr">
        <is>
          <t>PKG-03</t>
        </is>
      </c>
      <c r="C67" s="3" t="inlineStr">
        <is>
          <t>DEL-03.01</t>
        </is>
      </c>
      <c r="D67" s="3" t="inlineStr">
        <is>
          <t>L-007</t>
        </is>
      </c>
      <c r="E67" s="3" t="inlineStr">
        <is>
          <t>MAT</t>
        </is>
      </c>
      <c r="F67" s="3" t="inlineStr">
        <is>
          <t>PKG-03</t>
        </is>
      </c>
      <c r="G67" s="3" t="inlineStr">
        <is>
          <t>DEL-03.01</t>
        </is>
      </c>
      <c r="H67" s="3" t="inlineStr">
        <is>
          <t>Manholes and catch basins</t>
        </is>
      </c>
      <c r="I67" s="22" t="n">
        <v>1</v>
      </c>
      <c r="J67" s="3" t="inlineStr">
        <is>
          <t>LS</t>
        </is>
      </c>
      <c r="K67" s="39" t="n">
        <v>155000</v>
      </c>
      <c r="L67" s="35" t="n">
        <v>155000</v>
      </c>
      <c r="M67" s="3" t="inlineStr">
        <is>
          <t>CAD</t>
        </is>
      </c>
      <c r="N67" s="3" t="inlineStr">
        <is>
          <t>ALLOWANCE</t>
        </is>
      </c>
      <c r="O67" s="3" t="inlineStr">
        <is>
          <t>A-002 + A-009</t>
        </is>
      </c>
      <c r="P67" s="3" t="inlineStr">
        <is>
          <t>LOW</t>
        </is>
      </c>
      <c r="Q67" s="3" t="inlineStr">
        <is>
          <t>Precast concrete manholes (15-25 units) and catch basins (25-40 units); includes frames/covers/castings; manhole pricing per A-009</t>
        </is>
      </c>
      <c r="R67" s="3">
        <f>VLOOKUP($F67,Inputs!$D$6:$E$41,2,FALSE)</f>
        <v/>
      </c>
      <c r="S67" s="36">
        <f>VLOOKUP($E67,Inputs!$A$6:$B$13,2,FALSE)*Inputs!$B$2</f>
        <v/>
      </c>
      <c r="T67" s="35">
        <f>$L67*$S67</f>
        <v/>
      </c>
      <c r="U67" s="35">
        <f>$L67+$T67</f>
        <v/>
      </c>
    </row>
    <row r="68">
      <c r="A68" s="3" t="inlineStr">
        <is>
          <t>PKG-03::L-008</t>
        </is>
      </c>
      <c r="B68" s="3" t="inlineStr">
        <is>
          <t>PKG-03</t>
        </is>
      </c>
      <c r="C68" s="3" t="inlineStr">
        <is>
          <t>DEL-03.04</t>
        </is>
      </c>
      <c r="D68" s="3" t="inlineStr">
        <is>
          <t>L-008</t>
        </is>
      </c>
      <c r="E68" s="3" t="inlineStr">
        <is>
          <t>MAT</t>
        </is>
      </c>
      <c r="F68" s="3" t="inlineStr">
        <is>
          <t>PKG-03</t>
        </is>
      </c>
      <c r="G68" s="3" t="inlineStr">
        <is>
          <t>DEL-03.04</t>
        </is>
      </c>
      <c r="H68" s="3" t="inlineStr">
        <is>
          <t>Oil-Water Separator equipment and instrumentation</t>
        </is>
      </c>
      <c r="I68" s="22" t="n">
        <v>1</v>
      </c>
      <c r="J68" s="3" t="inlineStr">
        <is>
          <t>LS</t>
        </is>
      </c>
      <c r="K68" s="39" t="n">
        <v>135000</v>
      </c>
      <c r="L68" s="35" t="n">
        <v>135000</v>
      </c>
      <c r="M68" s="3" t="inlineStr">
        <is>
          <t>CAD</t>
        </is>
      </c>
      <c r="N68" s="3" t="inlineStr">
        <is>
          <t>ALLOWANCE</t>
        </is>
      </c>
      <c r="O68" s="3" t="inlineStr">
        <is>
          <t>A-003 + A-009</t>
        </is>
      </c>
      <c r="P68" s="3" t="inlineStr">
        <is>
          <t>LOW</t>
        </is>
      </c>
      <c r="Q68" s="3" t="inlineStr">
        <is>
          <t>Packaged OWS unit 50-100 L/s capacity; includes internals; instrumentation (level; flow; oil layer monitors; alarms); piping/sumps; OWS pricing per A-009 and A-023 discharge limits</t>
        </is>
      </c>
      <c r="R68" s="3">
        <f>VLOOKUP($F68,Inputs!$D$6:$E$41,2,FALSE)</f>
        <v/>
      </c>
      <c r="S68" s="36">
        <f>VLOOKUP($E68,Inputs!$A$6:$B$13,2,FALSE)*Inputs!$B$2</f>
        <v/>
      </c>
      <c r="T68" s="35">
        <f>$L68*$S68</f>
        <v/>
      </c>
      <c r="U68" s="35">
        <f>$L68+$T68</f>
        <v/>
      </c>
    </row>
    <row r="69">
      <c r="A69" s="3" t="inlineStr">
        <is>
          <t>PKG-03::L-009</t>
        </is>
      </c>
      <c r="B69" s="3" t="inlineStr">
        <is>
          <t>PKG-03</t>
        </is>
      </c>
      <c r="C69" s="3" t="inlineStr">
        <is>
          <t>DEL-03.01</t>
        </is>
      </c>
      <c r="D69" s="3" t="inlineStr">
        <is>
          <t>L-009</t>
        </is>
      </c>
      <c r="E69" s="3" t="inlineStr">
        <is>
          <t>MAT</t>
        </is>
      </c>
      <c r="F69" s="3" t="inlineStr">
        <is>
          <t>PKG-03</t>
        </is>
      </c>
      <c r="G69" s="3" t="inlineStr">
        <is>
          <t>DEL-03.01</t>
        </is>
      </c>
      <c r="H69" s="3" t="inlineStr">
        <is>
          <t>Duct bank materials</t>
        </is>
      </c>
      <c r="I69" s="22" t="n">
        <v>1</v>
      </c>
      <c r="J69" s="3" t="inlineStr">
        <is>
          <t>LS</t>
        </is>
      </c>
      <c r="K69" s="39" t="n">
        <v>95000</v>
      </c>
      <c r="L69" s="35" t="n">
        <v>95000</v>
      </c>
      <c r="M69" s="3" t="inlineStr">
        <is>
          <t>CAD</t>
        </is>
      </c>
      <c r="N69" s="3" t="inlineStr">
        <is>
          <t>ALLOWANCE</t>
        </is>
      </c>
      <c r="O69" s="3" t="inlineStr">
        <is>
          <t>A-004 + A-009</t>
        </is>
      </c>
      <c r="P69" s="3" t="inlineStr">
        <is>
          <t>LOW</t>
        </is>
      </c>
      <c r="Q69" s="3" t="inlineStr">
        <is>
          <t>PVC/HDPE conduit 400-600 LM total; concrete encasement; pull boxes (10-15 units); conduit pricing per A-009</t>
        </is>
      </c>
      <c r="R69" s="3">
        <f>VLOOKUP($F69,Inputs!$D$6:$E$41,2,FALSE)</f>
        <v/>
      </c>
      <c r="S69" s="36">
        <f>VLOOKUP($E69,Inputs!$A$6:$B$13,2,FALSE)*Inputs!$B$2</f>
        <v/>
      </c>
      <c r="T69" s="35">
        <f>$L69*$S69</f>
        <v/>
      </c>
      <c r="U69" s="35">
        <f>$L69+$T69</f>
        <v/>
      </c>
    </row>
    <row r="70">
      <c r="A70" s="3" t="inlineStr">
        <is>
          <t>PKG-03::L-010</t>
        </is>
      </c>
      <c r="B70" s="3" t="inlineStr">
        <is>
          <t>PKG-03</t>
        </is>
      </c>
      <c r="C70" s="3" t="inlineStr">
        <is>
          <t>DEL-03.01</t>
        </is>
      </c>
      <c r="D70" s="3" t="inlineStr">
        <is>
          <t>L-010</t>
        </is>
      </c>
      <c r="E70" s="3" t="inlineStr">
        <is>
          <t>CD</t>
        </is>
      </c>
      <c r="F70" s="3" t="inlineStr">
        <is>
          <t>PKG-03</t>
        </is>
      </c>
      <c r="G70" s="3" t="inlineStr">
        <is>
          <t>DEL-03.01</t>
        </is>
      </c>
      <c r="H70" s="3" t="inlineStr">
        <is>
          <t>Storm drainage installation</t>
        </is>
      </c>
      <c r="I70" s="22" t="n">
        <v>1</v>
      </c>
      <c r="J70" s="3" t="inlineStr">
        <is>
          <t>LS</t>
        </is>
      </c>
      <c r="K70" s="39" t="n">
        <v>385000</v>
      </c>
      <c r="L70" s="35" t="n">
        <v>385000</v>
      </c>
      <c r="M70" s="3" t="inlineStr">
        <is>
          <t>CAD</t>
        </is>
      </c>
      <c r="N70" s="3" t="inlineStr">
        <is>
          <t>ALLOWANCE</t>
        </is>
      </c>
      <c r="O70" s="3" t="inlineStr">
        <is>
          <t>A-001 + A-010 + A-011 + A-015</t>
        </is>
      </c>
      <c r="P70" s="3" t="inlineStr">
        <is>
          <t>LOW</t>
        </is>
      </c>
      <c r="Q70" s="3" t="inlineStr">
        <is>
          <t>Excavation (1500-2500 m³); pipe laying (800-1200 LM); manhole/catch basin installation; backfill/compaction; includes dewatering (A-016); shoring (A-017); labor/equipment per A-010/A-011</t>
        </is>
      </c>
      <c r="R70" s="3">
        <f>VLOOKUP($F70,Inputs!$D$6:$E$41,2,FALSE)</f>
        <v/>
      </c>
      <c r="S70" s="36">
        <f>VLOOKUP($E70,Inputs!$A$6:$B$13,2,FALSE)*Inputs!$B$2</f>
        <v/>
      </c>
      <c r="T70" s="35">
        <f>$L70*$S70</f>
        <v/>
      </c>
      <c r="U70" s="35">
        <f>$L70+$T70</f>
        <v/>
      </c>
    </row>
    <row r="71">
      <c r="A71" s="3" t="inlineStr">
        <is>
          <t>PKG-03::L-011</t>
        </is>
      </c>
      <c r="B71" s="3" t="inlineStr">
        <is>
          <t>PKG-03</t>
        </is>
      </c>
      <c r="C71" s="3" t="inlineStr">
        <is>
          <t>DEL-03.04</t>
        </is>
      </c>
      <c r="D71" s="3" t="inlineStr">
        <is>
          <t>L-011</t>
        </is>
      </c>
      <c r="E71" s="3" t="inlineStr">
        <is>
          <t>CD</t>
        </is>
      </c>
      <c r="F71" s="3" t="inlineStr">
        <is>
          <t>PKG-03</t>
        </is>
      </c>
      <c r="G71" s="3" t="inlineStr">
        <is>
          <t>DEL-03.04</t>
        </is>
      </c>
      <c r="H71" s="3" t="inlineStr">
        <is>
          <t>OWS installation</t>
        </is>
      </c>
      <c r="I71" s="22" t="n">
        <v>1</v>
      </c>
      <c r="J71" s="3" t="inlineStr">
        <is>
          <t>LS</t>
        </is>
      </c>
      <c r="K71" s="39" t="n">
        <v>95000</v>
      </c>
      <c r="L71" s="35" t="n">
        <v>95000</v>
      </c>
      <c r="M71" s="3" t="inlineStr">
        <is>
          <t>CAD</t>
        </is>
      </c>
      <c r="N71" s="3" t="inlineStr">
        <is>
          <t>ALLOWANCE</t>
        </is>
      </c>
      <c r="O71" s="3" t="inlineStr">
        <is>
          <t>A-003 + A-010 + A-011</t>
        </is>
      </c>
      <c r="P71" s="3" t="inlineStr">
        <is>
          <t>LOW</t>
        </is>
      </c>
      <c r="Q71" s="3" t="inlineStr">
        <is>
          <t>OWS equipment installation; piping connections; instrumentation installation; sump construction; electrical tie-ins; testing support; labor/equipment per A-010/A-011</t>
        </is>
      </c>
      <c r="R71" s="3">
        <f>VLOOKUP($F71,Inputs!$D$6:$E$41,2,FALSE)</f>
        <v/>
      </c>
      <c r="S71" s="36">
        <f>VLOOKUP($E71,Inputs!$A$6:$B$13,2,FALSE)*Inputs!$B$2</f>
        <v/>
      </c>
      <c r="T71" s="35">
        <f>$L71*$S71</f>
        <v/>
      </c>
      <c r="U71" s="35">
        <f>$L71+$T71</f>
        <v/>
      </c>
    </row>
    <row r="72">
      <c r="A72" s="3" t="inlineStr">
        <is>
          <t>PKG-03::L-012</t>
        </is>
      </c>
      <c r="B72" s="3" t="inlineStr">
        <is>
          <t>PKG-03</t>
        </is>
      </c>
      <c r="C72" s="3" t="inlineStr">
        <is>
          <t>DEL-03.01</t>
        </is>
      </c>
      <c r="D72" s="3" t="inlineStr">
        <is>
          <t>L-012</t>
        </is>
      </c>
      <c r="E72" s="3" t="inlineStr">
        <is>
          <t>CD</t>
        </is>
      </c>
      <c r="F72" s="3" t="inlineStr">
        <is>
          <t>PKG-03</t>
        </is>
      </c>
      <c r="G72" s="3" t="inlineStr">
        <is>
          <t>DEL-03.01</t>
        </is>
      </c>
      <c r="H72" s="3" t="inlineStr">
        <is>
          <t>Duct bank installation</t>
        </is>
      </c>
      <c r="I72" s="22" t="n">
        <v>1</v>
      </c>
      <c r="J72" s="3" t="inlineStr">
        <is>
          <t>LS</t>
        </is>
      </c>
      <c r="K72" s="39" t="n">
        <v>145000</v>
      </c>
      <c r="L72" s="35" t="n">
        <v>145000</v>
      </c>
      <c r="M72" s="3" t="inlineStr">
        <is>
          <t>CAD</t>
        </is>
      </c>
      <c r="N72" s="3" t="inlineStr">
        <is>
          <t>ALLOWANCE</t>
        </is>
      </c>
      <c r="O72" s="3" t="inlineStr">
        <is>
          <t>A-004 + A-010 + A-011 + A-015</t>
        </is>
      </c>
      <c r="P72" s="3" t="inlineStr">
        <is>
          <t>LOW</t>
        </is>
      </c>
      <c r="Q72" s="3" t="inlineStr">
        <is>
          <t>Trench excavation; conduit installation; concrete encasement; pull box installation; backfill/compaction; includes shoring/dewatering; labor/equipment per A-010/A-011</t>
        </is>
      </c>
      <c r="R72" s="3">
        <f>VLOOKUP($F72,Inputs!$D$6:$E$41,2,FALSE)</f>
        <v/>
      </c>
      <c r="S72" s="36">
        <f>VLOOKUP($E72,Inputs!$A$6:$B$13,2,FALSE)*Inputs!$B$2</f>
        <v/>
      </c>
      <c r="T72" s="35">
        <f>$L72*$S72</f>
        <v/>
      </c>
      <c r="U72" s="35">
        <f>$L72+$T72</f>
        <v/>
      </c>
    </row>
    <row r="73">
      <c r="A73" s="3" t="inlineStr">
        <is>
          <t>PKG-03::L-013</t>
        </is>
      </c>
      <c r="B73" s="3" t="inlineStr">
        <is>
          <t>PKG-03</t>
        </is>
      </c>
      <c r="C73" s="3" t="inlineStr">
        <is>
          <t>DEL-03.01</t>
        </is>
      </c>
      <c r="D73" s="3" t="inlineStr">
        <is>
          <t>L-013</t>
        </is>
      </c>
      <c r="E73" s="3" t="inlineStr">
        <is>
          <t>CD</t>
        </is>
      </c>
      <c r="F73" s="3" t="inlineStr">
        <is>
          <t>PKG-03</t>
        </is>
      </c>
      <c r="G73" s="3" t="inlineStr">
        <is>
          <t>DEL-03.01</t>
        </is>
      </c>
      <c r="H73" s="3" t="inlineStr">
        <is>
          <t>Trenchless crossings</t>
        </is>
      </c>
      <c r="I73" s="22" t="n">
        <v>1</v>
      </c>
      <c r="J73" s="3" t="inlineStr">
        <is>
          <t>LS</t>
        </is>
      </c>
      <c r="K73" s="39" t="n">
        <v>265000</v>
      </c>
      <c r="L73" s="35" t="n">
        <v>265000</v>
      </c>
      <c r="M73" s="3" t="inlineStr">
        <is>
          <t>CAD</t>
        </is>
      </c>
      <c r="N73" s="3" t="inlineStr">
        <is>
          <t>ALLOWANCE</t>
        </is>
      </c>
      <c r="O73" s="3" t="inlineStr">
        <is>
          <t>A-005 + A-012</t>
        </is>
      </c>
      <c r="P73" s="3" t="inlineStr">
        <is>
          <t>LOW</t>
        </is>
      </c>
      <c r="Q73" s="3" t="inlineStr">
        <is>
          <t>Auger boring or HDD (4-8 crossings; 15-40m each); casing pipe DN200-DN600; carrier pipe installation; grouting; entry/exit pits; mobilization; boring services per A-012</t>
        </is>
      </c>
      <c r="R73" s="3">
        <f>VLOOKUP($F73,Inputs!$D$6:$E$41,2,FALSE)</f>
        <v/>
      </c>
      <c r="S73" s="36">
        <f>VLOOKUP($E73,Inputs!$A$6:$B$13,2,FALSE)*Inputs!$B$2</f>
        <v/>
      </c>
      <c r="T73" s="35">
        <f>$L73*$S73</f>
        <v/>
      </c>
      <c r="U73" s="35">
        <f>$L73+$T73</f>
        <v/>
      </c>
    </row>
    <row r="74">
      <c r="A74" s="3" t="inlineStr">
        <is>
          <t>PKG-03::L-014</t>
        </is>
      </c>
      <c r="B74" s="3" t="inlineStr">
        <is>
          <t>PKG-03</t>
        </is>
      </c>
      <c r="C74" s="3" t="inlineStr">
        <is>
          <t>DEL-03.05</t>
        </is>
      </c>
      <c r="D74" s="3" t="inlineStr">
        <is>
          <t>L-014</t>
        </is>
      </c>
      <c r="E74" s="3" t="inlineStr">
        <is>
          <t>CD</t>
        </is>
      </c>
      <c r="F74" s="3" t="inlineStr">
        <is>
          <t>PKG-03</t>
        </is>
      </c>
      <c r="G74" s="3" t="inlineStr">
        <is>
          <t>DEL-03.05</t>
        </is>
      </c>
      <c r="H74" s="3" t="inlineStr">
        <is>
          <t>Installation support and site works</t>
        </is>
      </c>
      <c r="I74" s="22" t="n">
        <v>1</v>
      </c>
      <c r="J74" s="3" t="inlineStr">
        <is>
          <t>LS</t>
        </is>
      </c>
      <c r="K74" s="39" t="n">
        <v>85000</v>
      </c>
      <c r="L74" s="35" t="n">
        <v>85000</v>
      </c>
      <c r="M74" s="3" t="inlineStr">
        <is>
          <t>CAD</t>
        </is>
      </c>
      <c r="N74" s="3" t="inlineStr">
        <is>
          <t>ALLOWANCE</t>
        </is>
      </c>
      <c r="O74" s="3" t="inlineStr">
        <is>
          <t>A-018 + A-019</t>
        </is>
      </c>
      <c r="P74" s="3" t="inlineStr">
        <is>
          <t>LOW</t>
        </is>
      </c>
      <c r="Q74" s="3" t="inlineStr">
        <is>
          <t>Traffic management and access control; environmental protection during construction (erosion/sediment control; SWPPP); site restoration; cleanup; assumptions per A-018 and A-019</t>
        </is>
      </c>
      <c r="R74" s="3">
        <f>VLOOKUP($F74,Inputs!$D$6:$E$41,2,FALSE)</f>
        <v/>
      </c>
      <c r="S74" s="36">
        <f>VLOOKUP($E74,Inputs!$A$6:$B$13,2,FALSE)*Inputs!$B$2</f>
        <v/>
      </c>
      <c r="T74" s="35">
        <f>$L74*$S74</f>
        <v/>
      </c>
      <c r="U74" s="35">
        <f>$L74+$T74</f>
        <v/>
      </c>
    </row>
    <row r="75">
      <c r="A75" s="3" t="inlineStr">
        <is>
          <t>PKG-03::L-015</t>
        </is>
      </c>
      <c r="B75" s="3" t="inlineStr">
        <is>
          <t>PKG-03</t>
        </is>
      </c>
      <c r="C75" s="3" t="n"/>
      <c r="D75" s="3" t="inlineStr">
        <is>
          <t>L-015</t>
        </is>
      </c>
      <c r="E75" s="3" t="inlineStr">
        <is>
          <t>CI</t>
        </is>
      </c>
      <c r="F75" s="3" t="inlineStr">
        <is>
          <t>PKG-03</t>
        </is>
      </c>
      <c r="G75" s="3" t="n"/>
      <c r="H75" s="3" t="inlineStr">
        <is>
          <t>Construction Indirects (factor-based)</t>
        </is>
      </c>
      <c r="I75" s="22" t="n">
        <v>1</v>
      </c>
      <c r="J75" s="3" t="inlineStr">
        <is>
          <t>LS</t>
        </is>
      </c>
      <c r="K75" s="39" t="n">
        <v>175500</v>
      </c>
      <c r="L75" s="35" t="n">
        <v>175500</v>
      </c>
      <c r="M75" s="3" t="inlineStr">
        <is>
          <t>CAD</t>
        </is>
      </c>
      <c r="N75" s="3" t="inlineStr">
        <is>
          <t>PARAMETRIC</t>
        </is>
      </c>
      <c r="O75" s="3" t="inlineStr">
        <is>
          <t>D-009 (factor=0.18)</t>
        </is>
      </c>
      <c r="P75" s="3" t="inlineStr">
        <is>
          <t>MEDIUM</t>
        </is>
      </c>
      <c r="Q75" s="3" t="inlineStr">
        <is>
          <t>CI = 0.18 × CD ($975k); includes site supervision; temporary facilities; HSE; QA/QC field inspection; construction management; small tools; per fallback typical model</t>
        </is>
      </c>
      <c r="R75" s="3">
        <f>VLOOKUP($F75,Inputs!$D$6:$E$41,2,FALSE)</f>
        <v/>
      </c>
      <c r="S75" s="36">
        <f>VLOOKUP($E75,Inputs!$A$6:$B$13,2,FALSE)*Inputs!$B$2</f>
        <v/>
      </c>
      <c r="T75" s="35">
        <f>$L75*$S75</f>
        <v/>
      </c>
      <c r="U75" s="35">
        <f>$L75+$T75</f>
        <v/>
      </c>
    </row>
    <row r="76">
      <c r="A76" s="3" t="inlineStr">
        <is>
          <t>PKG-03::L-016</t>
        </is>
      </c>
      <c r="B76" s="3" t="inlineStr">
        <is>
          <t>PKG-03</t>
        </is>
      </c>
      <c r="C76" s="3" t="n"/>
      <c r="D76" s="3" t="inlineStr">
        <is>
          <t>L-016</t>
        </is>
      </c>
      <c r="E76" s="3" t="inlineStr">
        <is>
          <t>P</t>
        </is>
      </c>
      <c r="F76" s="3" t="inlineStr">
        <is>
          <t>PKG-03</t>
        </is>
      </c>
      <c r="G76" s="3" t="n"/>
      <c r="H76" s="3" t="inlineStr">
        <is>
          <t>Procurement Services (factor-based)</t>
        </is>
      </c>
      <c r="I76" s="22" t="n">
        <v>1</v>
      </c>
      <c r="J76" s="3" t="inlineStr">
        <is>
          <t>LS</t>
        </is>
      </c>
      <c r="K76" s="39" t="n">
        <v>11400</v>
      </c>
      <c r="L76" s="35" t="n">
        <v>11400</v>
      </c>
      <c r="M76" s="3" t="inlineStr">
        <is>
          <t>CAD</t>
        </is>
      </c>
      <c r="N76" s="3" t="inlineStr">
        <is>
          <t>PARAMETRIC</t>
        </is>
      </c>
      <c r="O76" s="3" t="inlineStr">
        <is>
          <t>D-009 (factor=0.02)</t>
        </is>
      </c>
      <c r="P76" s="3" t="inlineStr">
        <is>
          <t>MEDIUM</t>
        </is>
      </c>
      <c r="Q76" s="3" t="inlineStr">
        <is>
          <t>P = 0.02 × MAT ($570k); includes material sourcing; PO processing; expediting; receiving inspection; material documentation; per fallback typical model</t>
        </is>
      </c>
      <c r="R76" s="3">
        <f>VLOOKUP($F76,Inputs!$D$6:$E$41,2,FALSE)</f>
        <v/>
      </c>
      <c r="S76" s="36">
        <f>VLOOKUP($E76,Inputs!$A$6:$B$13,2,FALSE)*Inputs!$B$2</f>
        <v/>
      </c>
      <c r="T76" s="35">
        <f>$L76*$S76</f>
        <v/>
      </c>
      <c r="U76" s="35">
        <f>$L76+$T76</f>
        <v/>
      </c>
    </row>
    <row r="77">
      <c r="A77" s="3" t="inlineStr">
        <is>
          <t>PKG-03::L-017</t>
        </is>
      </c>
      <c r="B77" s="3" t="inlineStr">
        <is>
          <t>PKG-03</t>
        </is>
      </c>
      <c r="C77" s="3" t="n"/>
      <c r="D77" s="3" t="inlineStr">
        <is>
          <t>L-017</t>
        </is>
      </c>
      <c r="E77" s="3" t="inlineStr">
        <is>
          <t>PM</t>
        </is>
      </c>
      <c r="F77" s="3" t="inlineStr">
        <is>
          <t>PKG-03</t>
        </is>
      </c>
      <c r="G77" s="3" t="n"/>
      <c r="H77" s="3" t="inlineStr">
        <is>
          <t>EPCM/Project Management (factor-based)</t>
        </is>
      </c>
      <c r="I77" s="22" t="n">
        <v>1</v>
      </c>
      <c r="J77" s="3" t="inlineStr">
        <is>
          <t>LS</t>
        </is>
      </c>
      <c r="K77" s="39" t="n">
        <v>103000</v>
      </c>
      <c r="L77" s="35" t="n">
        <v>103000</v>
      </c>
      <c r="M77" s="3" t="inlineStr">
        <is>
          <t>CAD</t>
        </is>
      </c>
      <c r="N77" s="3" t="inlineStr">
        <is>
          <t>PARAMETRIC</t>
        </is>
      </c>
      <c r="O77" s="3" t="inlineStr">
        <is>
          <t>D-009 (factor=0.06)</t>
        </is>
      </c>
      <c r="P77" s="3" t="inlineStr">
        <is>
          <t>MEDIUM</t>
        </is>
      </c>
      <c r="Q77" s="3" t="inlineStr">
        <is>
          <t>PM = 0.06 × (CD + CI + MAT) ($1721k); includes project management; engineering management; schedule/cost control; contract administration; stakeholder coordination; per fallback typical model</t>
        </is>
      </c>
      <c r="R77" s="3">
        <f>VLOOKUP($F77,Inputs!$D$6:$E$41,2,FALSE)</f>
        <v/>
      </c>
      <c r="S77" s="36">
        <f>VLOOKUP($E77,Inputs!$A$6:$B$13,2,FALSE)*Inputs!$B$2</f>
        <v/>
      </c>
      <c r="T77" s="35">
        <f>$L77*$S77</f>
        <v/>
      </c>
      <c r="U77" s="35">
        <f>$L77+$T77</f>
        <v/>
      </c>
    </row>
    <row r="78">
      <c r="A78" s="3" t="inlineStr">
        <is>
          <t>PKG-03::L-018</t>
        </is>
      </c>
      <c r="B78" s="3" t="inlineStr">
        <is>
          <t>PKG-03</t>
        </is>
      </c>
      <c r="C78" s="3" t="n"/>
      <c r="D78" s="3" t="inlineStr">
        <is>
          <t>L-018</t>
        </is>
      </c>
      <c r="E78" s="3" t="inlineStr">
        <is>
          <t>COM</t>
        </is>
      </c>
      <c r="F78" s="3" t="inlineStr">
        <is>
          <t>PKG-03</t>
        </is>
      </c>
      <c r="G78" s="3" t="n"/>
      <c r="H78" s="3" t="inlineStr">
        <is>
          <t>Commissioning (factor-based)</t>
        </is>
      </c>
      <c r="I78" s="22" t="n">
        <v>1</v>
      </c>
      <c r="J78" s="3" t="inlineStr">
        <is>
          <t>LS</t>
        </is>
      </c>
      <c r="K78" s="39" t="n">
        <v>52000</v>
      </c>
      <c r="L78" s="35" t="n">
        <v>52000</v>
      </c>
      <c r="M78" s="3" t="inlineStr">
        <is>
          <t>CAD</t>
        </is>
      </c>
      <c r="N78" s="3" t="inlineStr">
        <is>
          <t>PARAMETRIC</t>
        </is>
      </c>
      <c r="O78" s="3" t="inlineStr">
        <is>
          <t>D-009 (factor=0.03)</t>
        </is>
      </c>
      <c r="P78" s="3" t="inlineStr">
        <is>
          <t>MEDIUM</t>
        </is>
      </c>
      <c r="Q78" s="3" t="inlineStr">
        <is>
          <t>COM = 0.03 × (CD + CI + MAT) ($1721k); includes pre-commissioning; performance testing per DEL-03.05 (pressure testing; CCTV; OWS performance verification; as-built survey); system acceptance; handover; per fallback typical model</t>
        </is>
      </c>
      <c r="R78" s="3">
        <f>VLOOKUP($F78,Inputs!$D$6:$E$41,2,FALSE)</f>
        <v/>
      </c>
      <c r="S78" s="36">
        <f>VLOOKUP($E78,Inputs!$A$6:$B$13,2,FALSE)*Inputs!$B$2</f>
        <v/>
      </c>
      <c r="T78" s="35">
        <f>$L78*$S78</f>
        <v/>
      </c>
      <c r="U78" s="35">
        <f>$L78+$T78</f>
        <v/>
      </c>
    </row>
    <row r="79">
      <c r="A79" s="3" t="inlineStr">
        <is>
          <t>PKG-04::L001</t>
        </is>
      </c>
      <c r="B79" s="3" t="inlineStr">
        <is>
          <t>PKG-04</t>
        </is>
      </c>
      <c r="C79" s="3" t="inlineStr">
        <is>
          <t>DEL-04.01</t>
        </is>
      </c>
      <c r="D79" s="3" t="inlineStr">
        <is>
          <t>L001</t>
        </is>
      </c>
      <c r="E79" s="3" t="inlineStr">
        <is>
          <t>E</t>
        </is>
      </c>
      <c r="F79" s="3" t="inlineStr">
        <is>
          <t>PKG-04</t>
        </is>
      </c>
      <c r="G79" s="3" t="inlineStr">
        <is>
          <t>DEL-04.01</t>
        </is>
      </c>
      <c r="H79" s="3" t="inlineStr">
        <is>
          <t>Pavement Design Drawing Set - CAD drafting (paving layout plans sections details line marking plans)</t>
        </is>
      </c>
      <c r="I79" s="22" t="n">
        <v>1</v>
      </c>
      <c r="J79" s="3" t="inlineStr">
        <is>
          <t>LS</t>
        </is>
      </c>
      <c r="K79" s="39" t="n">
        <v>32000</v>
      </c>
      <c r="L79" s="35" t="n">
        <v>32000</v>
      </c>
      <c r="M79" s="3" t="inlineStr">
        <is>
          <t>CAD</t>
        </is>
      </c>
      <c r="N79" s="3" t="inlineStr">
        <is>
          <t>ALLOWANCE</t>
        </is>
      </c>
      <c r="O79" s="3" t="inlineStr">
        <is>
          <t>A-007</t>
        </is>
      </c>
      <c r="P79" s="3" t="inlineStr">
        <is>
          <t>LOW</t>
        </is>
      </c>
      <c r="Q79" s="3" t="inlineStr">
        <is>
          <t>~10-12 sheets at $3k/sheet average</t>
        </is>
      </c>
      <c r="R79" s="3">
        <f>VLOOKUP($F79,Inputs!$D$6:$E$41,2,FALSE)</f>
        <v/>
      </c>
      <c r="S79" s="36">
        <f>VLOOKUP($E79,Inputs!$A$6:$B$13,2,FALSE)*Inputs!$B$2</f>
        <v/>
      </c>
      <c r="T79" s="35">
        <f>$L79*$S79</f>
        <v/>
      </c>
      <c r="U79" s="35">
        <f>$L79+$T79</f>
        <v/>
      </c>
    </row>
    <row r="80">
      <c r="A80" s="3" t="inlineStr">
        <is>
          <t>PKG-04::L002</t>
        </is>
      </c>
      <c r="B80" s="3" t="inlineStr">
        <is>
          <t>PKG-04</t>
        </is>
      </c>
      <c r="C80" s="3" t="inlineStr">
        <is>
          <t>DEL-04.02</t>
        </is>
      </c>
      <c r="D80" s="3" t="inlineStr">
        <is>
          <t>L002</t>
        </is>
      </c>
      <c r="E80" s="3" t="inlineStr">
        <is>
          <t>E</t>
        </is>
      </c>
      <c r="F80" s="3" t="inlineStr">
        <is>
          <t>PKG-04</t>
        </is>
      </c>
      <c r="G80" s="3" t="inlineStr">
        <is>
          <t>DEL-04.02</t>
        </is>
      </c>
      <c r="H80" s="3" t="inlineStr">
        <is>
          <t>Pavement Technical Specification - specification writing (asphalt concrete base line marking QC specs)</t>
        </is>
      </c>
      <c r="I80" s="22" t="n">
        <v>1</v>
      </c>
      <c r="J80" s="3" t="inlineStr">
        <is>
          <t>LS</t>
        </is>
      </c>
      <c r="K80" s="39" t="n">
        <v>8000</v>
      </c>
      <c r="L80" s="35" t="n">
        <v>8000</v>
      </c>
      <c r="M80" s="3" t="inlineStr">
        <is>
          <t>CAD</t>
        </is>
      </c>
      <c r="N80" s="3" t="inlineStr">
        <is>
          <t>ALLOWANCE</t>
        </is>
      </c>
      <c r="O80" s="3" t="inlineStr">
        <is>
          <t>A-008</t>
        </is>
      </c>
      <c r="P80" s="3" t="inlineStr">
        <is>
          <t>LOW</t>
        </is>
      </c>
      <c r="Q80" s="3" t="inlineStr">
        <is>
          <t>~50 hours at $160/hr</t>
        </is>
      </c>
      <c r="R80" s="3">
        <f>VLOOKUP($F80,Inputs!$D$6:$E$41,2,FALSE)</f>
        <v/>
      </c>
      <c r="S80" s="36">
        <f>VLOOKUP($E80,Inputs!$A$6:$B$13,2,FALSE)*Inputs!$B$2</f>
        <v/>
      </c>
      <c r="T80" s="35">
        <f>$L80*$S80</f>
        <v/>
      </c>
      <c r="U80" s="35">
        <f>$L80+$T80</f>
        <v/>
      </c>
    </row>
    <row r="81">
      <c r="A81" s="3" t="inlineStr">
        <is>
          <t>PKG-04::L003</t>
        </is>
      </c>
      <c r="B81" s="3" t="inlineStr">
        <is>
          <t>PKG-04</t>
        </is>
      </c>
      <c r="C81" s="3" t="inlineStr">
        <is>
          <t>DEL-04.03</t>
        </is>
      </c>
      <c r="D81" s="3" t="inlineStr">
        <is>
          <t>L003</t>
        </is>
      </c>
      <c r="E81" s="3" t="inlineStr">
        <is>
          <t>E</t>
        </is>
      </c>
      <c r="F81" s="3" t="inlineStr">
        <is>
          <t>PKG-04</t>
        </is>
      </c>
      <c r="G81" s="3" t="inlineStr">
        <is>
          <t>DEL-04.03</t>
        </is>
      </c>
      <c r="H81" s="3" t="inlineStr">
        <is>
          <t>Pavement Design Calculations - layer thickness design load analysis structural capacity verification</t>
        </is>
      </c>
      <c r="I81" s="22" t="n">
        <v>1</v>
      </c>
      <c r="J81" s="3" t="inlineStr">
        <is>
          <t>LS</t>
        </is>
      </c>
      <c r="K81" s="39" t="n">
        <v>12000</v>
      </c>
      <c r="L81" s="35" t="n">
        <v>12000</v>
      </c>
      <c r="M81" s="3" t="inlineStr">
        <is>
          <t>CAD</t>
        </is>
      </c>
      <c r="N81" s="3" t="inlineStr">
        <is>
          <t>ALLOWANCE</t>
        </is>
      </c>
      <c r="O81" s="3" t="inlineStr">
        <is>
          <t>A-009</t>
        </is>
      </c>
      <c r="P81" s="3" t="inlineStr">
        <is>
          <t>LOW</t>
        </is>
      </c>
      <c r="Q81" s="3" t="inlineStr">
        <is>
          <t>~60 hours at $200/hr</t>
        </is>
      </c>
      <c r="R81" s="3">
        <f>VLOOKUP($F81,Inputs!$D$6:$E$41,2,FALSE)</f>
        <v/>
      </c>
      <c r="S81" s="36">
        <f>VLOOKUP($E81,Inputs!$A$6:$B$13,2,FALSE)*Inputs!$B$2</f>
        <v/>
      </c>
      <c r="T81" s="35">
        <f>$L81*$S81</f>
        <v/>
      </c>
      <c r="U81" s="35">
        <f>$L81+$T81</f>
        <v/>
      </c>
    </row>
    <row r="82">
      <c r="A82" s="3" t="inlineStr">
        <is>
          <t>PKG-04::L004</t>
        </is>
      </c>
      <c r="B82" s="3" t="inlineStr">
        <is>
          <t>PKG-04</t>
        </is>
      </c>
      <c r="C82" s="3" t="inlineStr">
        <is>
          <t>DEL-04.04</t>
        </is>
      </c>
      <c r="D82" s="3" t="inlineStr">
        <is>
          <t>L004</t>
        </is>
      </c>
      <c r="E82" s="3" t="inlineStr">
        <is>
          <t>E</t>
        </is>
      </c>
      <c r="F82" s="3" t="inlineStr">
        <is>
          <t>PKG-04</t>
        </is>
      </c>
      <c r="G82" s="3" t="inlineStr">
        <is>
          <t>DEL-04.04</t>
        </is>
      </c>
      <c r="H82" s="3" t="inlineStr">
        <is>
          <t>Pavement QA/QC Records Compilation - test records documentation acceptance records</t>
        </is>
      </c>
      <c r="I82" s="22" t="n">
        <v>1</v>
      </c>
      <c r="J82" s="3" t="inlineStr">
        <is>
          <t>LS</t>
        </is>
      </c>
      <c r="K82" s="39" t="n">
        <v>10000</v>
      </c>
      <c r="L82" s="35" t="n">
        <v>10000</v>
      </c>
      <c r="M82" s="3" t="inlineStr">
        <is>
          <t>CAD</t>
        </is>
      </c>
      <c r="N82" s="3" t="inlineStr">
        <is>
          <t>ALLOWANCE</t>
        </is>
      </c>
      <c r="O82" s="3" t="inlineStr">
        <is>
          <t>A-010</t>
        </is>
      </c>
      <c r="P82" s="3" t="inlineStr">
        <is>
          <t>LOW</t>
        </is>
      </c>
      <c r="Q82" s="3" t="inlineStr">
        <is>
          <t>~80 hours at $125/hr</t>
        </is>
      </c>
      <c r="R82" s="3">
        <f>VLOOKUP($F82,Inputs!$D$6:$E$41,2,FALSE)</f>
        <v/>
      </c>
      <c r="S82" s="36">
        <f>VLOOKUP($E82,Inputs!$A$6:$B$13,2,FALSE)*Inputs!$B$2</f>
        <v/>
      </c>
      <c r="T82" s="35">
        <f>$L82*$S82</f>
        <v/>
      </c>
      <c r="U82" s="35">
        <f>$L82+$T82</f>
        <v/>
      </c>
    </row>
    <row r="83">
      <c r="A83" s="3" t="inlineStr">
        <is>
          <t>PKG-04::L005</t>
        </is>
      </c>
      <c r="B83" s="3" t="inlineStr">
        <is>
          <t>PKG-04</t>
        </is>
      </c>
      <c r="C83" s="3" t="n"/>
      <c r="D83" s="3" t="inlineStr">
        <is>
          <t>L005</t>
        </is>
      </c>
      <c r="E83" s="3" t="inlineStr">
        <is>
          <t>MAT</t>
        </is>
      </c>
      <c r="F83" s="3" t="inlineStr">
        <is>
          <t>PKG-04</t>
        </is>
      </c>
      <c r="G83" s="3" t="n"/>
      <c r="H83" s="3" t="inlineStr">
        <is>
          <t>Asphalt Concrete Supply - dense-graded HMA for wearing/binder/base courses (~35000 m² × 150mm avg)</t>
        </is>
      </c>
      <c r="I83" s="22" t="n">
        <v>1</v>
      </c>
      <c r="J83" s="3" t="inlineStr">
        <is>
          <t>LS</t>
        </is>
      </c>
      <c r="K83" s="39" t="n">
        <v>700000</v>
      </c>
      <c r="L83" s="35" t="n">
        <v>700000</v>
      </c>
      <c r="M83" s="3" t="inlineStr">
        <is>
          <t>CAD</t>
        </is>
      </c>
      <c r="N83" s="3" t="inlineStr">
        <is>
          <t>ALLOWANCE</t>
        </is>
      </c>
      <c r="O83" s="3" t="inlineStr">
        <is>
          <t>A-001</t>
        </is>
      </c>
      <c r="P83" s="3" t="inlineStr">
        <is>
          <t>LOW</t>
        </is>
      </c>
      <c r="Q83" s="3" t="inlineStr">
        <is>
          <t>~8000 tonnes at $85/tonne</t>
        </is>
      </c>
      <c r="R83" s="3">
        <f>VLOOKUP($F83,Inputs!$D$6:$E$41,2,FALSE)</f>
        <v/>
      </c>
      <c r="S83" s="36">
        <f>VLOOKUP($E83,Inputs!$A$6:$B$13,2,FALSE)*Inputs!$B$2</f>
        <v/>
      </c>
      <c r="T83" s="35">
        <f>$L83*$S83</f>
        <v/>
      </c>
      <c r="U83" s="35">
        <f>$L83+$T83</f>
        <v/>
      </c>
    </row>
    <row r="84">
      <c r="A84" s="3" t="inlineStr">
        <is>
          <t>PKG-04::L006</t>
        </is>
      </c>
      <c r="B84" s="3" t="inlineStr">
        <is>
          <t>PKG-04</t>
        </is>
      </c>
      <c r="C84" s="3" t="n"/>
      <c r="D84" s="3" t="inlineStr">
        <is>
          <t>L006</t>
        </is>
      </c>
      <c r="E84" s="3" t="inlineStr">
        <is>
          <t>CD</t>
        </is>
      </c>
      <c r="F84" s="3" t="inlineStr">
        <is>
          <t>PKG-04</t>
        </is>
      </c>
      <c r="G84" s="3" t="n"/>
      <c r="H84" s="3" t="inlineStr">
        <is>
          <t>Asphalt Paving Installation - place and compact wearing/binder/base courses (~35000 m²)</t>
        </is>
      </c>
      <c r="I84" s="22" t="n">
        <v>1</v>
      </c>
      <c r="J84" s="3" t="inlineStr">
        <is>
          <t>LS</t>
        </is>
      </c>
      <c r="K84" s="39" t="n">
        <v>525000</v>
      </c>
      <c r="L84" s="35" t="n">
        <v>525000</v>
      </c>
      <c r="M84" s="3" t="inlineStr">
        <is>
          <t>CAD</t>
        </is>
      </c>
      <c r="N84" s="3" t="inlineStr">
        <is>
          <t>ALLOWANCE</t>
        </is>
      </c>
      <c r="O84" s="3" t="inlineStr">
        <is>
          <t>A-001</t>
        </is>
      </c>
      <c r="P84" s="3" t="inlineStr">
        <is>
          <t>LOW</t>
        </is>
      </c>
      <c r="Q84" s="3" t="inlineStr">
        <is>
          <t>$15/m² placement + compaction labor</t>
        </is>
      </c>
      <c r="R84" s="3">
        <f>VLOOKUP($F84,Inputs!$D$6:$E$41,2,FALSE)</f>
        <v/>
      </c>
      <c r="S84" s="36">
        <f>VLOOKUP($E84,Inputs!$A$6:$B$13,2,FALSE)*Inputs!$B$2</f>
        <v/>
      </c>
      <c r="T84" s="35">
        <f>$L84*$S84</f>
        <v/>
      </c>
      <c r="U84" s="35">
        <f>$L84+$T84</f>
        <v/>
      </c>
    </row>
    <row r="85">
      <c r="A85" s="3" t="inlineStr">
        <is>
          <t>PKG-04::L007</t>
        </is>
      </c>
      <c r="B85" s="3" t="inlineStr">
        <is>
          <t>PKG-04</t>
        </is>
      </c>
      <c r="C85" s="3" t="n"/>
      <c r="D85" s="3" t="inlineStr">
        <is>
          <t>L007</t>
        </is>
      </c>
      <c r="E85" s="3" t="inlineStr">
        <is>
          <t>MAT</t>
        </is>
      </c>
      <c r="F85" s="3" t="inlineStr">
        <is>
          <t>PKG-04</t>
        </is>
      </c>
      <c r="G85" s="3" t="n"/>
      <c r="H85" s="3" t="inlineStr">
        <is>
          <t>Concrete Paving Materials - PCC for heavy load areas (~10000 m² × 200mm)</t>
        </is>
      </c>
      <c r="I85" s="22" t="n">
        <v>1</v>
      </c>
      <c r="J85" s="3" t="inlineStr">
        <is>
          <t>LS</t>
        </is>
      </c>
      <c r="K85" s="39" t="n">
        <v>400000</v>
      </c>
      <c r="L85" s="35" t="n">
        <v>400000</v>
      </c>
      <c r="M85" s="3" t="inlineStr">
        <is>
          <t>CAD</t>
        </is>
      </c>
      <c r="N85" s="3" t="inlineStr">
        <is>
          <t>ALLOWANCE</t>
        </is>
      </c>
      <c r="O85" s="3" t="inlineStr">
        <is>
          <t>A-002</t>
        </is>
      </c>
      <c r="P85" s="3" t="inlineStr">
        <is>
          <t>LOW</t>
        </is>
      </c>
      <c r="Q85" s="3" t="inlineStr">
        <is>
          <t>$40/m² material (concrete reinforcement joints)</t>
        </is>
      </c>
      <c r="R85" s="3">
        <f>VLOOKUP($F85,Inputs!$D$6:$E$41,2,FALSE)</f>
        <v/>
      </c>
      <c r="S85" s="36">
        <f>VLOOKUP($E85,Inputs!$A$6:$B$13,2,FALSE)*Inputs!$B$2</f>
        <v/>
      </c>
      <c r="T85" s="35">
        <f>$L85*$S85</f>
        <v/>
      </c>
      <c r="U85" s="35">
        <f>$L85+$T85</f>
        <v/>
      </c>
    </row>
    <row r="86">
      <c r="A86" s="3" t="inlineStr">
        <is>
          <t>PKG-04::L008</t>
        </is>
      </c>
      <c r="B86" s="3" t="inlineStr">
        <is>
          <t>PKG-04</t>
        </is>
      </c>
      <c r="C86" s="3" t="n"/>
      <c r="D86" s="3" t="inlineStr">
        <is>
          <t>L008</t>
        </is>
      </c>
      <c r="E86" s="3" t="inlineStr">
        <is>
          <t>CD</t>
        </is>
      </c>
      <c r="F86" s="3" t="inlineStr">
        <is>
          <t>PKG-04</t>
        </is>
      </c>
      <c r="G86" s="3" t="n"/>
      <c r="H86" s="3" t="inlineStr">
        <is>
          <t>Concrete Paving Installation - place finish cure joint sawing (~10000 m²)</t>
        </is>
      </c>
      <c r="I86" s="22" t="n">
        <v>1</v>
      </c>
      <c r="J86" s="3" t="inlineStr">
        <is>
          <t>LS</t>
        </is>
      </c>
      <c r="K86" s="39" t="n">
        <v>700000</v>
      </c>
      <c r="L86" s="35" t="n">
        <v>700000</v>
      </c>
      <c r="M86" s="3" t="inlineStr">
        <is>
          <t>CAD</t>
        </is>
      </c>
      <c r="N86" s="3" t="inlineStr">
        <is>
          <t>ALLOWANCE</t>
        </is>
      </c>
      <c r="O86" s="3" t="inlineStr">
        <is>
          <t>A-002</t>
        </is>
      </c>
      <c r="P86" s="3" t="inlineStr">
        <is>
          <t>LOW</t>
        </is>
      </c>
      <c r="Q86" s="3" t="inlineStr">
        <is>
          <t>$70/m² placement finishing curing</t>
        </is>
      </c>
      <c r="R86" s="3">
        <f>VLOOKUP($F86,Inputs!$D$6:$E$41,2,FALSE)</f>
        <v/>
      </c>
      <c r="S86" s="36">
        <f>VLOOKUP($E86,Inputs!$A$6:$B$13,2,FALSE)*Inputs!$B$2</f>
        <v/>
      </c>
      <c r="T86" s="35">
        <f>$L86*$S86</f>
        <v/>
      </c>
      <c r="U86" s="35">
        <f>$L86+$T86</f>
        <v/>
      </c>
    </row>
    <row r="87">
      <c r="A87" s="3" t="inlineStr">
        <is>
          <t>PKG-04::L009</t>
        </is>
      </c>
      <c r="B87" s="3" t="inlineStr">
        <is>
          <t>PKG-04</t>
        </is>
      </c>
      <c r="C87" s="3" t="n"/>
      <c r="D87" s="3" t="inlineStr">
        <is>
          <t>L009</t>
        </is>
      </c>
      <c r="E87" s="3" t="inlineStr">
        <is>
          <t>MAT</t>
        </is>
      </c>
      <c r="F87" s="3" t="inlineStr">
        <is>
          <t>PKG-04</t>
        </is>
      </c>
      <c r="G87" s="3" t="n"/>
      <c r="H87" s="3" t="inlineStr">
        <is>
          <t>Granular Base Course Material - crushed aggregate base (~45000 m² × 200mm)</t>
        </is>
      </c>
      <c r="I87" s="22" t="n">
        <v>1</v>
      </c>
      <c r="J87" s="3" t="inlineStr">
        <is>
          <t>LS</t>
        </is>
      </c>
      <c r="K87" s="39" t="n">
        <v>315000</v>
      </c>
      <c r="L87" s="35" t="n">
        <v>315000</v>
      </c>
      <c r="M87" s="3" t="inlineStr">
        <is>
          <t>CAD</t>
        </is>
      </c>
      <c r="N87" s="3" t="inlineStr">
        <is>
          <t>ALLOWANCE</t>
        </is>
      </c>
      <c r="O87" s="3" t="inlineStr">
        <is>
          <t>A-011</t>
        </is>
      </c>
      <c r="P87" s="3" t="inlineStr">
        <is>
          <t>LOW</t>
        </is>
      </c>
      <c r="Q87" s="3" t="inlineStr">
        <is>
          <t>~13500 tonnes at $23/tonne delivered</t>
        </is>
      </c>
      <c r="R87" s="3">
        <f>VLOOKUP($F87,Inputs!$D$6:$E$41,2,FALSE)</f>
        <v/>
      </c>
      <c r="S87" s="36">
        <f>VLOOKUP($E87,Inputs!$A$6:$B$13,2,FALSE)*Inputs!$B$2</f>
        <v/>
      </c>
      <c r="T87" s="35">
        <f>$L87*$S87</f>
        <v/>
      </c>
      <c r="U87" s="35">
        <f>$L87+$T87</f>
        <v/>
      </c>
    </row>
    <row r="88">
      <c r="A88" s="3" t="inlineStr">
        <is>
          <t>PKG-04::L010</t>
        </is>
      </c>
      <c r="B88" s="3" t="inlineStr">
        <is>
          <t>PKG-04</t>
        </is>
      </c>
      <c r="C88" s="3" t="n"/>
      <c r="D88" s="3" t="inlineStr">
        <is>
          <t>L010</t>
        </is>
      </c>
      <c r="E88" s="3" t="inlineStr">
        <is>
          <t>CD</t>
        </is>
      </c>
      <c r="F88" s="3" t="inlineStr">
        <is>
          <t>PKG-04</t>
        </is>
      </c>
      <c r="G88" s="3" t="n"/>
      <c r="H88" s="3" t="inlineStr">
        <is>
          <t>Base Course Placement and Compaction (~45000 m²)</t>
        </is>
      </c>
      <c r="I88" s="22" t="n">
        <v>1</v>
      </c>
      <c r="J88" s="3" t="inlineStr">
        <is>
          <t>LS</t>
        </is>
      </c>
      <c r="K88" s="39" t="n">
        <v>180000</v>
      </c>
      <c r="L88" s="35" t="n">
        <v>180000</v>
      </c>
      <c r="M88" s="3" t="inlineStr">
        <is>
          <t>CAD</t>
        </is>
      </c>
      <c r="N88" s="3" t="inlineStr">
        <is>
          <t>ALLOWANCE</t>
        </is>
      </c>
      <c r="O88" s="3" t="inlineStr">
        <is>
          <t>A-011</t>
        </is>
      </c>
      <c r="P88" s="3" t="inlineStr">
        <is>
          <t>LOW</t>
        </is>
      </c>
      <c r="Q88" s="3" t="inlineStr">
        <is>
          <t>$4/m² spread and compact</t>
        </is>
      </c>
      <c r="R88" s="3">
        <f>VLOOKUP($F88,Inputs!$D$6:$E$41,2,FALSE)</f>
        <v/>
      </c>
      <c r="S88" s="36">
        <f>VLOOKUP($E88,Inputs!$A$6:$B$13,2,FALSE)*Inputs!$B$2</f>
        <v/>
      </c>
      <c r="T88" s="35">
        <f>$L88*$S88</f>
        <v/>
      </c>
      <c r="U88" s="35">
        <f>$L88+$T88</f>
        <v/>
      </c>
    </row>
    <row r="89">
      <c r="A89" s="3" t="inlineStr">
        <is>
          <t>PKG-04::L011</t>
        </is>
      </c>
      <c r="B89" s="3" t="inlineStr">
        <is>
          <t>PKG-04</t>
        </is>
      </c>
      <c r="C89" s="3" t="n"/>
      <c r="D89" s="3" t="inlineStr">
        <is>
          <t>L011</t>
        </is>
      </c>
      <c r="E89" s="3" t="inlineStr">
        <is>
          <t>MAT</t>
        </is>
      </c>
      <c r="F89" s="3" t="inlineStr">
        <is>
          <t>PKG-04</t>
        </is>
      </c>
      <c r="G89" s="3" t="n"/>
      <c r="H89" s="3" t="inlineStr">
        <is>
          <t>Curb and Gutter Materials - precast or cast-in-place concrete (~2500 lm)</t>
        </is>
      </c>
      <c r="I89" s="22" t="n">
        <v>1</v>
      </c>
      <c r="J89" s="3" t="inlineStr">
        <is>
          <t>LS</t>
        </is>
      </c>
      <c r="K89" s="39" t="n">
        <v>75000</v>
      </c>
      <c r="L89" s="35" t="n">
        <v>75000</v>
      </c>
      <c r="M89" s="3" t="inlineStr">
        <is>
          <t>CAD</t>
        </is>
      </c>
      <c r="N89" s="3" t="inlineStr">
        <is>
          <t>ALLOWANCE</t>
        </is>
      </c>
      <c r="O89" s="3" t="inlineStr">
        <is>
          <t>A-003</t>
        </is>
      </c>
      <c r="P89" s="3" t="inlineStr">
        <is>
          <t>LOW</t>
        </is>
      </c>
      <c r="Q89" s="3" t="inlineStr">
        <is>
          <t>$30/lm material</t>
        </is>
      </c>
      <c r="R89" s="3">
        <f>VLOOKUP($F89,Inputs!$D$6:$E$41,2,FALSE)</f>
        <v/>
      </c>
      <c r="S89" s="36">
        <f>VLOOKUP($E89,Inputs!$A$6:$B$13,2,FALSE)*Inputs!$B$2</f>
        <v/>
      </c>
      <c r="T89" s="35">
        <f>$L89*$S89</f>
        <v/>
      </c>
      <c r="U89" s="35">
        <f>$L89+$T89</f>
        <v/>
      </c>
    </row>
    <row r="90">
      <c r="A90" s="3" t="inlineStr">
        <is>
          <t>PKG-04::L012</t>
        </is>
      </c>
      <c r="B90" s="3" t="inlineStr">
        <is>
          <t>PKG-04</t>
        </is>
      </c>
      <c r="C90" s="3" t="n"/>
      <c r="D90" s="3" t="inlineStr">
        <is>
          <t>L012</t>
        </is>
      </c>
      <c r="E90" s="3" t="inlineStr">
        <is>
          <t>CD</t>
        </is>
      </c>
      <c r="F90" s="3" t="inlineStr">
        <is>
          <t>PKG-04</t>
        </is>
      </c>
      <c r="G90" s="3" t="n"/>
      <c r="H90" s="3" t="inlineStr">
        <is>
          <t>Curb and Gutter Installation - forming placing finishing (~2500 lm)</t>
        </is>
      </c>
      <c r="I90" s="22" t="n">
        <v>1</v>
      </c>
      <c r="J90" s="3" t="inlineStr">
        <is>
          <t>LS</t>
        </is>
      </c>
      <c r="K90" s="39" t="n">
        <v>125000</v>
      </c>
      <c r="L90" s="35" t="n">
        <v>125000</v>
      </c>
      <c r="M90" s="3" t="inlineStr">
        <is>
          <t>CAD</t>
        </is>
      </c>
      <c r="N90" s="3" t="inlineStr">
        <is>
          <t>ALLOWANCE</t>
        </is>
      </c>
      <c r="O90" s="3" t="inlineStr">
        <is>
          <t>A-003</t>
        </is>
      </c>
      <c r="P90" s="3" t="inlineStr">
        <is>
          <t>LOW</t>
        </is>
      </c>
      <c r="Q90" s="3" t="inlineStr">
        <is>
          <t>$50/lm labor equipment</t>
        </is>
      </c>
      <c r="R90" s="3">
        <f>VLOOKUP($F90,Inputs!$D$6:$E$41,2,FALSE)</f>
        <v/>
      </c>
      <c r="S90" s="36">
        <f>VLOOKUP($E90,Inputs!$A$6:$B$13,2,FALSE)*Inputs!$B$2</f>
        <v/>
      </c>
      <c r="T90" s="35">
        <f>$L90*$S90</f>
        <v/>
      </c>
      <c r="U90" s="35">
        <f>$L90+$T90</f>
        <v/>
      </c>
    </row>
    <row r="91">
      <c r="A91" s="3" t="inlineStr">
        <is>
          <t>PKG-04::L013</t>
        </is>
      </c>
      <c r="B91" s="3" t="inlineStr">
        <is>
          <t>PKG-04</t>
        </is>
      </c>
      <c r="C91" s="3" t="n"/>
      <c r="D91" s="3" t="inlineStr">
        <is>
          <t>L013</t>
        </is>
      </c>
      <c r="E91" s="3" t="inlineStr">
        <is>
          <t>MAT</t>
        </is>
      </c>
      <c r="F91" s="3" t="inlineStr">
        <is>
          <t>PKG-04</t>
        </is>
      </c>
      <c r="G91" s="3" t="n"/>
      <c r="H91" s="3" t="inlineStr">
        <is>
          <t>Sidewalk Materials - concrete (~600 m² × 100mm)</t>
        </is>
      </c>
      <c r="I91" s="22" t="n">
        <v>1</v>
      </c>
      <c r="J91" s="3" t="inlineStr">
        <is>
          <t>LS</t>
        </is>
      </c>
      <c r="K91" s="39" t="n">
        <v>18000</v>
      </c>
      <c r="L91" s="35" t="n">
        <v>18000</v>
      </c>
      <c r="M91" s="3" t="inlineStr">
        <is>
          <t>CAD</t>
        </is>
      </c>
      <c r="N91" s="3" t="inlineStr">
        <is>
          <t>ALLOWANCE</t>
        </is>
      </c>
      <c r="O91" s="3" t="inlineStr">
        <is>
          <t>A-004</t>
        </is>
      </c>
      <c r="P91" s="3" t="inlineStr">
        <is>
          <t>LOW</t>
        </is>
      </c>
      <c r="Q91" s="3" t="inlineStr">
        <is>
          <t>$30/m² material</t>
        </is>
      </c>
      <c r="R91" s="3">
        <f>VLOOKUP($F91,Inputs!$D$6:$E$41,2,FALSE)</f>
        <v/>
      </c>
      <c r="S91" s="36">
        <f>VLOOKUP($E91,Inputs!$A$6:$B$13,2,FALSE)*Inputs!$B$2</f>
        <v/>
      </c>
      <c r="T91" s="35">
        <f>$L91*$S91</f>
        <v/>
      </c>
      <c r="U91" s="35">
        <f>$L91+$T91</f>
        <v/>
      </c>
    </row>
    <row r="92">
      <c r="A92" s="3" t="inlineStr">
        <is>
          <t>PKG-04::L014</t>
        </is>
      </c>
      <c r="B92" s="3" t="inlineStr">
        <is>
          <t>PKG-04</t>
        </is>
      </c>
      <c r="C92" s="3" t="n"/>
      <c r="D92" s="3" t="inlineStr">
        <is>
          <t>L014</t>
        </is>
      </c>
      <c r="E92" s="3" t="inlineStr">
        <is>
          <t>CD</t>
        </is>
      </c>
      <c r="F92" s="3" t="inlineStr">
        <is>
          <t>PKG-04</t>
        </is>
      </c>
      <c r="G92" s="3" t="n"/>
      <c r="H92" s="3" t="inlineStr">
        <is>
          <t>Sidewalk Installation - form place finish cure (~600 m²)</t>
        </is>
      </c>
      <c r="I92" s="22" t="n">
        <v>1</v>
      </c>
      <c r="J92" s="3" t="inlineStr">
        <is>
          <t>LS</t>
        </is>
      </c>
      <c r="K92" s="39" t="n">
        <v>30000</v>
      </c>
      <c r="L92" s="35" t="n">
        <v>30000</v>
      </c>
      <c r="M92" s="3" t="inlineStr">
        <is>
          <t>CAD</t>
        </is>
      </c>
      <c r="N92" s="3" t="inlineStr">
        <is>
          <t>ALLOWANCE</t>
        </is>
      </c>
      <c r="O92" s="3" t="inlineStr">
        <is>
          <t>A-004</t>
        </is>
      </c>
      <c r="P92" s="3" t="inlineStr">
        <is>
          <t>LOW</t>
        </is>
      </c>
      <c r="Q92" s="3" t="inlineStr">
        <is>
          <t>$50/m² labor</t>
        </is>
      </c>
      <c r="R92" s="3">
        <f>VLOOKUP($F92,Inputs!$D$6:$E$41,2,FALSE)</f>
        <v/>
      </c>
      <c r="S92" s="36">
        <f>VLOOKUP($E92,Inputs!$A$6:$B$13,2,FALSE)*Inputs!$B$2</f>
        <v/>
      </c>
      <c r="T92" s="35">
        <f>$L92*$S92</f>
        <v/>
      </c>
      <c r="U92" s="35">
        <f>$L92+$T92</f>
        <v/>
      </c>
    </row>
    <row r="93">
      <c r="A93" s="3" t="inlineStr">
        <is>
          <t>PKG-04::L015</t>
        </is>
      </c>
      <c r="B93" s="3" t="inlineStr">
        <is>
          <t>PKG-04</t>
        </is>
      </c>
      <c r="C93" s="3" t="n"/>
      <c r="D93" s="3" t="inlineStr">
        <is>
          <t>L015</t>
        </is>
      </c>
      <c r="E93" s="3" t="inlineStr">
        <is>
          <t>MAT</t>
        </is>
      </c>
      <c r="F93" s="3" t="inlineStr">
        <is>
          <t>PKG-04</t>
        </is>
      </c>
      <c r="G93" s="3" t="n"/>
      <c r="H93" s="3" t="inlineStr">
        <is>
          <t>Line Marking Materials - thermoplastic and paint (~6000 lm)</t>
        </is>
      </c>
      <c r="I93" s="22" t="n">
        <v>1</v>
      </c>
      <c r="J93" s="3" t="inlineStr">
        <is>
          <t>LS</t>
        </is>
      </c>
      <c r="K93" s="39" t="n">
        <v>24000</v>
      </c>
      <c r="L93" s="35" t="n">
        <v>24000</v>
      </c>
      <c r="M93" s="3" t="inlineStr">
        <is>
          <t>CAD</t>
        </is>
      </c>
      <c r="N93" s="3" t="inlineStr">
        <is>
          <t>ALLOWANCE</t>
        </is>
      </c>
      <c r="O93" s="3" t="inlineStr">
        <is>
          <t>A-006</t>
        </is>
      </c>
      <c r="P93" s="3" t="inlineStr">
        <is>
          <t>LOW</t>
        </is>
      </c>
      <c r="Q93" s="3" t="inlineStr">
        <is>
          <t>$4/lm material</t>
        </is>
      </c>
      <c r="R93" s="3">
        <f>VLOOKUP($F93,Inputs!$D$6:$E$41,2,FALSE)</f>
        <v/>
      </c>
      <c r="S93" s="36">
        <f>VLOOKUP($E93,Inputs!$A$6:$B$13,2,FALSE)*Inputs!$B$2</f>
        <v/>
      </c>
      <c r="T93" s="35">
        <f>$L93*$S93</f>
        <v/>
      </c>
      <c r="U93" s="35">
        <f>$L93+$T93</f>
        <v/>
      </c>
    </row>
    <row r="94">
      <c r="A94" s="3" t="inlineStr">
        <is>
          <t>PKG-04::L016</t>
        </is>
      </c>
      <c r="B94" s="3" t="inlineStr">
        <is>
          <t>PKG-04</t>
        </is>
      </c>
      <c r="C94" s="3" t="n"/>
      <c r="D94" s="3" t="inlineStr">
        <is>
          <t>L016</t>
        </is>
      </c>
      <c r="E94" s="3" t="inlineStr">
        <is>
          <t>CD</t>
        </is>
      </c>
      <c r="F94" s="3" t="inlineStr">
        <is>
          <t>PKG-04</t>
        </is>
      </c>
      <c r="G94" s="3" t="n"/>
      <c r="H94" s="3" t="inlineStr">
        <is>
          <t>Line Marking Application - traffic control safety markings parking stalls (~6000 lm)</t>
        </is>
      </c>
      <c r="I94" s="22" t="n">
        <v>1</v>
      </c>
      <c r="J94" s="3" t="inlineStr">
        <is>
          <t>LS</t>
        </is>
      </c>
      <c r="K94" s="39" t="n">
        <v>18000</v>
      </c>
      <c r="L94" s="35" t="n">
        <v>18000</v>
      </c>
      <c r="M94" s="3" t="inlineStr">
        <is>
          <t>CAD</t>
        </is>
      </c>
      <c r="N94" s="3" t="inlineStr">
        <is>
          <t>ALLOWANCE</t>
        </is>
      </c>
      <c r="O94" s="3" t="inlineStr">
        <is>
          <t>A-006</t>
        </is>
      </c>
      <c r="P94" s="3" t="inlineStr">
        <is>
          <t>LOW</t>
        </is>
      </c>
      <c r="Q94" s="3" t="inlineStr">
        <is>
          <t>$3/lm labor equipment</t>
        </is>
      </c>
      <c r="R94" s="3">
        <f>VLOOKUP($F94,Inputs!$D$6:$E$41,2,FALSE)</f>
        <v/>
      </c>
      <c r="S94" s="36">
        <f>VLOOKUP($E94,Inputs!$A$6:$B$13,2,FALSE)*Inputs!$B$2</f>
        <v/>
      </c>
      <c r="T94" s="35">
        <f>$L94*$S94</f>
        <v/>
      </c>
      <c r="U94" s="35">
        <f>$L94+$T94</f>
        <v/>
      </c>
    </row>
    <row r="95">
      <c r="A95" s="3" t="inlineStr">
        <is>
          <t>PKG-04::L017</t>
        </is>
      </c>
      <c r="B95" s="3" t="inlineStr">
        <is>
          <t>PKG-04</t>
        </is>
      </c>
      <c r="C95" s="3" t="n"/>
      <c r="D95" s="3" t="inlineStr">
        <is>
          <t>L017</t>
        </is>
      </c>
      <c r="E95" s="3" t="inlineStr">
        <is>
          <t>CD</t>
        </is>
      </c>
      <c r="F95" s="3" t="inlineStr">
        <is>
          <t>PKG-04</t>
        </is>
      </c>
      <c r="G95" s="3" t="n"/>
      <c r="H95" s="3" t="inlineStr">
        <is>
          <t>Subgrade Fine Grading - final grade preparation before base course (~45000 m²)</t>
        </is>
      </c>
      <c r="I95" s="22" t="n">
        <v>1</v>
      </c>
      <c r="J95" s="3" t="inlineStr">
        <is>
          <t>LS</t>
        </is>
      </c>
      <c r="K95" s="39" t="n">
        <v>90000</v>
      </c>
      <c r="L95" s="35" t="n">
        <v>90000</v>
      </c>
      <c r="M95" s="3" t="inlineStr">
        <is>
          <t>CAD</t>
        </is>
      </c>
      <c r="N95" s="3" t="inlineStr">
        <is>
          <t>ALLOWANCE</t>
        </is>
      </c>
      <c r="O95" s="3" t="inlineStr">
        <is>
          <t>A-012</t>
        </is>
      </c>
      <c r="P95" s="3" t="inlineStr">
        <is>
          <t>LOW</t>
        </is>
      </c>
      <c r="Q95" s="3" t="inlineStr">
        <is>
          <t>$2/m² fine grading</t>
        </is>
      </c>
      <c r="R95" s="3">
        <f>VLOOKUP($F95,Inputs!$D$6:$E$41,2,FALSE)</f>
        <v/>
      </c>
      <c r="S95" s="36">
        <f>VLOOKUP($E95,Inputs!$A$6:$B$13,2,FALSE)*Inputs!$B$2</f>
        <v/>
      </c>
      <c r="T95" s="35">
        <f>$L95*$S95</f>
        <v/>
      </c>
      <c r="U95" s="35">
        <f>$L95+$T95</f>
        <v/>
      </c>
    </row>
    <row r="96">
      <c r="A96" s="3" t="inlineStr">
        <is>
          <t>PKG-04::L018</t>
        </is>
      </c>
      <c r="B96" s="3" t="inlineStr">
        <is>
          <t>PKG-04</t>
        </is>
      </c>
      <c r="C96" s="3" t="n"/>
      <c r="D96" s="3" t="inlineStr">
        <is>
          <t>L018</t>
        </is>
      </c>
      <c r="E96" s="3" t="inlineStr">
        <is>
          <t>MAT</t>
        </is>
      </c>
      <c r="F96" s="3" t="inlineStr">
        <is>
          <t>PKG-04</t>
        </is>
      </c>
      <c r="G96" s="3" t="n"/>
      <c r="H96" s="3" t="inlineStr">
        <is>
          <t>Tack Coat and Prime Coat Materials (~35000 m²)</t>
        </is>
      </c>
      <c r="I96" s="22" t="n">
        <v>1</v>
      </c>
      <c r="J96" s="3" t="inlineStr">
        <is>
          <t>LS</t>
        </is>
      </c>
      <c r="K96" s="39" t="n">
        <v>28000</v>
      </c>
      <c r="L96" s="35" t="n">
        <v>28000</v>
      </c>
      <c r="M96" s="3" t="inlineStr">
        <is>
          <t>CAD</t>
        </is>
      </c>
      <c r="N96" s="3" t="inlineStr">
        <is>
          <t>ALLOWANCE</t>
        </is>
      </c>
      <c r="O96" s="3" t="inlineStr">
        <is>
          <t>A-013</t>
        </is>
      </c>
      <c r="P96" s="3" t="inlineStr">
        <is>
          <t>LOW</t>
        </is>
      </c>
      <c r="Q96" s="3" t="inlineStr">
        <is>
          <t>$0.80/m² material</t>
        </is>
      </c>
      <c r="R96" s="3">
        <f>VLOOKUP($F96,Inputs!$D$6:$E$41,2,FALSE)</f>
        <v/>
      </c>
      <c r="S96" s="36">
        <f>VLOOKUP($E96,Inputs!$A$6:$B$13,2,FALSE)*Inputs!$B$2</f>
        <v/>
      </c>
      <c r="T96" s="35">
        <f>$L96*$S96</f>
        <v/>
      </c>
      <c r="U96" s="35">
        <f>$L96+$T96</f>
        <v/>
      </c>
    </row>
    <row r="97">
      <c r="A97" s="3" t="inlineStr">
        <is>
          <t>PKG-04::L019</t>
        </is>
      </c>
      <c r="B97" s="3" t="inlineStr">
        <is>
          <t>PKG-04</t>
        </is>
      </c>
      <c r="C97" s="3" t="n"/>
      <c r="D97" s="3" t="inlineStr">
        <is>
          <t>L019</t>
        </is>
      </c>
      <c r="E97" s="3" t="inlineStr">
        <is>
          <t>CD</t>
        </is>
      </c>
      <c r="F97" s="3" t="inlineStr">
        <is>
          <t>PKG-04</t>
        </is>
      </c>
      <c r="G97" s="3" t="n"/>
      <c r="H97" s="3" t="inlineStr">
        <is>
          <t>Tack Coat and Prime Coat Application (~35000 m²)</t>
        </is>
      </c>
      <c r="I97" s="22" t="n">
        <v>1</v>
      </c>
      <c r="J97" s="3" t="inlineStr">
        <is>
          <t>LS</t>
        </is>
      </c>
      <c r="K97" s="39" t="n">
        <v>17500</v>
      </c>
      <c r="L97" s="35" t="n">
        <v>17500</v>
      </c>
      <c r="M97" s="3" t="inlineStr">
        <is>
          <t>CAD</t>
        </is>
      </c>
      <c r="N97" s="3" t="inlineStr">
        <is>
          <t>ALLOWANCE</t>
        </is>
      </c>
      <c r="O97" s="3" t="inlineStr">
        <is>
          <t>A-013</t>
        </is>
      </c>
      <c r="P97" s="3" t="inlineStr">
        <is>
          <t>LOW</t>
        </is>
      </c>
      <c r="Q97" s="3" t="inlineStr">
        <is>
          <t>$0.50/m² application</t>
        </is>
      </c>
      <c r="R97" s="3">
        <f>VLOOKUP($F97,Inputs!$D$6:$E$41,2,FALSE)</f>
        <v/>
      </c>
      <c r="S97" s="36">
        <f>VLOOKUP($E97,Inputs!$A$6:$B$13,2,FALSE)*Inputs!$B$2</f>
        <v/>
      </c>
      <c r="T97" s="35">
        <f>$L97*$S97</f>
        <v/>
      </c>
      <c r="U97" s="35">
        <f>$L97+$T97</f>
        <v/>
      </c>
    </row>
    <row r="98">
      <c r="A98" s="3" t="inlineStr">
        <is>
          <t>PKG-04::L020</t>
        </is>
      </c>
      <c r="B98" s="3" t="inlineStr">
        <is>
          <t>PKG-04</t>
        </is>
      </c>
      <c r="C98" s="3" t="n"/>
      <c r="D98" s="3" t="inlineStr">
        <is>
          <t>L020</t>
        </is>
      </c>
      <c r="E98" s="3" t="inlineStr">
        <is>
          <t>CD</t>
        </is>
      </c>
      <c r="F98" s="3" t="inlineStr">
        <is>
          <t>PKG-04</t>
        </is>
      </c>
      <c r="G98" s="3" t="n"/>
      <c r="H98" s="3" t="inlineStr">
        <is>
          <t>Compaction Testing - nuclear density tests during paving (~90 tests)</t>
        </is>
      </c>
      <c r="I98" s="22" t="n">
        <v>1</v>
      </c>
      <c r="J98" s="3" t="inlineStr">
        <is>
          <t>LS</t>
        </is>
      </c>
      <c r="K98" s="39" t="n">
        <v>27000</v>
      </c>
      <c r="L98" s="35" t="n">
        <v>27000</v>
      </c>
      <c r="M98" s="3" t="inlineStr">
        <is>
          <t>CAD</t>
        </is>
      </c>
      <c r="N98" s="3" t="inlineStr">
        <is>
          <t>ALLOWANCE</t>
        </is>
      </c>
      <c r="O98" s="3" t="inlineStr">
        <is>
          <t>A-014</t>
        </is>
      </c>
      <c r="P98" s="3" t="inlineStr">
        <is>
          <t>LOW</t>
        </is>
      </c>
      <c r="Q98" s="3" t="inlineStr">
        <is>
          <t>$300/test avg</t>
        </is>
      </c>
      <c r="R98" s="3">
        <f>VLOOKUP($F98,Inputs!$D$6:$E$41,2,FALSE)</f>
        <v/>
      </c>
      <c r="S98" s="36">
        <f>VLOOKUP($E98,Inputs!$A$6:$B$13,2,FALSE)*Inputs!$B$2</f>
        <v/>
      </c>
      <c r="T98" s="35">
        <f>$L98*$S98</f>
        <v/>
      </c>
      <c r="U98" s="35">
        <f>$L98+$T98</f>
        <v/>
      </c>
    </row>
    <row r="99">
      <c r="A99" s="3" t="inlineStr">
        <is>
          <t>PKG-04::L021</t>
        </is>
      </c>
      <c r="B99" s="3" t="inlineStr">
        <is>
          <t>PKG-04</t>
        </is>
      </c>
      <c r="C99" s="3" t="n"/>
      <c r="D99" s="3" t="inlineStr">
        <is>
          <t>L021</t>
        </is>
      </c>
      <c r="E99" s="3" t="inlineStr">
        <is>
          <t>CD</t>
        </is>
      </c>
      <c r="F99" s="3" t="inlineStr">
        <is>
          <t>PKG-04</t>
        </is>
      </c>
      <c r="G99" s="3" t="n"/>
      <c r="H99" s="3" t="inlineStr">
        <is>
          <t>Core Sampling and Testing - thickness verification (~25 cores)</t>
        </is>
      </c>
      <c r="I99" s="22" t="n">
        <v>1</v>
      </c>
      <c r="J99" s="3" t="inlineStr">
        <is>
          <t>LS</t>
        </is>
      </c>
      <c r="K99" s="39" t="n">
        <v>12500</v>
      </c>
      <c r="L99" s="35" t="n">
        <v>12500</v>
      </c>
      <c r="M99" s="3" t="inlineStr">
        <is>
          <t>CAD</t>
        </is>
      </c>
      <c r="N99" s="3" t="inlineStr">
        <is>
          <t>ALLOWANCE</t>
        </is>
      </c>
      <c r="O99" s="3" t="inlineStr">
        <is>
          <t>A-014</t>
        </is>
      </c>
      <c r="P99" s="3" t="inlineStr">
        <is>
          <t>LOW</t>
        </is>
      </c>
      <c r="Q99" s="3" t="inlineStr">
        <is>
          <t>$500/core extraction and lab testing</t>
        </is>
      </c>
      <c r="R99" s="3">
        <f>VLOOKUP($F99,Inputs!$D$6:$E$41,2,FALSE)</f>
        <v/>
      </c>
      <c r="S99" s="36">
        <f>VLOOKUP($E99,Inputs!$A$6:$B$13,2,FALSE)*Inputs!$B$2</f>
        <v/>
      </c>
      <c r="T99" s="35">
        <f>$L99*$S99</f>
        <v/>
      </c>
      <c r="U99" s="35">
        <f>$L99+$T99</f>
        <v/>
      </c>
    </row>
    <row r="100">
      <c r="A100" s="3" t="inlineStr">
        <is>
          <t>PKG-04::L022</t>
        </is>
      </c>
      <c r="B100" s="3" t="inlineStr">
        <is>
          <t>PKG-04</t>
        </is>
      </c>
      <c r="C100" s="3" t="n"/>
      <c r="D100" s="3" t="inlineStr">
        <is>
          <t>L022</t>
        </is>
      </c>
      <c r="E100" s="3" t="inlineStr">
        <is>
          <t>CD</t>
        </is>
      </c>
      <c r="F100" s="3" t="inlineStr">
        <is>
          <t>PKG-04</t>
        </is>
      </c>
      <c r="G100" s="3" t="n"/>
      <c r="H100" s="3" t="inlineStr">
        <is>
          <t>Survey and Grade Control - layout staking grade verification</t>
        </is>
      </c>
      <c r="I100" s="22" t="n">
        <v>1</v>
      </c>
      <c r="J100" s="3" t="inlineStr">
        <is>
          <t>LS</t>
        </is>
      </c>
      <c r="K100" s="39" t="n">
        <v>25000</v>
      </c>
      <c r="L100" s="35" t="n">
        <v>25000</v>
      </c>
      <c r="M100" s="3" t="inlineStr">
        <is>
          <t>CAD</t>
        </is>
      </c>
      <c r="N100" s="3" t="inlineStr">
        <is>
          <t>ALLOWANCE</t>
        </is>
      </c>
      <c r="O100" s="3" t="inlineStr">
        <is>
          <t>D-011</t>
        </is>
      </c>
      <c r="P100" s="3" t="inlineStr">
        <is>
          <t>LOW</t>
        </is>
      </c>
      <c r="Q100" s="3" t="inlineStr">
        <is>
          <t>Survey crew during construction</t>
        </is>
      </c>
      <c r="R100" s="3">
        <f>VLOOKUP($F100,Inputs!$D$6:$E$41,2,FALSE)</f>
        <v/>
      </c>
      <c r="S100" s="36">
        <f>VLOOKUP($E100,Inputs!$A$6:$B$13,2,FALSE)*Inputs!$B$2</f>
        <v/>
      </c>
      <c r="T100" s="35">
        <f>$L100*$S100</f>
        <v/>
      </c>
      <c r="U100" s="35">
        <f>$L100+$T100</f>
        <v/>
      </c>
    </row>
    <row r="101">
      <c r="A101" s="3" t="inlineStr">
        <is>
          <t>PKG-04::L023</t>
        </is>
      </c>
      <c r="B101" s="3" t="inlineStr">
        <is>
          <t>PKG-04</t>
        </is>
      </c>
      <c r="C101" s="3" t="n"/>
      <c r="D101" s="3" t="inlineStr">
        <is>
          <t>L023</t>
        </is>
      </c>
      <c r="E101" s="3" t="inlineStr">
        <is>
          <t>MAT</t>
        </is>
      </c>
      <c r="F101" s="3" t="inlineStr">
        <is>
          <t>PKG-04</t>
        </is>
      </c>
      <c r="G101" s="3" t="n"/>
      <c r="H101" s="3" t="inlineStr">
        <is>
          <t>Expansion Joints and Sealants - pavement joints at structures and Phase 2 tie-ins</t>
        </is>
      </c>
      <c r="I101" s="22" t="n">
        <v>1</v>
      </c>
      <c r="J101" s="3" t="inlineStr">
        <is>
          <t>LS</t>
        </is>
      </c>
      <c r="K101" s="39" t="n">
        <v>35000</v>
      </c>
      <c r="L101" s="35" t="n">
        <v>35000</v>
      </c>
      <c r="M101" s="3" t="inlineStr">
        <is>
          <t>CAD</t>
        </is>
      </c>
      <c r="N101" s="3" t="inlineStr">
        <is>
          <t>ALLOWANCE</t>
        </is>
      </c>
      <c r="O101" s="3" t="inlineStr">
        <is>
          <t>A-016</t>
        </is>
      </c>
      <c r="P101" s="3" t="inlineStr">
        <is>
          <t>LOW</t>
        </is>
      </c>
      <c r="Q101" s="3" t="inlineStr">
        <is>
          <t>Joint materials and sealant</t>
        </is>
      </c>
      <c r="R101" s="3">
        <f>VLOOKUP($F101,Inputs!$D$6:$E$41,2,FALSE)</f>
        <v/>
      </c>
      <c r="S101" s="36">
        <f>VLOOKUP($E101,Inputs!$A$6:$B$13,2,FALSE)*Inputs!$B$2</f>
        <v/>
      </c>
      <c r="T101" s="35">
        <f>$L101*$S101</f>
        <v/>
      </c>
      <c r="U101" s="35">
        <f>$L101+$T101</f>
        <v/>
      </c>
    </row>
    <row r="102">
      <c r="A102" s="3" t="inlineStr">
        <is>
          <t>PKG-04::L024</t>
        </is>
      </c>
      <c r="B102" s="3" t="inlineStr">
        <is>
          <t>PKG-04</t>
        </is>
      </c>
      <c r="C102" s="3" t="n"/>
      <c r="D102" s="3" t="inlineStr">
        <is>
          <t>L024</t>
        </is>
      </c>
      <c r="E102" s="3" t="inlineStr">
        <is>
          <t>CD</t>
        </is>
      </c>
      <c r="F102" s="3" t="inlineStr">
        <is>
          <t>PKG-04</t>
        </is>
      </c>
      <c r="G102" s="3" t="n"/>
      <c r="H102" s="3" t="inlineStr">
        <is>
          <t>Expansion Joint Installation - sawcutting sealing at structures (~500 lm)</t>
        </is>
      </c>
      <c r="I102" s="22" t="n">
        <v>1</v>
      </c>
      <c r="J102" s="3" t="inlineStr">
        <is>
          <t>LS</t>
        </is>
      </c>
      <c r="K102" s="39" t="n">
        <v>25000</v>
      </c>
      <c r="L102" s="35" t="n">
        <v>25000</v>
      </c>
      <c r="M102" s="3" t="inlineStr">
        <is>
          <t>CAD</t>
        </is>
      </c>
      <c r="N102" s="3" t="inlineStr">
        <is>
          <t>ALLOWANCE</t>
        </is>
      </c>
      <c r="O102" s="3" t="inlineStr">
        <is>
          <t>A-016</t>
        </is>
      </c>
      <c r="P102" s="3" t="inlineStr">
        <is>
          <t>LOW</t>
        </is>
      </c>
      <c r="Q102" s="3" t="inlineStr">
        <is>
          <t>$50/lm</t>
        </is>
      </c>
      <c r="R102" s="3">
        <f>VLOOKUP($F102,Inputs!$D$6:$E$41,2,FALSE)</f>
        <v/>
      </c>
      <c r="S102" s="36">
        <f>VLOOKUP($E102,Inputs!$A$6:$B$13,2,FALSE)*Inputs!$B$2</f>
        <v/>
      </c>
      <c r="T102" s="35">
        <f>$L102*$S102</f>
        <v/>
      </c>
      <c r="U102" s="35">
        <f>$L102+$T102</f>
        <v/>
      </c>
    </row>
    <row r="103">
      <c r="A103" s="3" t="inlineStr">
        <is>
          <t>PKG-04::L025</t>
        </is>
      </c>
      <c r="B103" s="3" t="inlineStr">
        <is>
          <t>PKG-04</t>
        </is>
      </c>
      <c r="C103" s="3" t="n"/>
      <c r="D103" s="3" t="inlineStr">
        <is>
          <t>L025</t>
        </is>
      </c>
      <c r="E103" s="3" t="inlineStr">
        <is>
          <t>CD</t>
        </is>
      </c>
      <c r="F103" s="3" t="inlineStr">
        <is>
          <t>PKG-04</t>
        </is>
      </c>
      <c r="G103" s="3" t="n"/>
      <c r="H103" s="3" t="inlineStr">
        <is>
          <t>OBJ-8 Phase 2 Tie-in Provisions - enhanced documentation and joint protection</t>
        </is>
      </c>
      <c r="I103" s="22" t="n">
        <v>1</v>
      </c>
      <c r="J103" s="3" t="inlineStr">
        <is>
          <t>LS</t>
        </is>
      </c>
      <c r="K103" s="39" t="n">
        <v>15000</v>
      </c>
      <c r="L103" s="35" t="n">
        <v>15000</v>
      </c>
      <c r="M103" s="3" t="inlineStr">
        <is>
          <t>CAD</t>
        </is>
      </c>
      <c r="N103" s="3" t="inlineStr">
        <is>
          <t>ALLOWANCE</t>
        </is>
      </c>
      <c r="O103" s="3" t="inlineStr">
        <is>
          <t>A-017</t>
        </is>
      </c>
      <c r="P103" s="3" t="inlineStr">
        <is>
          <t>LOW</t>
        </is>
      </c>
      <c r="Q103" s="3" t="inlineStr">
        <is>
          <t>Additional work for expansion corridors</t>
        </is>
      </c>
      <c r="R103" s="3">
        <f>VLOOKUP($F103,Inputs!$D$6:$E$41,2,FALSE)</f>
        <v/>
      </c>
      <c r="S103" s="36">
        <f>VLOOKUP($E103,Inputs!$A$6:$B$13,2,FALSE)*Inputs!$B$2</f>
        <v/>
      </c>
      <c r="T103" s="35">
        <f>$L103*$S103</f>
        <v/>
      </c>
      <c r="U103" s="35">
        <f>$L103+$T103</f>
        <v/>
      </c>
    </row>
    <row r="104">
      <c r="A104" s="3" t="inlineStr">
        <is>
          <t>PKG-04::L026</t>
        </is>
      </c>
      <c r="B104" s="3" t="inlineStr">
        <is>
          <t>PKG-04</t>
        </is>
      </c>
      <c r="C104" s="3" t="n"/>
      <c r="D104" s="3" t="inlineStr">
        <is>
          <t>L026</t>
        </is>
      </c>
      <c r="E104" s="3" t="inlineStr">
        <is>
          <t>CI</t>
        </is>
      </c>
      <c r="F104" s="3" t="inlineStr">
        <is>
          <t>PKG-04</t>
        </is>
      </c>
      <c r="G104" s="3" t="n"/>
      <c r="H104" s="3" t="inlineStr">
        <is>
          <t>Construction Indirects - field supervision site overhead QA/QC (factor-based)</t>
        </is>
      </c>
      <c r="I104" s="22" t="n">
        <v>1</v>
      </c>
      <c r="J104" s="3" t="inlineStr">
        <is>
          <t>LS</t>
        </is>
      </c>
      <c r="K104" s="39" t="n">
        <v>340000</v>
      </c>
      <c r="L104" s="35" t="n">
        <v>340000</v>
      </c>
      <c r="M104" s="3" t="inlineStr">
        <is>
          <t>CAD</t>
        </is>
      </c>
      <c r="N104" s="3" t="inlineStr">
        <is>
          <t>PARAMETRIC</t>
        </is>
      </c>
      <c r="O104" s="3" t="inlineStr">
        <is>
          <t>D-008</t>
        </is>
      </c>
      <c r="P104" s="3" t="inlineStr">
        <is>
          <t>LOW</t>
        </is>
      </c>
      <c r="Q104" s="3" t="inlineStr">
        <is>
          <t>18% of CD base ($1.89M × 0.18)</t>
        </is>
      </c>
      <c r="R104" s="3">
        <f>VLOOKUP($F104,Inputs!$D$6:$E$41,2,FALSE)</f>
        <v/>
      </c>
      <c r="S104" s="36">
        <f>VLOOKUP($E104,Inputs!$A$6:$B$13,2,FALSE)*Inputs!$B$2</f>
        <v/>
      </c>
      <c r="T104" s="35">
        <f>$L104*$S104</f>
        <v/>
      </c>
      <c r="U104" s="35">
        <f>$L104+$T104</f>
        <v/>
      </c>
    </row>
    <row r="105">
      <c r="A105" s="3" t="inlineStr">
        <is>
          <t>PKG-04::L027</t>
        </is>
      </c>
      <c r="B105" s="3" t="inlineStr">
        <is>
          <t>PKG-04</t>
        </is>
      </c>
      <c r="C105" s="3" t="n"/>
      <c r="D105" s="3" t="inlineStr">
        <is>
          <t>L027</t>
        </is>
      </c>
      <c r="E105" s="3" t="inlineStr">
        <is>
          <t>PM</t>
        </is>
      </c>
      <c r="F105" s="3" t="inlineStr">
        <is>
          <t>PKG-04</t>
        </is>
      </c>
      <c r="G105" s="3" t="n"/>
      <c r="H105" s="3" t="inlineStr">
        <is>
          <t>EPCM / Project Management - PKG-04 allocation (factor-based)</t>
        </is>
      </c>
      <c r="I105" s="22" t="n">
        <v>1</v>
      </c>
      <c r="J105" s="3" t="inlineStr">
        <is>
          <t>LS</t>
        </is>
      </c>
      <c r="K105" s="39" t="n">
        <v>219000</v>
      </c>
      <c r="L105" s="35" t="n">
        <v>219000</v>
      </c>
      <c r="M105" s="3" t="inlineStr">
        <is>
          <t>CAD</t>
        </is>
      </c>
      <c r="N105" s="3" t="inlineStr">
        <is>
          <t>PARAMETRIC</t>
        </is>
      </c>
      <c r="O105" s="3" t="inlineStr">
        <is>
          <t>D-008</t>
        </is>
      </c>
      <c r="P105" s="3" t="inlineStr">
        <is>
          <t>MED</t>
        </is>
      </c>
      <c r="Q105" s="3" t="inlineStr">
        <is>
          <t>6% of (CD+CI+MAT) base</t>
        </is>
      </c>
      <c r="R105" s="3">
        <f>VLOOKUP($F105,Inputs!$D$6:$E$41,2,FALSE)</f>
        <v/>
      </c>
      <c r="S105" s="36">
        <f>VLOOKUP($E105,Inputs!$A$6:$B$13,2,FALSE)*Inputs!$B$2</f>
        <v/>
      </c>
      <c r="T105" s="35">
        <f>$L105*$S105</f>
        <v/>
      </c>
      <c r="U105" s="35">
        <f>$L105+$T105</f>
        <v/>
      </c>
    </row>
    <row r="106">
      <c r="A106" s="3" t="inlineStr">
        <is>
          <t>PKG-04::L028</t>
        </is>
      </c>
      <c r="B106" s="3" t="inlineStr">
        <is>
          <t>PKG-04</t>
        </is>
      </c>
      <c r="C106" s="3" t="n"/>
      <c r="D106" s="3" t="inlineStr">
        <is>
          <t>L028</t>
        </is>
      </c>
      <c r="E106" s="3" t="inlineStr">
        <is>
          <t>P</t>
        </is>
      </c>
      <c r="F106" s="3" t="inlineStr">
        <is>
          <t>PKG-04</t>
        </is>
      </c>
      <c r="G106" s="3" t="n"/>
      <c r="H106" s="3" t="inlineStr">
        <is>
          <t>Procurement Services - vendor coordination expediting (factor-based)</t>
        </is>
      </c>
      <c r="I106" s="22" t="n">
        <v>1</v>
      </c>
      <c r="J106" s="3" t="inlineStr">
        <is>
          <t>LS</t>
        </is>
      </c>
      <c r="K106" s="39" t="n">
        <v>32000</v>
      </c>
      <c r="L106" s="35" t="n">
        <v>32000</v>
      </c>
      <c r="M106" s="3" t="inlineStr">
        <is>
          <t>CAD</t>
        </is>
      </c>
      <c r="N106" s="3" t="inlineStr">
        <is>
          <t>PARAMETRIC</t>
        </is>
      </c>
      <c r="O106" s="3" t="inlineStr">
        <is>
          <t>D-008</t>
        </is>
      </c>
      <c r="P106" s="3" t="inlineStr">
        <is>
          <t>MED</t>
        </is>
      </c>
      <c r="Q106" s="3" t="inlineStr">
        <is>
          <t>2% of MAT ($1.595M × 0.02)</t>
        </is>
      </c>
      <c r="R106" s="3">
        <f>VLOOKUP($F106,Inputs!$D$6:$E$41,2,FALSE)</f>
        <v/>
      </c>
      <c r="S106" s="36">
        <f>VLOOKUP($E106,Inputs!$A$6:$B$13,2,FALSE)*Inputs!$B$2</f>
        <v/>
      </c>
      <c r="T106" s="35">
        <f>$L106*$S106</f>
        <v/>
      </c>
      <c r="U106" s="35">
        <f>$L106+$T106</f>
        <v/>
      </c>
    </row>
    <row r="107">
      <c r="A107" s="3" t="inlineStr">
        <is>
          <t>PKG-04::L029</t>
        </is>
      </c>
      <c r="B107" s="3" t="inlineStr">
        <is>
          <t>PKG-04</t>
        </is>
      </c>
      <c r="C107" s="3" t="n"/>
      <c r="D107" s="3" t="inlineStr">
        <is>
          <t>L029</t>
        </is>
      </c>
      <c r="E107" s="3" t="inlineStr">
        <is>
          <t>COM</t>
        </is>
      </c>
      <c r="F107" s="3" t="inlineStr">
        <is>
          <t>PKG-04</t>
        </is>
      </c>
      <c r="G107" s="3" t="n"/>
      <c r="H107" s="3" t="inlineStr">
        <is>
          <t>Testing and Verification - final verification testing reporting</t>
        </is>
      </c>
      <c r="I107" s="22" t="n">
        <v>1</v>
      </c>
      <c r="J107" s="3" t="inlineStr">
        <is>
          <t>LS</t>
        </is>
      </c>
      <c r="K107" s="39" t="n">
        <v>109000</v>
      </c>
      <c r="L107" s="35" t="n">
        <v>109000</v>
      </c>
      <c r="M107" s="3" t="inlineStr">
        <is>
          <t>CAD</t>
        </is>
      </c>
      <c r="N107" s="3" t="inlineStr">
        <is>
          <t>PARAMETRIC</t>
        </is>
      </c>
      <c r="O107" s="3" t="inlineStr">
        <is>
          <t>D-008</t>
        </is>
      </c>
      <c r="P107" s="3" t="inlineStr">
        <is>
          <t>LOW</t>
        </is>
      </c>
      <c r="Q107" s="3" t="inlineStr">
        <is>
          <t>3% of (CD+CI+MAT) base</t>
        </is>
      </c>
      <c r="R107" s="3">
        <f>VLOOKUP($F107,Inputs!$D$6:$E$41,2,FALSE)</f>
        <v/>
      </c>
      <c r="S107" s="36">
        <f>VLOOKUP($E107,Inputs!$A$6:$B$13,2,FALSE)*Inputs!$B$2</f>
        <v/>
      </c>
      <c r="T107" s="35">
        <f>$L107*$S107</f>
        <v/>
      </c>
      <c r="U107" s="35">
        <f>$L107+$T107</f>
        <v/>
      </c>
    </row>
    <row r="108">
      <c r="A108" s="3" t="inlineStr">
        <is>
          <t>PKG-05::L001</t>
        </is>
      </c>
      <c r="B108" s="3" t="inlineStr">
        <is>
          <t>PKG-05</t>
        </is>
      </c>
      <c r="C108" s="3" t="inlineStr">
        <is>
          <t>DEL-05.01</t>
        </is>
      </c>
      <c r="D108" s="3" t="inlineStr">
        <is>
          <t>L001</t>
        </is>
      </c>
      <c r="E108" s="3" t="inlineStr">
        <is>
          <t>E</t>
        </is>
      </c>
      <c r="F108" s="3" t="inlineStr">
        <is>
          <t>PKG-05</t>
        </is>
      </c>
      <c r="G108" s="3" t="inlineStr">
        <is>
          <t>DEL-05.01</t>
        </is>
      </c>
      <c r="H108" s="3" t="inlineStr">
        <is>
          <t>Concrete Structures Design Drawing Set - structural CAD drafting (22 sheets)</t>
        </is>
      </c>
      <c r="I108" s="22" t="n">
        <v>1</v>
      </c>
      <c r="J108" s="3" t="inlineStr">
        <is>
          <t>LS</t>
        </is>
      </c>
      <c r="K108" s="39" t="n">
        <v>85000</v>
      </c>
      <c r="L108" s="35" t="n">
        <v>85000</v>
      </c>
      <c r="M108" s="3" t="inlineStr">
        <is>
          <t>CAD</t>
        </is>
      </c>
      <c r="N108" s="3" t="inlineStr">
        <is>
          <t>ALLOWANCE</t>
        </is>
      </c>
      <c r="O108" s="3" t="inlineStr">
        <is>
          <t>A-001</t>
        </is>
      </c>
      <c r="P108" s="3" t="inlineStr">
        <is>
          <t>LOW</t>
        </is>
      </c>
      <c r="Q108" s="3" t="inlineStr">
        <is>
          <t>Allowance for drawing production without vendor quotes; includes foundations containment walls equipment pads reinforcement</t>
        </is>
      </c>
      <c r="R108" s="3">
        <f>VLOOKUP($F108,Inputs!$D$6:$E$41,2,FALSE)</f>
        <v/>
      </c>
      <c r="S108" s="36">
        <f>VLOOKUP($E108,Inputs!$A$6:$B$13,2,FALSE)*Inputs!$B$2</f>
        <v/>
      </c>
      <c r="T108" s="35">
        <f>$L108*$S108</f>
        <v/>
      </c>
      <c r="U108" s="35">
        <f>$L108+$T108</f>
        <v/>
      </c>
    </row>
    <row r="109">
      <c r="A109" s="3" t="inlineStr">
        <is>
          <t>PKG-05::L002</t>
        </is>
      </c>
      <c r="B109" s="3" t="inlineStr">
        <is>
          <t>PKG-05</t>
        </is>
      </c>
      <c r="C109" s="3" t="inlineStr">
        <is>
          <t>DEL-05.02</t>
        </is>
      </c>
      <c r="D109" s="3" t="inlineStr">
        <is>
          <t>L002</t>
        </is>
      </c>
      <c r="E109" s="3" t="inlineStr">
        <is>
          <t>E</t>
        </is>
      </c>
      <c r="F109" s="3" t="inlineStr">
        <is>
          <t>PKG-05</t>
        </is>
      </c>
      <c r="G109" s="3" t="inlineStr">
        <is>
          <t>DEL-05.02</t>
        </is>
      </c>
      <c r="H109" s="3" t="inlineStr">
        <is>
          <t>Concrete Structures Technical Specification - specification writing (3 specifications)</t>
        </is>
      </c>
      <c r="I109" s="22" t="n">
        <v>1</v>
      </c>
      <c r="J109" s="3" t="inlineStr">
        <is>
          <t>LS</t>
        </is>
      </c>
      <c r="K109" s="39" t="n">
        <v>45000</v>
      </c>
      <c r="L109" s="35" t="n">
        <v>45000</v>
      </c>
      <c r="M109" s="3" t="inlineStr">
        <is>
          <t>CAD</t>
        </is>
      </c>
      <c r="N109" s="3" t="inlineStr">
        <is>
          <t>ALLOWANCE</t>
        </is>
      </c>
      <c r="O109" s="3" t="inlineStr">
        <is>
          <t>A-002</t>
        </is>
      </c>
      <c r="P109" s="3" t="inlineStr">
        <is>
          <t>LOW</t>
        </is>
      </c>
      <c r="Q109" s="3" t="inlineStr">
        <is>
          <t>Allowance for concrete reinforcement formwork specifications</t>
        </is>
      </c>
      <c r="R109" s="3">
        <f>VLOOKUP($F109,Inputs!$D$6:$E$41,2,FALSE)</f>
        <v/>
      </c>
      <c r="S109" s="36">
        <f>VLOOKUP($E109,Inputs!$A$6:$B$13,2,FALSE)*Inputs!$B$2</f>
        <v/>
      </c>
      <c r="T109" s="35">
        <f>$L109*$S109</f>
        <v/>
      </c>
      <c r="U109" s="35">
        <f>$L109+$T109</f>
        <v/>
      </c>
    </row>
    <row r="110">
      <c r="A110" s="3" t="inlineStr">
        <is>
          <t>PKG-05::L003</t>
        </is>
      </c>
      <c r="B110" s="3" t="inlineStr">
        <is>
          <t>PKG-05</t>
        </is>
      </c>
      <c r="C110" s="3" t="inlineStr">
        <is>
          <t>DEL-05.03</t>
        </is>
      </c>
      <c r="D110" s="3" t="inlineStr">
        <is>
          <t>L003</t>
        </is>
      </c>
      <c r="E110" s="3" t="inlineStr">
        <is>
          <t>E</t>
        </is>
      </c>
      <c r="F110" s="3" t="inlineStr">
        <is>
          <t>PKG-05</t>
        </is>
      </c>
      <c r="G110" s="3" t="inlineStr">
        <is>
          <t>DEL-05.03</t>
        </is>
      </c>
      <c r="H110" s="3" t="inlineStr">
        <is>
          <t>Concrete Structures Design Calculations - structural engineering (foundation containment seismic)</t>
        </is>
      </c>
      <c r="I110" s="22" t="n">
        <v>1</v>
      </c>
      <c r="J110" s="3" t="inlineStr">
        <is>
          <t>LS</t>
        </is>
      </c>
      <c r="K110" s="39" t="n">
        <v>120000</v>
      </c>
      <c r="L110" s="35" t="n">
        <v>120000</v>
      </c>
      <c r="M110" s="3" t="inlineStr">
        <is>
          <t>CAD</t>
        </is>
      </c>
      <c r="N110" s="3" t="inlineStr">
        <is>
          <t>ALLOWANCE</t>
        </is>
      </c>
      <c r="O110" s="3" t="inlineStr">
        <is>
          <t>A-003</t>
        </is>
      </c>
      <c r="P110" s="3" t="inlineStr">
        <is>
          <t>LOW</t>
        </is>
      </c>
      <c r="Q110" s="3" t="inlineStr">
        <is>
          <t>Allowance for design calculations including tank foundations containment walls seismic analysis</t>
        </is>
      </c>
      <c r="R110" s="3">
        <f>VLOOKUP($F110,Inputs!$D$6:$E$41,2,FALSE)</f>
        <v/>
      </c>
      <c r="S110" s="36">
        <f>VLOOKUP($E110,Inputs!$A$6:$B$13,2,FALSE)*Inputs!$B$2</f>
        <v/>
      </c>
      <c r="T110" s="35">
        <f>$L110*$S110</f>
        <v/>
      </c>
      <c r="U110" s="35">
        <f>$L110+$T110</f>
        <v/>
      </c>
    </row>
    <row r="111">
      <c r="A111" s="3" t="inlineStr">
        <is>
          <t>PKG-05::L004</t>
        </is>
      </c>
      <c r="B111" s="3" t="inlineStr">
        <is>
          <t>PKG-05</t>
        </is>
      </c>
      <c r="C111" s="3" t="inlineStr">
        <is>
          <t>DEL-05.04</t>
        </is>
      </c>
      <c r="D111" s="3" t="inlineStr">
        <is>
          <t>L004</t>
        </is>
      </c>
      <c r="E111" s="3" t="inlineStr">
        <is>
          <t>PM</t>
        </is>
      </c>
      <c r="F111" s="3" t="inlineStr">
        <is>
          <t>PKG-05</t>
        </is>
      </c>
      <c r="G111" s="3" t="inlineStr">
        <is>
          <t>DEL-05.04</t>
        </is>
      </c>
      <c r="H111" s="3" t="inlineStr">
        <is>
          <t>Installation &amp; Test Records - QA/QC documentation and coordination</t>
        </is>
      </c>
      <c r="I111" s="22" t="n">
        <v>1</v>
      </c>
      <c r="J111" s="3" t="inlineStr">
        <is>
          <t>LS</t>
        </is>
      </c>
      <c r="K111" s="39" t="n">
        <v>35000</v>
      </c>
      <c r="L111" s="35" t="n">
        <v>35000</v>
      </c>
      <c r="M111" s="3" t="inlineStr">
        <is>
          <t>CAD</t>
        </is>
      </c>
      <c r="N111" s="3" t="inlineStr">
        <is>
          <t>ALLOWANCE</t>
        </is>
      </c>
      <c r="O111" s="3" t="inlineStr">
        <is>
          <t>A-004</t>
        </is>
      </c>
      <c r="P111" s="3" t="inlineStr">
        <is>
          <t>LOW</t>
        </is>
      </c>
      <c r="Q111" s="3" t="inlineStr">
        <is>
          <t>Allowance for concrete pour records cylinder test coordination rebar inspection records</t>
        </is>
      </c>
      <c r="R111" s="3">
        <f>VLOOKUP($F111,Inputs!$D$6:$E$41,2,FALSE)</f>
        <v/>
      </c>
      <c r="S111" s="36">
        <f>VLOOKUP($E111,Inputs!$A$6:$B$13,2,FALSE)*Inputs!$B$2</f>
        <v/>
      </c>
      <c r="T111" s="35">
        <f>$L111*$S111</f>
        <v/>
      </c>
      <c r="U111" s="35">
        <f>$L111+$T111</f>
        <v/>
      </c>
    </row>
    <row r="112">
      <c r="A112" s="3" t="inlineStr">
        <is>
          <t>PKG-05::L005</t>
        </is>
      </c>
      <c r="B112" s="3" t="inlineStr">
        <is>
          <t>PKG-05</t>
        </is>
      </c>
      <c r="C112" s="3" t="n"/>
      <c r="D112" s="3" t="inlineStr">
        <is>
          <t>L005</t>
        </is>
      </c>
      <c r="E112" s="3" t="inlineStr">
        <is>
          <t>MAT</t>
        </is>
      </c>
      <c r="F112" s="3" t="inlineStr">
        <is>
          <t>PKG-05</t>
        </is>
      </c>
      <c r="G112" s="3" t="n"/>
      <c r="H112" s="3" t="inlineStr">
        <is>
          <t>Tank Foundation Concrete - ready-mix supply for 3x15000 MT tank ring walls</t>
        </is>
      </c>
      <c r="I112" s="22" t="n">
        <v>450</v>
      </c>
      <c r="J112" s="3" t="inlineStr">
        <is>
          <t>m3</t>
        </is>
      </c>
      <c r="K112" s="39" t="n">
        <v>220</v>
      </c>
      <c r="L112" s="35" t="n">
        <v>99000</v>
      </c>
      <c r="M112" s="3" t="inlineStr">
        <is>
          <t>CAD</t>
        </is>
      </c>
      <c r="N112" s="3" t="inlineStr">
        <is>
          <t>ALLOWANCE</t>
        </is>
      </c>
      <c r="O112" s="3" t="inlineStr">
        <is>
          <t>A-005</t>
        </is>
      </c>
      <c r="P112" s="3" t="inlineStr">
        <is>
          <t>LOW</t>
        </is>
      </c>
      <c r="Q112" s="3" t="inlineStr">
        <is>
          <t>450 m3 derived from 3 tanks x 150 m3 each; ring wall type per D-011</t>
        </is>
      </c>
      <c r="R112" s="3">
        <f>VLOOKUP($F112,Inputs!$D$6:$E$41,2,FALSE)</f>
        <v/>
      </c>
      <c r="S112" s="36">
        <f>VLOOKUP($E112,Inputs!$A$6:$B$13,2,FALSE)*Inputs!$B$2</f>
        <v/>
      </c>
      <c r="T112" s="35">
        <f>$L112*$S112</f>
        <v/>
      </c>
      <c r="U112" s="35">
        <f>$L112+$T112</f>
        <v/>
      </c>
    </row>
    <row r="113">
      <c r="A113" s="3" t="inlineStr">
        <is>
          <t>PKG-05::L006</t>
        </is>
      </c>
      <c r="B113" s="3" t="inlineStr">
        <is>
          <t>PKG-05</t>
        </is>
      </c>
      <c r="C113" s="3" t="n"/>
      <c r="D113" s="3" t="inlineStr">
        <is>
          <t>L006</t>
        </is>
      </c>
      <c r="E113" s="3" t="inlineStr">
        <is>
          <t>CD</t>
        </is>
      </c>
      <c r="F113" s="3" t="inlineStr">
        <is>
          <t>PKG-05</t>
        </is>
      </c>
      <c r="G113" s="3" t="n"/>
      <c r="H113" s="3" t="inlineStr">
        <is>
          <t>Tank Foundation Installation - concrete placement forming curing</t>
        </is>
      </c>
      <c r="I113" s="22" t="n">
        <v>450</v>
      </c>
      <c r="J113" s="3" t="inlineStr">
        <is>
          <t>m3</t>
        </is>
      </c>
      <c r="K113" s="39" t="n">
        <v>180</v>
      </c>
      <c r="L113" s="35" t="n">
        <v>81000</v>
      </c>
      <c r="M113" s="3" t="inlineStr">
        <is>
          <t>CAD</t>
        </is>
      </c>
      <c r="N113" s="3" t="inlineStr">
        <is>
          <t>ALLOWANCE</t>
        </is>
      </c>
      <c r="O113" s="3" t="inlineStr">
        <is>
          <t>A-005</t>
        </is>
      </c>
      <c r="P113" s="3" t="inlineStr">
        <is>
          <t>LOW</t>
        </is>
      </c>
      <c r="Q113" s="3" t="inlineStr">
        <is>
          <t>Installation rate for slab/foundation work</t>
        </is>
      </c>
      <c r="R113" s="3">
        <f>VLOOKUP($F113,Inputs!$D$6:$E$41,2,FALSE)</f>
        <v/>
      </c>
      <c r="S113" s="36">
        <f>VLOOKUP($E113,Inputs!$A$6:$B$13,2,FALSE)*Inputs!$B$2</f>
        <v/>
      </c>
      <c r="T113" s="35">
        <f>$L113*$S113</f>
        <v/>
      </c>
      <c r="U113" s="35">
        <f>$L113+$T113</f>
        <v/>
      </c>
    </row>
    <row r="114">
      <c r="A114" s="3" t="inlineStr">
        <is>
          <t>PKG-05::L007</t>
        </is>
      </c>
      <c r="B114" s="3" t="inlineStr">
        <is>
          <t>PKG-05</t>
        </is>
      </c>
      <c r="C114" s="3" t="n"/>
      <c r="D114" s="3" t="inlineStr">
        <is>
          <t>L007</t>
        </is>
      </c>
      <c r="E114" s="3" t="inlineStr">
        <is>
          <t>MAT</t>
        </is>
      </c>
      <c r="F114" s="3" t="inlineStr">
        <is>
          <t>PKG-05</t>
        </is>
      </c>
      <c r="G114" s="3" t="n"/>
      <c r="H114" s="3" t="inlineStr">
        <is>
          <t>Containment Wall Concrete - high-quality ready-mix for secondary containment</t>
        </is>
      </c>
      <c r="I114" s="22" t="n">
        <v>600</v>
      </c>
      <c r="J114" s="3" t="inlineStr">
        <is>
          <t>m3</t>
        </is>
      </c>
      <c r="K114" s="39" t="n">
        <v>240</v>
      </c>
      <c r="L114" s="35" t="n">
        <v>144000</v>
      </c>
      <c r="M114" s="3" t="inlineStr">
        <is>
          <t>CAD</t>
        </is>
      </c>
      <c r="N114" s="3" t="inlineStr">
        <is>
          <t>ALLOWANCE</t>
        </is>
      </c>
      <c r="O114" s="3" t="inlineStr">
        <is>
          <t>A-006</t>
        </is>
      </c>
      <c r="P114" s="3" t="inlineStr">
        <is>
          <t>LOW</t>
        </is>
      </c>
      <c r="Q114" s="3" t="inlineStr">
        <is>
          <t>600 m3 for perimeter walls supporting OBJ-7 Environmental Protection; premium mix for low permeability</t>
        </is>
      </c>
      <c r="R114" s="3">
        <f>VLOOKUP($F114,Inputs!$D$6:$E$41,2,FALSE)</f>
        <v/>
      </c>
      <c r="S114" s="36">
        <f>VLOOKUP($E114,Inputs!$A$6:$B$13,2,FALSE)*Inputs!$B$2</f>
        <v/>
      </c>
      <c r="T114" s="35">
        <f>$L114*$S114</f>
        <v/>
      </c>
      <c r="U114" s="35">
        <f>$L114+$T114</f>
        <v/>
      </c>
    </row>
    <row r="115">
      <c r="A115" s="3" t="inlineStr">
        <is>
          <t>PKG-05::L008</t>
        </is>
      </c>
      <c r="B115" s="3" t="inlineStr">
        <is>
          <t>PKG-05</t>
        </is>
      </c>
      <c r="C115" s="3" t="n"/>
      <c r="D115" s="3" t="inlineStr">
        <is>
          <t>L008</t>
        </is>
      </c>
      <c r="E115" s="3" t="inlineStr">
        <is>
          <t>CD</t>
        </is>
      </c>
      <c r="F115" s="3" t="inlineStr">
        <is>
          <t>PKG-05</t>
        </is>
      </c>
      <c r="G115" s="3" t="n"/>
      <c r="H115" s="3" t="inlineStr">
        <is>
          <t>Containment Wall Installation - concrete placement with waterstops complex formwork</t>
        </is>
      </c>
      <c r="I115" s="22" t="n">
        <v>600</v>
      </c>
      <c r="J115" s="3" t="inlineStr">
        <is>
          <t>m3</t>
        </is>
      </c>
      <c r="K115" s="39" t="n">
        <v>350</v>
      </c>
      <c r="L115" s="35" t="n">
        <v>210000</v>
      </c>
      <c r="M115" s="3" t="inlineStr">
        <is>
          <t>CAD</t>
        </is>
      </c>
      <c r="N115" s="3" t="inlineStr">
        <is>
          <t>ALLOWANCE</t>
        </is>
      </c>
      <c r="O115" s="3" t="inlineStr">
        <is>
          <t>A-006</t>
        </is>
      </c>
      <c r="P115" s="3" t="inlineStr">
        <is>
          <t>LOW</t>
        </is>
      </c>
      <c r="Q115" s="3" t="inlineStr">
        <is>
          <t>Higher rate for wall construction with waterstops and containment-grade finishing</t>
        </is>
      </c>
      <c r="R115" s="3">
        <f>VLOOKUP($F115,Inputs!$D$6:$E$41,2,FALSE)</f>
        <v/>
      </c>
      <c r="S115" s="36">
        <f>VLOOKUP($E115,Inputs!$A$6:$B$13,2,FALSE)*Inputs!$B$2</f>
        <v/>
      </c>
      <c r="T115" s="35">
        <f>$L115*$S115</f>
        <v/>
      </c>
      <c r="U115" s="35">
        <f>$L115+$T115</f>
        <v/>
      </c>
    </row>
    <row r="116">
      <c r="A116" s="3" t="inlineStr">
        <is>
          <t>PKG-05::L009</t>
        </is>
      </c>
      <c r="B116" s="3" t="inlineStr">
        <is>
          <t>PKG-05</t>
        </is>
      </c>
      <c r="C116" s="3" t="n"/>
      <c r="D116" s="3" t="inlineStr">
        <is>
          <t>L009</t>
        </is>
      </c>
      <c r="E116" s="3" t="inlineStr">
        <is>
          <t>MAT</t>
        </is>
      </c>
      <c r="F116" s="3" t="inlineStr">
        <is>
          <t>PKG-05</t>
        </is>
      </c>
      <c r="G116" s="3" t="n"/>
      <c r="H116" s="3" t="inlineStr">
        <is>
          <t>Equipment Pad Concrete - ready-mix for pump metering railcar unloading pads</t>
        </is>
      </c>
      <c r="I116" s="22" t="n">
        <v>200</v>
      </c>
      <c r="J116" s="3" t="inlineStr">
        <is>
          <t>m3</t>
        </is>
      </c>
      <c r="K116" s="39" t="n">
        <v>230</v>
      </c>
      <c r="L116" s="35" t="n">
        <v>46000</v>
      </c>
      <c r="M116" s="3" t="inlineStr">
        <is>
          <t>CAD</t>
        </is>
      </c>
      <c r="N116" s="3" t="inlineStr">
        <is>
          <t>ALLOWANCE</t>
        </is>
      </c>
      <c r="O116" s="3" t="inlineStr">
        <is>
          <t>A-007</t>
        </is>
      </c>
      <c r="P116" s="3" t="inlineStr">
        <is>
          <t>LOW</t>
        </is>
      </c>
      <c r="Q116" s="3" t="inlineStr">
        <is>
          <t>200 m3 for various equipment pads; includes anchor bolt blockouts</t>
        </is>
      </c>
      <c r="R116" s="3">
        <f>VLOOKUP($F116,Inputs!$D$6:$E$41,2,FALSE)</f>
        <v/>
      </c>
      <c r="S116" s="36">
        <f>VLOOKUP($E116,Inputs!$A$6:$B$13,2,FALSE)*Inputs!$B$2</f>
        <v/>
      </c>
      <c r="T116" s="35">
        <f>$L116*$S116</f>
        <v/>
      </c>
      <c r="U116" s="35">
        <f>$L116+$T116</f>
        <v/>
      </c>
    </row>
    <row r="117">
      <c r="A117" s="3" t="inlineStr">
        <is>
          <t>PKG-05::L010</t>
        </is>
      </c>
      <c r="B117" s="3" t="inlineStr">
        <is>
          <t>PKG-05</t>
        </is>
      </c>
      <c r="C117" s="3" t="n"/>
      <c r="D117" s="3" t="inlineStr">
        <is>
          <t>L010</t>
        </is>
      </c>
      <c r="E117" s="3" t="inlineStr">
        <is>
          <t>CD</t>
        </is>
      </c>
      <c r="F117" s="3" t="inlineStr">
        <is>
          <t>PKG-05</t>
        </is>
      </c>
      <c r="G117" s="3" t="n"/>
      <c r="H117" s="3" t="inlineStr">
        <is>
          <t>Equipment Pad Installation - concrete placement with anchor bolts and grout pockets</t>
        </is>
      </c>
      <c r="I117" s="22" t="n">
        <v>200</v>
      </c>
      <c r="J117" s="3" t="inlineStr">
        <is>
          <t>m3</t>
        </is>
      </c>
      <c r="K117" s="39" t="n">
        <v>250</v>
      </c>
      <c r="L117" s="35" t="n">
        <v>50000</v>
      </c>
      <c r="M117" s="3" t="inlineStr">
        <is>
          <t>CAD</t>
        </is>
      </c>
      <c r="N117" s="3" t="inlineStr">
        <is>
          <t>ALLOWANCE</t>
        </is>
      </c>
      <c r="O117" s="3" t="inlineStr">
        <is>
          <t>A-007</t>
        </is>
      </c>
      <c r="P117" s="3" t="inlineStr">
        <is>
          <t>LOW</t>
        </is>
      </c>
      <c r="Q117" s="3" t="inlineStr">
        <is>
          <t>Installation includes precision anchor bolt placement</t>
        </is>
      </c>
      <c r="R117" s="3">
        <f>VLOOKUP($F117,Inputs!$D$6:$E$41,2,FALSE)</f>
        <v/>
      </c>
      <c r="S117" s="36">
        <f>VLOOKUP($E117,Inputs!$A$6:$B$13,2,FALSE)*Inputs!$B$2</f>
        <v/>
      </c>
      <c r="T117" s="35">
        <f>$L117*$S117</f>
        <v/>
      </c>
      <c r="U117" s="35">
        <f>$L117+$T117</f>
        <v/>
      </c>
    </row>
    <row r="118">
      <c r="A118" s="3" t="inlineStr">
        <is>
          <t>PKG-05::L011</t>
        </is>
      </c>
      <c r="B118" s="3" t="inlineStr">
        <is>
          <t>PKG-05</t>
        </is>
      </c>
      <c r="C118" s="3" t="n"/>
      <c r="D118" s="3" t="inlineStr">
        <is>
          <t>L011</t>
        </is>
      </c>
      <c r="E118" s="3" t="inlineStr">
        <is>
          <t>MAT</t>
        </is>
      </c>
      <c r="F118" s="3" t="inlineStr">
        <is>
          <t>PKG-05</t>
        </is>
      </c>
      <c r="G118" s="3" t="n"/>
      <c r="H118" s="3" t="inlineStr">
        <is>
          <t>Thrust Block Concrete - ready-mix for underground piping thrust blocks</t>
        </is>
      </c>
      <c r="I118" s="22" t="n">
        <v>80</v>
      </c>
      <c r="J118" s="3" t="inlineStr">
        <is>
          <t>m3</t>
        </is>
      </c>
      <c r="K118" s="39" t="n">
        <v>210</v>
      </c>
      <c r="L118" s="35" t="n">
        <v>16800</v>
      </c>
      <c r="M118" s="3" t="inlineStr">
        <is>
          <t>CAD</t>
        </is>
      </c>
      <c r="N118" s="3" t="inlineStr">
        <is>
          <t>ALLOWANCE</t>
        </is>
      </c>
      <c r="O118" s="3" t="inlineStr">
        <is>
          <t>A-008</t>
        </is>
      </c>
      <c r="P118" s="3" t="inlineStr">
        <is>
          <t>LOW</t>
        </is>
      </c>
      <c r="Q118" s="3" t="inlineStr">
        <is>
          <t>80 m3 for approximately 20 thrust block locations</t>
        </is>
      </c>
      <c r="R118" s="3">
        <f>VLOOKUP($F118,Inputs!$D$6:$E$41,2,FALSE)</f>
        <v/>
      </c>
      <c r="S118" s="36">
        <f>VLOOKUP($E118,Inputs!$A$6:$B$13,2,FALSE)*Inputs!$B$2</f>
        <v/>
      </c>
      <c r="T118" s="35">
        <f>$L118*$S118</f>
        <v/>
      </c>
      <c r="U118" s="35">
        <f>$L118+$T118</f>
        <v/>
      </c>
    </row>
    <row r="119">
      <c r="A119" s="3" t="inlineStr">
        <is>
          <t>PKG-05::L012</t>
        </is>
      </c>
      <c r="B119" s="3" t="inlineStr">
        <is>
          <t>PKG-05</t>
        </is>
      </c>
      <c r="C119" s="3" t="n"/>
      <c r="D119" s="3" t="inlineStr">
        <is>
          <t>L012</t>
        </is>
      </c>
      <c r="E119" s="3" t="inlineStr">
        <is>
          <t>CD</t>
        </is>
      </c>
      <c r="F119" s="3" t="inlineStr">
        <is>
          <t>PKG-05</t>
        </is>
      </c>
      <c r="G119" s="3" t="n"/>
      <c r="H119" s="3" t="inlineStr">
        <is>
          <t>Thrust Block Installation - concrete placement in trench locations</t>
        </is>
      </c>
      <c r="I119" s="22" t="n">
        <v>80</v>
      </c>
      <c r="J119" s="3" t="inlineStr">
        <is>
          <t>m3</t>
        </is>
      </c>
      <c r="K119" s="39" t="n">
        <v>200</v>
      </c>
      <c r="L119" s="35" t="n">
        <v>16000</v>
      </c>
      <c r="M119" s="3" t="inlineStr">
        <is>
          <t>CAD</t>
        </is>
      </c>
      <c r="N119" s="3" t="inlineStr">
        <is>
          <t>ALLOWANCE</t>
        </is>
      </c>
      <c r="O119" s="3" t="inlineStr">
        <is>
          <t>A-008</t>
        </is>
      </c>
      <c r="P119" s="3" t="inlineStr">
        <is>
          <t>LOW</t>
        </is>
      </c>
      <c r="Q119" s="3" t="inlineStr">
        <is>
          <t>Installation in excavated locations</t>
        </is>
      </c>
      <c r="R119" s="3">
        <f>VLOOKUP($F119,Inputs!$D$6:$E$41,2,FALSE)</f>
        <v/>
      </c>
      <c r="S119" s="36">
        <f>VLOOKUP($E119,Inputs!$A$6:$B$13,2,FALSE)*Inputs!$B$2</f>
        <v/>
      </c>
      <c r="T119" s="35">
        <f>$L119*$S119</f>
        <v/>
      </c>
      <c r="U119" s="35">
        <f>$L119+$T119</f>
        <v/>
      </c>
    </row>
    <row r="120">
      <c r="A120" s="3" t="inlineStr">
        <is>
          <t>PKG-05::L013</t>
        </is>
      </c>
      <c r="B120" s="3" t="inlineStr">
        <is>
          <t>PKG-05</t>
        </is>
      </c>
      <c r="C120" s="3" t="n"/>
      <c r="D120" s="3" t="inlineStr">
        <is>
          <t>L013</t>
        </is>
      </c>
      <c r="E120" s="3" t="inlineStr">
        <is>
          <t>MAT</t>
        </is>
      </c>
      <c r="F120" s="3" t="inlineStr">
        <is>
          <t>PKG-05</t>
        </is>
      </c>
      <c r="G120" s="3" t="n"/>
      <c r="H120" s="3" t="inlineStr">
        <is>
          <t>Reinforcing Steel Supply - fabricated rebar delivered (all structures)</t>
        </is>
      </c>
      <c r="I120" s="22" t="n">
        <v>180000</v>
      </c>
      <c r="J120" s="3" t="inlineStr">
        <is>
          <t>kg</t>
        </is>
      </c>
      <c r="K120" s="39" t="n">
        <v>2</v>
      </c>
      <c r="L120" s="35" t="n">
        <v>360000</v>
      </c>
      <c r="M120" s="3" t="inlineStr">
        <is>
          <t>CAD</t>
        </is>
      </c>
      <c r="N120" s="3" t="inlineStr">
        <is>
          <t>ALLOWANCE</t>
        </is>
      </c>
      <c r="O120" s="3" t="inlineStr">
        <is>
          <t>A-009</t>
        </is>
      </c>
      <c r="P120" s="3" t="inlineStr">
        <is>
          <t>LOW</t>
        </is>
      </c>
      <c r="Q120" s="3" t="inlineStr">
        <is>
          <t>180 tonnes total; 100-150 kg/m3 ratio depending on element type</t>
        </is>
      </c>
      <c r="R120" s="3">
        <f>VLOOKUP($F120,Inputs!$D$6:$E$41,2,FALSE)</f>
        <v/>
      </c>
      <c r="S120" s="36">
        <f>VLOOKUP($E120,Inputs!$A$6:$B$13,2,FALSE)*Inputs!$B$2</f>
        <v/>
      </c>
      <c r="T120" s="35">
        <f>$L120*$S120</f>
        <v/>
      </c>
      <c r="U120" s="35">
        <f>$L120+$T120</f>
        <v/>
      </c>
    </row>
    <row r="121">
      <c r="A121" s="3" t="inlineStr">
        <is>
          <t>PKG-05::L014</t>
        </is>
      </c>
      <c r="B121" s="3" t="inlineStr">
        <is>
          <t>PKG-05</t>
        </is>
      </c>
      <c r="C121" s="3" t="n"/>
      <c r="D121" s="3" t="inlineStr">
        <is>
          <t>L014</t>
        </is>
      </c>
      <c r="E121" s="3" t="inlineStr">
        <is>
          <t>CD</t>
        </is>
      </c>
      <c r="F121" s="3" t="inlineStr">
        <is>
          <t>PKG-05</t>
        </is>
      </c>
      <c r="G121" s="3" t="n"/>
      <c r="H121" s="3" t="inlineStr">
        <is>
          <t>Reinforcing Steel Installation - placement tying inspection</t>
        </is>
      </c>
      <c r="I121" s="22" t="n">
        <v>180000</v>
      </c>
      <c r="J121" s="3" t="inlineStr">
        <is>
          <t>kg</t>
        </is>
      </c>
      <c r="K121" s="39" t="n">
        <v>1</v>
      </c>
      <c r="L121" s="35" t="n">
        <v>180000</v>
      </c>
      <c r="M121" s="3" t="inlineStr">
        <is>
          <t>CAD</t>
        </is>
      </c>
      <c r="N121" s="3" t="inlineStr">
        <is>
          <t>ALLOWANCE</t>
        </is>
      </c>
      <c r="O121" s="3" t="inlineStr">
        <is>
          <t>A-009</t>
        </is>
      </c>
      <c r="P121" s="3" t="inlineStr">
        <is>
          <t>LOW</t>
        </is>
      </c>
      <c r="Q121" s="3" t="inlineStr">
        <is>
          <t>Installation labor for rebar placement</t>
        </is>
      </c>
      <c r="R121" s="3">
        <f>VLOOKUP($F121,Inputs!$D$6:$E$41,2,FALSE)</f>
        <v/>
      </c>
      <c r="S121" s="36">
        <f>VLOOKUP($E121,Inputs!$A$6:$B$13,2,FALSE)*Inputs!$B$2</f>
        <v/>
      </c>
      <c r="T121" s="35">
        <f>$L121*$S121</f>
        <v/>
      </c>
      <c r="U121" s="35">
        <f>$L121+$T121</f>
        <v/>
      </c>
    </row>
    <row r="122">
      <c r="A122" s="3" t="inlineStr">
        <is>
          <t>PKG-05::L015</t>
        </is>
      </c>
      <c r="B122" s="3" t="inlineStr">
        <is>
          <t>PKG-05</t>
        </is>
      </c>
      <c r="C122" s="3" t="n"/>
      <c r="D122" s="3" t="inlineStr">
        <is>
          <t>L015</t>
        </is>
      </c>
      <c r="E122" s="3" t="inlineStr">
        <is>
          <t>MAT</t>
        </is>
      </c>
      <c r="F122" s="3" t="inlineStr">
        <is>
          <t>PKG-05</t>
        </is>
      </c>
      <c r="G122" s="3" t="n"/>
      <c r="H122" s="3" t="inlineStr">
        <is>
          <t>Wall Formwork Materials - rental/purchase for containment walls</t>
        </is>
      </c>
      <c r="I122" s="22" t="n">
        <v>1500</v>
      </c>
      <c r="J122" s="3" t="inlineStr">
        <is>
          <t>m2</t>
        </is>
      </c>
      <c r="K122" s="39" t="n">
        <v>40</v>
      </c>
      <c r="L122" s="35" t="n">
        <v>60000</v>
      </c>
      <c r="M122" s="3" t="inlineStr">
        <is>
          <t>CAD</t>
        </is>
      </c>
      <c r="N122" s="3" t="inlineStr">
        <is>
          <t>ALLOWANCE</t>
        </is>
      </c>
      <c r="O122" s="3" t="inlineStr">
        <is>
          <t>A-010</t>
        </is>
      </c>
      <c r="P122" s="3" t="inlineStr">
        <is>
          <t>LOW</t>
        </is>
      </c>
      <c r="Q122" s="3" t="inlineStr">
        <is>
          <t>1500 m2 contact area for containment wall faces</t>
        </is>
      </c>
      <c r="R122" s="3">
        <f>VLOOKUP($F122,Inputs!$D$6:$E$41,2,FALSE)</f>
        <v/>
      </c>
      <c r="S122" s="36">
        <f>VLOOKUP($E122,Inputs!$A$6:$B$13,2,FALSE)*Inputs!$B$2</f>
        <v/>
      </c>
      <c r="T122" s="35">
        <f>$L122*$S122</f>
        <v/>
      </c>
      <c r="U122" s="35">
        <f>$L122+$T122</f>
        <v/>
      </c>
    </row>
    <row r="123">
      <c r="A123" s="3" t="inlineStr">
        <is>
          <t>PKG-05::L016</t>
        </is>
      </c>
      <c r="B123" s="3" t="inlineStr">
        <is>
          <t>PKG-05</t>
        </is>
      </c>
      <c r="C123" s="3" t="n"/>
      <c r="D123" s="3" t="inlineStr">
        <is>
          <t>L016</t>
        </is>
      </c>
      <c r="E123" s="3" t="inlineStr">
        <is>
          <t>CD</t>
        </is>
      </c>
      <c r="F123" s="3" t="inlineStr">
        <is>
          <t>PKG-05</t>
        </is>
      </c>
      <c r="G123" s="3" t="n"/>
      <c r="H123" s="3" t="inlineStr">
        <is>
          <t>Wall Formwork Installation - form erection stripping and cleaning</t>
        </is>
      </c>
      <c r="I123" s="22" t="n">
        <v>1500</v>
      </c>
      <c r="J123" s="3" t="inlineStr">
        <is>
          <t>m2</t>
        </is>
      </c>
      <c r="K123" s="39" t="n">
        <v>50</v>
      </c>
      <c r="L123" s="35" t="n">
        <v>75000</v>
      </c>
      <c r="M123" s="3" t="inlineStr">
        <is>
          <t>CAD</t>
        </is>
      </c>
      <c r="N123" s="3" t="inlineStr">
        <is>
          <t>ALLOWANCE</t>
        </is>
      </c>
      <c r="O123" s="3" t="inlineStr">
        <is>
          <t>A-010</t>
        </is>
      </c>
      <c r="P123" s="3" t="inlineStr">
        <is>
          <t>LOW</t>
        </is>
      </c>
      <c r="Q123" s="3" t="inlineStr">
        <is>
          <t>Formwork labor for wall construction</t>
        </is>
      </c>
      <c r="R123" s="3">
        <f>VLOOKUP($F123,Inputs!$D$6:$E$41,2,FALSE)</f>
        <v/>
      </c>
      <c r="S123" s="36">
        <f>VLOOKUP($E123,Inputs!$A$6:$B$13,2,FALSE)*Inputs!$B$2</f>
        <v/>
      </c>
      <c r="T123" s="35">
        <f>$L123*$S123</f>
        <v/>
      </c>
      <c r="U123" s="35">
        <f>$L123+$T123</f>
        <v/>
      </c>
    </row>
    <row r="124">
      <c r="A124" s="3" t="inlineStr">
        <is>
          <t>PKG-05::L017</t>
        </is>
      </c>
      <c r="B124" s="3" t="inlineStr">
        <is>
          <t>PKG-05</t>
        </is>
      </c>
      <c r="C124" s="3" t="n"/>
      <c r="D124" s="3" t="inlineStr">
        <is>
          <t>L017</t>
        </is>
      </c>
      <c r="E124" s="3" t="inlineStr">
        <is>
          <t>MAT</t>
        </is>
      </c>
      <c r="F124" s="3" t="inlineStr">
        <is>
          <t>PKG-05</t>
        </is>
      </c>
      <c r="G124" s="3" t="n"/>
      <c r="H124" s="3" t="inlineStr">
        <is>
          <t>Waterstops and Joint Materials - PVC waterstops sealants fillers</t>
        </is>
      </c>
      <c r="I124" s="22" t="n">
        <v>1</v>
      </c>
      <c r="J124" s="3" t="inlineStr">
        <is>
          <t>LS</t>
        </is>
      </c>
      <c r="K124" s="39" t="n">
        <v>30000</v>
      </c>
      <c r="L124" s="35" t="n">
        <v>30000</v>
      </c>
      <c r="M124" s="3" t="inlineStr">
        <is>
          <t>CAD</t>
        </is>
      </c>
      <c r="N124" s="3" t="inlineStr">
        <is>
          <t>ALLOWANCE</t>
        </is>
      </c>
      <c r="O124" s="3" t="inlineStr">
        <is>
          <t>A-011</t>
        </is>
      </c>
      <c r="P124" s="3" t="inlineStr">
        <is>
          <t>LOW</t>
        </is>
      </c>
      <c r="Q124" s="3" t="inlineStr">
        <is>
          <t>600m of construction joints with waterstops for containment integrity</t>
        </is>
      </c>
      <c r="R124" s="3">
        <f>VLOOKUP($F124,Inputs!$D$6:$E$41,2,FALSE)</f>
        <v/>
      </c>
      <c r="S124" s="36">
        <f>VLOOKUP($E124,Inputs!$A$6:$B$13,2,FALSE)*Inputs!$B$2</f>
        <v/>
      </c>
      <c r="T124" s="35">
        <f>$L124*$S124</f>
        <v/>
      </c>
      <c r="U124" s="35">
        <f>$L124+$T124</f>
        <v/>
      </c>
    </row>
    <row r="125">
      <c r="A125" s="3" t="inlineStr">
        <is>
          <t>PKG-05::L018</t>
        </is>
      </c>
      <c r="B125" s="3" t="inlineStr">
        <is>
          <t>PKG-05</t>
        </is>
      </c>
      <c r="C125" s="3" t="n"/>
      <c r="D125" s="3" t="inlineStr">
        <is>
          <t>L018</t>
        </is>
      </c>
      <c r="E125" s="3" t="inlineStr">
        <is>
          <t>CD</t>
        </is>
      </c>
      <c r="F125" s="3" t="inlineStr">
        <is>
          <t>PKG-05</t>
        </is>
      </c>
      <c r="G125" s="3" t="n"/>
      <c r="H125" s="3" t="inlineStr">
        <is>
          <t>Waterstop Installation - joint preparation waterstop placement sealing</t>
        </is>
      </c>
      <c r="I125" s="22" t="n">
        <v>1</v>
      </c>
      <c r="J125" s="3" t="inlineStr">
        <is>
          <t>LS</t>
        </is>
      </c>
      <c r="K125" s="39" t="n">
        <v>15000</v>
      </c>
      <c r="L125" s="35" t="n">
        <v>15000</v>
      </c>
      <c r="M125" s="3" t="inlineStr">
        <is>
          <t>CAD</t>
        </is>
      </c>
      <c r="N125" s="3" t="inlineStr">
        <is>
          <t>ALLOWANCE</t>
        </is>
      </c>
      <c r="O125" s="3" t="inlineStr">
        <is>
          <t>A-011</t>
        </is>
      </c>
      <c r="P125" s="3" t="inlineStr">
        <is>
          <t>LOW</t>
        </is>
      </c>
      <c r="Q125" s="3" t="inlineStr">
        <is>
          <t>Installation labor for waterstops and joint treatment</t>
        </is>
      </c>
      <c r="R125" s="3">
        <f>VLOOKUP($F125,Inputs!$D$6:$E$41,2,FALSE)</f>
        <v/>
      </c>
      <c r="S125" s="36">
        <f>VLOOKUP($E125,Inputs!$A$6:$B$13,2,FALSE)*Inputs!$B$2</f>
        <v/>
      </c>
      <c r="T125" s="35">
        <f>$L125*$S125</f>
        <v/>
      </c>
      <c r="U125" s="35">
        <f>$L125+$T125</f>
        <v/>
      </c>
    </row>
    <row r="126">
      <c r="A126" s="3" t="inlineStr">
        <is>
          <t>PKG-05::L019</t>
        </is>
      </c>
      <c r="B126" s="3" t="inlineStr">
        <is>
          <t>PKG-05</t>
        </is>
      </c>
      <c r="C126" s="3" t="n"/>
      <c r="D126" s="3" t="inlineStr">
        <is>
          <t>L019</t>
        </is>
      </c>
      <c r="E126" s="3" t="inlineStr">
        <is>
          <t>MAT</t>
        </is>
      </c>
      <c r="F126" s="3" t="inlineStr">
        <is>
          <t>PKG-05</t>
        </is>
      </c>
      <c r="G126" s="3" t="n"/>
      <c r="H126" s="3" t="inlineStr">
        <is>
          <t>Ground Liner Interface Materials - anchor curbs penetration details</t>
        </is>
      </c>
      <c r="I126" s="22" t="n">
        <v>1</v>
      </c>
      <c r="J126" s="3" t="inlineStr">
        <is>
          <t>LS</t>
        </is>
      </c>
      <c r="K126" s="39" t="n">
        <v>55000</v>
      </c>
      <c r="L126" s="35" t="n">
        <v>55000</v>
      </c>
      <c r="M126" s="3" t="inlineStr">
        <is>
          <t>CAD</t>
        </is>
      </c>
      <c r="N126" s="3" t="inlineStr">
        <is>
          <t>ALLOWANCE</t>
        </is>
      </c>
      <c r="O126" s="3" t="inlineStr">
        <is>
          <t>A-012</t>
        </is>
      </c>
      <c r="P126" s="3" t="inlineStr">
        <is>
          <t>LOW</t>
        </is>
      </c>
      <c r="Q126" s="3" t="inlineStr">
        <is>
          <t>Concrete curbs and penetration sealing for liner system interface</t>
        </is>
      </c>
      <c r="R126" s="3">
        <f>VLOOKUP($F126,Inputs!$D$6:$E$41,2,FALSE)</f>
        <v/>
      </c>
      <c r="S126" s="36">
        <f>VLOOKUP($E126,Inputs!$A$6:$B$13,2,FALSE)*Inputs!$B$2</f>
        <v/>
      </c>
      <c r="T126" s="35">
        <f>$L126*$S126</f>
        <v/>
      </c>
      <c r="U126" s="35">
        <f>$L126+$T126</f>
        <v/>
      </c>
    </row>
    <row r="127">
      <c r="A127" s="3" t="inlineStr">
        <is>
          <t>PKG-05::L020</t>
        </is>
      </c>
      <c r="B127" s="3" t="inlineStr">
        <is>
          <t>PKG-05</t>
        </is>
      </c>
      <c r="C127" s="3" t="n"/>
      <c r="D127" s="3" t="inlineStr">
        <is>
          <t>L020</t>
        </is>
      </c>
      <c r="E127" s="3" t="inlineStr">
        <is>
          <t>CD</t>
        </is>
      </c>
      <c r="F127" s="3" t="inlineStr">
        <is>
          <t>PKG-05</t>
        </is>
      </c>
      <c r="G127" s="3" t="n"/>
      <c r="H127" s="3" t="inlineStr">
        <is>
          <t>Ground Liner Interface Installation - curb construction and penetration work</t>
        </is>
      </c>
      <c r="I127" s="22" t="n">
        <v>1</v>
      </c>
      <c r="J127" s="3" t="inlineStr">
        <is>
          <t>LS</t>
        </is>
      </c>
      <c r="K127" s="39" t="n">
        <v>20000</v>
      </c>
      <c r="L127" s="35" t="n">
        <v>20000</v>
      </c>
      <c r="M127" s="3" t="inlineStr">
        <is>
          <t>CAD</t>
        </is>
      </c>
      <c r="N127" s="3" t="inlineStr">
        <is>
          <t>ALLOWANCE</t>
        </is>
      </c>
      <c r="O127" s="3" t="inlineStr">
        <is>
          <t>A-012</t>
        </is>
      </c>
      <c r="P127" s="3" t="inlineStr">
        <is>
          <t>LOW</t>
        </is>
      </c>
      <c r="Q127" s="3" t="inlineStr">
        <is>
          <t>Installation of liner anchor system and penetration details</t>
        </is>
      </c>
      <c r="R127" s="3">
        <f>VLOOKUP($F127,Inputs!$D$6:$E$41,2,FALSE)</f>
        <v/>
      </c>
      <c r="S127" s="36">
        <f>VLOOKUP($E127,Inputs!$A$6:$B$13,2,FALSE)*Inputs!$B$2</f>
        <v/>
      </c>
      <c r="T127" s="35">
        <f>$L127*$S127</f>
        <v/>
      </c>
      <c r="U127" s="35">
        <f>$L127+$T127</f>
        <v/>
      </c>
    </row>
    <row r="128">
      <c r="A128" s="3" t="inlineStr">
        <is>
          <t>PKG-05::L021</t>
        </is>
      </c>
      <c r="B128" s="3" t="inlineStr">
        <is>
          <t>PKG-05</t>
        </is>
      </c>
      <c r="C128" s="3" t="n"/>
      <c r="D128" s="3" t="inlineStr">
        <is>
          <t>L021</t>
        </is>
      </c>
      <c r="E128" s="3" t="inlineStr">
        <is>
          <t>CI</t>
        </is>
      </c>
      <c r="F128" s="3" t="inlineStr">
        <is>
          <t>PKG-05</t>
        </is>
      </c>
      <c r="G128" s="3" t="n"/>
      <c r="H128" s="3" t="inlineStr">
        <is>
          <t>Concrete Testing and Quality Control - cylinder testing field QC third-party inspection</t>
        </is>
      </c>
      <c r="I128" s="22" t="n">
        <v>1</v>
      </c>
      <c r="J128" s="3" t="inlineStr">
        <is>
          <t>LS</t>
        </is>
      </c>
      <c r="K128" s="39" t="n">
        <v>65000</v>
      </c>
      <c r="L128" s="35" t="n">
        <v>65000</v>
      </c>
      <c r="M128" s="3" t="inlineStr">
        <is>
          <t>CAD</t>
        </is>
      </c>
      <c r="N128" s="3" t="inlineStr">
        <is>
          <t>ALLOWANCE</t>
        </is>
      </c>
      <c r="O128" s="3" t="inlineStr">
        <is>
          <t>A-013</t>
        </is>
      </c>
      <c r="P128" s="3" t="inlineStr">
        <is>
          <t>MED</t>
        </is>
      </c>
      <c r="Q128" s="3" t="inlineStr">
        <is>
          <t>Testing program for 1330 m3 concrete; includes lab and field testing</t>
        </is>
      </c>
      <c r="R128" s="3">
        <f>VLOOKUP($F128,Inputs!$D$6:$E$41,2,FALSE)</f>
        <v/>
      </c>
      <c r="S128" s="36">
        <f>VLOOKUP($E128,Inputs!$A$6:$B$13,2,FALSE)*Inputs!$B$2</f>
        <v/>
      </c>
      <c r="T128" s="35">
        <f>$L128*$S128</f>
        <v/>
      </c>
      <c r="U128" s="35">
        <f>$L128+$T128</f>
        <v/>
      </c>
    </row>
    <row r="129">
      <c r="A129" s="3" t="inlineStr">
        <is>
          <t>PKG-05::L022</t>
        </is>
      </c>
      <c r="B129" s="3" t="inlineStr">
        <is>
          <t>PKG-05</t>
        </is>
      </c>
      <c r="C129" s="3" t="n"/>
      <c r="D129" s="3" t="inlineStr">
        <is>
          <t>L022</t>
        </is>
      </c>
      <c r="E129" s="3" t="inlineStr">
        <is>
          <t>CI</t>
        </is>
      </c>
      <c r="F129" s="3" t="inlineStr">
        <is>
          <t>PKG-05</t>
        </is>
      </c>
      <c r="G129" s="3" t="n"/>
      <c r="H129" s="3" t="inlineStr">
        <is>
          <t>Construction Indirects - field supervision site overhead QA/QC (factor-based)</t>
        </is>
      </c>
      <c r="I129" s="22" t="n">
        <v>1</v>
      </c>
      <c r="J129" s="3" t="inlineStr">
        <is>
          <t>LS</t>
        </is>
      </c>
      <c r="K129" s="39" t="n">
        <v>144720</v>
      </c>
      <c r="L129" s="35" t="n">
        <v>144720</v>
      </c>
      <c r="M129" s="3" t="inlineStr">
        <is>
          <t>CAD</t>
        </is>
      </c>
      <c r="N129" s="3" t="inlineStr">
        <is>
          <t>PARAMETRIC</t>
        </is>
      </c>
      <c r="O129" s="3" t="inlineStr">
        <is>
          <t>D-006</t>
        </is>
      </c>
      <c r="P129" s="3" t="inlineStr">
        <is>
          <t>LOW</t>
        </is>
      </c>
      <c r="Q129" s="3" t="inlineStr">
        <is>
          <t>18% of CD base ($803</t>
        </is>
      </c>
      <c r="R129" s="3">
        <f>VLOOKUP($F129,Inputs!$D$6:$E$41,2,FALSE)</f>
        <v/>
      </c>
      <c r="S129" s="36">
        <f>VLOOKUP($E129,Inputs!$A$6:$B$13,2,FALSE)*Inputs!$B$2</f>
        <v/>
      </c>
      <c r="T129" s="35">
        <f>$L129*$S129</f>
        <v/>
      </c>
      <c r="U129" s="35">
        <f>$L129+$T129</f>
        <v/>
      </c>
    </row>
    <row r="130">
      <c r="A130" s="3" t="inlineStr">
        <is>
          <t>PKG-05::L023</t>
        </is>
      </c>
      <c r="B130" s="3" t="inlineStr">
        <is>
          <t>PKG-05</t>
        </is>
      </c>
      <c r="C130" s="3" t="n"/>
      <c r="D130" s="3" t="inlineStr">
        <is>
          <t>L023</t>
        </is>
      </c>
      <c r="E130" s="3" t="inlineStr">
        <is>
          <t>PM</t>
        </is>
      </c>
      <c r="F130" s="3" t="inlineStr">
        <is>
          <t>PKG-05</t>
        </is>
      </c>
      <c r="G130" s="3" t="n"/>
      <c r="H130" s="3" t="inlineStr">
        <is>
          <t>EPCM / Project Management - PKG-05 allocation (factor-based)</t>
        </is>
      </c>
      <c r="I130" s="22" t="n">
        <v>1</v>
      </c>
      <c r="J130" s="3" t="inlineStr">
        <is>
          <t>LS</t>
        </is>
      </c>
      <c r="K130" s="39" t="n">
        <v>111871</v>
      </c>
      <c r="L130" s="35" t="n">
        <v>111871</v>
      </c>
      <c r="M130" s="3" t="inlineStr">
        <is>
          <t>CAD</t>
        </is>
      </c>
      <c r="N130" s="3" t="inlineStr">
        <is>
          <t>PARAMETRIC</t>
        </is>
      </c>
      <c r="O130" s="3" t="inlineStr">
        <is>
          <t>D-006</t>
        </is>
      </c>
      <c r="P130" s="3" t="inlineStr">
        <is>
          <t>MED</t>
        </is>
      </c>
      <c r="Q130" s="3" t="inlineStr">
        <is>
          <t>6% of (CD+CI+MAT) = 6% x ($803.8k + $209.7k + $850.8k) = $111.9k</t>
        </is>
      </c>
      <c r="R130" s="3">
        <f>VLOOKUP($F130,Inputs!$D$6:$E$41,2,FALSE)</f>
        <v/>
      </c>
      <c r="S130" s="36">
        <f>VLOOKUP($E130,Inputs!$A$6:$B$13,2,FALSE)*Inputs!$B$2</f>
        <v/>
      </c>
      <c r="T130" s="35">
        <f>$L130*$S130</f>
        <v/>
      </c>
      <c r="U130" s="35">
        <f>$L130+$T130</f>
        <v/>
      </c>
    </row>
    <row r="131">
      <c r="A131" s="3" t="inlineStr">
        <is>
          <t>PKG-05::L024</t>
        </is>
      </c>
      <c r="B131" s="3" t="inlineStr">
        <is>
          <t>PKG-05</t>
        </is>
      </c>
      <c r="C131" s="3" t="n"/>
      <c r="D131" s="3" t="inlineStr">
        <is>
          <t>L024</t>
        </is>
      </c>
      <c r="E131" s="3" t="inlineStr">
        <is>
          <t>P</t>
        </is>
      </c>
      <c r="F131" s="3" t="inlineStr">
        <is>
          <t>PKG-05</t>
        </is>
      </c>
      <c r="G131" s="3" t="n"/>
      <c r="H131" s="3" t="inlineStr">
        <is>
          <t>Procurement Services - vendor coordination expediting (factor-based)</t>
        </is>
      </c>
      <c r="I131" s="22" t="n">
        <v>1</v>
      </c>
      <c r="J131" s="3" t="inlineStr">
        <is>
          <t>LS</t>
        </is>
      </c>
      <c r="K131" s="39" t="n">
        <v>17016</v>
      </c>
      <c r="L131" s="35" t="n">
        <v>17016</v>
      </c>
      <c r="M131" s="3" t="inlineStr">
        <is>
          <t>CAD</t>
        </is>
      </c>
      <c r="N131" s="3" t="inlineStr">
        <is>
          <t>PARAMETRIC</t>
        </is>
      </c>
      <c r="O131" s="3" t="inlineStr">
        <is>
          <t>D-006</t>
        </is>
      </c>
      <c r="P131" s="3" t="inlineStr">
        <is>
          <t>MED</t>
        </is>
      </c>
      <c r="Q131" s="3" t="inlineStr">
        <is>
          <t>2% of MAT = 2% x $850</t>
        </is>
      </c>
      <c r="R131" s="3">
        <f>VLOOKUP($F131,Inputs!$D$6:$E$41,2,FALSE)</f>
        <v/>
      </c>
      <c r="S131" s="36">
        <f>VLOOKUP($E131,Inputs!$A$6:$B$13,2,FALSE)*Inputs!$B$2</f>
        <v/>
      </c>
      <c r="T131" s="35">
        <f>$L131*$S131</f>
        <v/>
      </c>
      <c r="U131" s="35">
        <f>$L131+$T131</f>
        <v/>
      </c>
    </row>
    <row r="132">
      <c r="A132" s="3" t="inlineStr">
        <is>
          <t>PKG-06::L001</t>
        </is>
      </c>
      <c r="B132" s="3" t="inlineStr">
        <is>
          <t>PKG-06</t>
        </is>
      </c>
      <c r="C132" s="3" t="inlineStr">
        <is>
          <t>DEL-06.01</t>
        </is>
      </c>
      <c r="D132" s="3" t="inlineStr">
        <is>
          <t>L001</t>
        </is>
      </c>
      <c r="E132" s="3" t="inlineStr">
        <is>
          <t>E</t>
        </is>
      </c>
      <c r="F132" s="3" t="inlineStr">
        <is>
          <t>PKG-06</t>
        </is>
      </c>
      <c r="G132" s="3" t="inlineStr">
        <is>
          <t>DEL-06.01</t>
        </is>
      </c>
      <c r="H132" s="3" t="inlineStr">
        <is>
          <t>Structural Steel Design Drawing Set - CAD drafting (platform GAs stair drawings gangway drawings pipe rack drawings handrail details)</t>
        </is>
      </c>
      <c r="I132" s="22" t="n">
        <v>1</v>
      </c>
      <c r="J132" s="3" t="inlineStr">
        <is>
          <t>LS</t>
        </is>
      </c>
      <c r="K132" s="39" t="n">
        <v>45000</v>
      </c>
      <c r="L132" s="35" t="n">
        <v>45000</v>
      </c>
      <c r="M132" s="3" t="inlineStr">
        <is>
          <t>CAD</t>
        </is>
      </c>
      <c r="N132" s="3" t="inlineStr">
        <is>
          <t>ALLOWANCE</t>
        </is>
      </c>
      <c r="O132" s="3" t="inlineStr">
        <is>
          <t>A-001</t>
        </is>
      </c>
      <c r="P132" s="3" t="inlineStr">
        <is>
          <t>LOW</t>
        </is>
      </c>
      <c r="Q132" s="3" t="inlineStr">
        <is>
          <t>~12-15 sheets at $3.5k/sheet average</t>
        </is>
      </c>
      <c r="R132" s="3">
        <f>VLOOKUP($F132,Inputs!$D$6:$E$41,2,FALSE)</f>
        <v/>
      </c>
      <c r="S132" s="36">
        <f>VLOOKUP($E132,Inputs!$A$6:$B$13,2,FALSE)*Inputs!$B$2</f>
        <v/>
      </c>
      <c r="T132" s="35">
        <f>$L132*$S132</f>
        <v/>
      </c>
      <c r="U132" s="35">
        <f>$L132+$T132</f>
        <v/>
      </c>
    </row>
    <row r="133">
      <c r="A133" s="3" t="inlineStr">
        <is>
          <t>PKG-06::L002</t>
        </is>
      </c>
      <c r="B133" s="3" t="inlineStr">
        <is>
          <t>PKG-06</t>
        </is>
      </c>
      <c r="C133" s="3" t="inlineStr">
        <is>
          <t>DEL-06.02</t>
        </is>
      </c>
      <c r="D133" s="3" t="inlineStr">
        <is>
          <t>L002</t>
        </is>
      </c>
      <c r="E133" s="3" t="inlineStr">
        <is>
          <t>E</t>
        </is>
      </c>
      <c r="F133" s="3" t="inlineStr">
        <is>
          <t>PKG-06</t>
        </is>
      </c>
      <c r="G133" s="3" t="inlineStr">
        <is>
          <t>DEL-06.02</t>
        </is>
      </c>
      <c r="H133" s="3" t="inlineStr">
        <is>
          <t>Structural Steel Technical Specification - spec writing (structural steel handrails grating)</t>
        </is>
      </c>
      <c r="I133" s="22" t="n">
        <v>1</v>
      </c>
      <c r="J133" s="3" t="inlineStr">
        <is>
          <t>LS</t>
        </is>
      </c>
      <c r="K133" s="39" t="n">
        <v>12000</v>
      </c>
      <c r="L133" s="35" t="n">
        <v>12000</v>
      </c>
      <c r="M133" s="3" t="inlineStr">
        <is>
          <t>CAD</t>
        </is>
      </c>
      <c r="N133" s="3" t="inlineStr">
        <is>
          <t>ALLOWANCE</t>
        </is>
      </c>
      <c r="O133" s="3" t="inlineStr">
        <is>
          <t>A-002</t>
        </is>
      </c>
      <c r="P133" s="3" t="inlineStr">
        <is>
          <t>LOW</t>
        </is>
      </c>
      <c r="Q133" s="3" t="inlineStr">
        <is>
          <t>~80 hours at $150/hr for 3 specification sections</t>
        </is>
      </c>
      <c r="R133" s="3">
        <f>VLOOKUP($F133,Inputs!$D$6:$E$41,2,FALSE)</f>
        <v/>
      </c>
      <c r="S133" s="36">
        <f>VLOOKUP($E133,Inputs!$A$6:$B$13,2,FALSE)*Inputs!$B$2</f>
        <v/>
      </c>
      <c r="T133" s="35">
        <f>$L133*$S133</f>
        <v/>
      </c>
      <c r="U133" s="35">
        <f>$L133+$T133</f>
        <v/>
      </c>
    </row>
    <row r="134">
      <c r="A134" s="3" t="inlineStr">
        <is>
          <t>PKG-06::L003</t>
        </is>
      </c>
      <c r="B134" s="3" t="inlineStr">
        <is>
          <t>PKG-06</t>
        </is>
      </c>
      <c r="C134" s="3" t="inlineStr">
        <is>
          <t>DEL-06.03</t>
        </is>
      </c>
      <c r="D134" s="3" t="inlineStr">
        <is>
          <t>L003</t>
        </is>
      </c>
      <c r="E134" s="3" t="inlineStr">
        <is>
          <t>E</t>
        </is>
      </c>
      <c r="F134" s="3" t="inlineStr">
        <is>
          <t>PKG-06</t>
        </is>
      </c>
      <c r="G134" s="3" t="inlineStr">
        <is>
          <t>DEL-06.03</t>
        </is>
      </c>
      <c r="H134" s="3" t="inlineStr">
        <is>
          <t>Structural Steel Design Calculations - platform pipe rack connection stair gangway analysis</t>
        </is>
      </c>
      <c r="I134" s="22" t="n">
        <v>1</v>
      </c>
      <c r="J134" s="3" t="inlineStr">
        <is>
          <t>LS</t>
        </is>
      </c>
      <c r="K134" s="39" t="n">
        <v>18000</v>
      </c>
      <c r="L134" s="35" t="n">
        <v>18000</v>
      </c>
      <c r="M134" s="3" t="inlineStr">
        <is>
          <t>CAD</t>
        </is>
      </c>
      <c r="N134" s="3" t="inlineStr">
        <is>
          <t>ALLOWANCE</t>
        </is>
      </c>
      <c r="O134" s="3" t="inlineStr">
        <is>
          <t>A-003</t>
        </is>
      </c>
      <c r="P134" s="3" t="inlineStr">
        <is>
          <t>LOW</t>
        </is>
      </c>
      <c r="Q134" s="3" t="inlineStr">
        <is>
          <t>~100 hours at $175/hr structural engineering</t>
        </is>
      </c>
      <c r="R134" s="3">
        <f>VLOOKUP($F134,Inputs!$D$6:$E$41,2,FALSE)</f>
        <v/>
      </c>
      <c r="S134" s="36">
        <f>VLOOKUP($E134,Inputs!$A$6:$B$13,2,FALSE)*Inputs!$B$2</f>
        <v/>
      </c>
      <c r="T134" s="35">
        <f>$L134*$S134</f>
        <v/>
      </c>
      <c r="U134" s="35">
        <f>$L134+$T134</f>
        <v/>
      </c>
    </row>
    <row r="135">
      <c r="A135" s="3" t="inlineStr">
        <is>
          <t>PKG-06::L004</t>
        </is>
      </c>
      <c r="B135" s="3" t="inlineStr">
        <is>
          <t>PKG-06</t>
        </is>
      </c>
      <c r="C135" s="3" t="inlineStr">
        <is>
          <t>DEL-06.04</t>
        </is>
      </c>
      <c r="D135" s="3" t="inlineStr">
        <is>
          <t>L004</t>
        </is>
      </c>
      <c r="E135" s="3" t="inlineStr">
        <is>
          <t>E</t>
        </is>
      </c>
      <c r="F135" s="3" t="inlineStr">
        <is>
          <t>PKG-06</t>
        </is>
      </c>
      <c r="G135" s="3" t="inlineStr">
        <is>
          <t>DEL-06.04</t>
        </is>
      </c>
      <c r="H135" s="3" t="inlineStr">
        <is>
          <t>Structural Steel Data Sheet Package - gangway and grating data sheets compilation</t>
        </is>
      </c>
      <c r="I135" s="22" t="n">
        <v>1</v>
      </c>
      <c r="J135" s="3" t="inlineStr">
        <is>
          <t>LS</t>
        </is>
      </c>
      <c r="K135" s="39" t="n">
        <v>6000</v>
      </c>
      <c r="L135" s="35" t="n">
        <v>6000</v>
      </c>
      <c r="M135" s="3" t="inlineStr">
        <is>
          <t>CAD</t>
        </is>
      </c>
      <c r="N135" s="3" t="inlineStr">
        <is>
          <t>ALLOWANCE</t>
        </is>
      </c>
      <c r="O135" s="3" t="inlineStr">
        <is>
          <t>A-004</t>
        </is>
      </c>
      <c r="P135" s="3" t="inlineStr">
        <is>
          <t>LOW</t>
        </is>
      </c>
      <c r="Q135" s="3" t="inlineStr">
        <is>
          <t>~40 hours at $140/hr</t>
        </is>
      </c>
      <c r="R135" s="3">
        <f>VLOOKUP($F135,Inputs!$D$6:$E$41,2,FALSE)</f>
        <v/>
      </c>
      <c r="S135" s="36">
        <f>VLOOKUP($E135,Inputs!$A$6:$B$13,2,FALSE)*Inputs!$B$2</f>
        <v/>
      </c>
      <c r="T135" s="35">
        <f>$L135*$S135</f>
        <v/>
      </c>
      <c r="U135" s="35">
        <f>$L135+$T135</f>
        <v/>
      </c>
    </row>
    <row r="136">
      <c r="A136" s="3" t="inlineStr">
        <is>
          <t>PKG-06::L005</t>
        </is>
      </c>
      <c r="B136" s="3" t="inlineStr">
        <is>
          <t>PKG-06</t>
        </is>
      </c>
      <c r="C136" s="3" t="inlineStr">
        <is>
          <t>DEL-06.05</t>
        </is>
      </c>
      <c r="D136" s="3" t="inlineStr">
        <is>
          <t>L005</t>
        </is>
      </c>
      <c r="E136" s="3" t="inlineStr">
        <is>
          <t>E</t>
        </is>
      </c>
      <c r="F136" s="3" t="inlineStr">
        <is>
          <t>PKG-06</t>
        </is>
      </c>
      <c r="G136" s="3" t="inlineStr">
        <is>
          <t>DEL-06.05</t>
        </is>
      </c>
      <c r="H136" s="3" t="inlineStr">
        <is>
          <t>Structural Steel QA/QC Records - mill certs weld inspection records galvanizing certs compilation</t>
        </is>
      </c>
      <c r="I136" s="22" t="n">
        <v>1</v>
      </c>
      <c r="J136" s="3" t="inlineStr">
        <is>
          <t>LS</t>
        </is>
      </c>
      <c r="K136" s="39" t="n">
        <v>8000</v>
      </c>
      <c r="L136" s="35" t="n">
        <v>8000</v>
      </c>
      <c r="M136" s="3" t="inlineStr">
        <is>
          <t>CAD</t>
        </is>
      </c>
      <c r="N136" s="3" t="inlineStr">
        <is>
          <t>ALLOWANCE</t>
        </is>
      </c>
      <c r="O136" s="3" t="inlineStr">
        <is>
          <t>A-005</t>
        </is>
      </c>
      <c r="P136" s="3" t="inlineStr">
        <is>
          <t>LOW</t>
        </is>
      </c>
      <c r="Q136" s="3" t="inlineStr">
        <is>
          <t>~60 hours at $140/hr documentation</t>
        </is>
      </c>
      <c r="R136" s="3">
        <f>VLOOKUP($F136,Inputs!$D$6:$E$41,2,FALSE)</f>
        <v/>
      </c>
      <c r="S136" s="36">
        <f>VLOOKUP($E136,Inputs!$A$6:$B$13,2,FALSE)*Inputs!$B$2</f>
        <v/>
      </c>
      <c r="T136" s="35">
        <f>$L136*$S136</f>
        <v/>
      </c>
      <c r="U136" s="35">
        <f>$L136+$T136</f>
        <v/>
      </c>
    </row>
    <row r="137">
      <c r="A137" s="3" t="inlineStr">
        <is>
          <t>PKG-06::L006</t>
        </is>
      </c>
      <c r="B137" s="3" t="inlineStr">
        <is>
          <t>PKG-06</t>
        </is>
      </c>
      <c r="C137" s="3" t="n"/>
      <c r="D137" s="3" t="inlineStr">
        <is>
          <t>L006</t>
        </is>
      </c>
      <c r="E137" s="3" t="inlineStr">
        <is>
          <t>MAT</t>
        </is>
      </c>
      <c r="F137" s="3" t="inlineStr">
        <is>
          <t>PKG-06</t>
        </is>
      </c>
      <c r="G137" s="3" t="n"/>
      <c r="H137" s="3" t="inlineStr">
        <is>
          <t>Structural Steel Material Supply - fabricated and galvanized (platforms stairs gangways pipe racks handrails supports)</t>
        </is>
      </c>
      <c r="I137" s="22" t="n">
        <v>150</v>
      </c>
      <c r="J137" s="3" t="inlineStr">
        <is>
          <t>tonne</t>
        </is>
      </c>
      <c r="K137" s="39" t="n">
        <v>6000</v>
      </c>
      <c r="L137" s="35" t="n">
        <v>900000</v>
      </c>
      <c r="M137" s="3" t="inlineStr">
        <is>
          <t>CAD</t>
        </is>
      </c>
      <c r="N137" s="3" t="inlineStr">
        <is>
          <t>ALLOWANCE</t>
        </is>
      </c>
      <c r="O137" s="3" t="inlineStr">
        <is>
          <t>A-006</t>
        </is>
      </c>
      <c r="P137" s="3" t="inlineStr">
        <is>
          <t>LOW</t>
        </is>
      </c>
      <c r="Q137" s="3" t="inlineStr">
        <is>
          <t>150 tonnes (D-012) at $6k/tonne fabricated/galvanized</t>
        </is>
      </c>
      <c r="R137" s="3">
        <f>VLOOKUP($F137,Inputs!$D$6:$E$41,2,FALSE)</f>
        <v/>
      </c>
      <c r="S137" s="36">
        <f>VLOOKUP($E137,Inputs!$A$6:$B$13,2,FALSE)*Inputs!$B$2</f>
        <v/>
      </c>
      <c r="T137" s="35">
        <f>$L137*$S137</f>
        <v/>
      </c>
      <c r="U137" s="35">
        <f>$L137+$T137</f>
        <v/>
      </c>
    </row>
    <row r="138">
      <c r="A138" s="3" t="inlineStr">
        <is>
          <t>PKG-06::L007</t>
        </is>
      </c>
      <c r="B138" s="3" t="inlineStr">
        <is>
          <t>PKG-06</t>
        </is>
      </c>
      <c r="C138" s="3" t="n"/>
      <c r="D138" s="3" t="inlineStr">
        <is>
          <t>L007</t>
        </is>
      </c>
      <c r="E138" s="3" t="inlineStr">
        <is>
          <t>CD</t>
        </is>
      </c>
      <c r="F138" s="3" t="inlineStr">
        <is>
          <t>PKG-06</t>
        </is>
      </c>
      <c r="G138" s="3" t="n"/>
      <c r="H138" s="3" t="inlineStr">
        <is>
          <t>Structural Steel Erection Labor - field installation welding connections (150 tonnes)</t>
        </is>
      </c>
      <c r="I138" s="22" t="n">
        <v>3750</v>
      </c>
      <c r="J138" s="3" t="inlineStr">
        <is>
          <t>hrs</t>
        </is>
      </c>
      <c r="K138" s="39" t="n">
        <v>95</v>
      </c>
      <c r="L138" s="35" t="n">
        <v>356000</v>
      </c>
      <c r="M138" s="3" t="inlineStr">
        <is>
          <t>CAD</t>
        </is>
      </c>
      <c r="N138" s="3" t="inlineStr">
        <is>
          <t>ALLOWANCE</t>
        </is>
      </c>
      <c r="O138" s="3" t="inlineStr">
        <is>
          <t>A-007</t>
        </is>
      </c>
      <c r="P138" s="3" t="inlineStr">
        <is>
          <t>LOW</t>
        </is>
      </c>
      <c r="Q138" s="3" t="inlineStr">
        <is>
          <t>25 hrs/tonne × 150 tonnes at $95/hr composite crew rate</t>
        </is>
      </c>
      <c r="R138" s="3">
        <f>VLOOKUP($F138,Inputs!$D$6:$E$41,2,FALSE)</f>
        <v/>
      </c>
      <c r="S138" s="36">
        <f>VLOOKUP($E138,Inputs!$A$6:$B$13,2,FALSE)*Inputs!$B$2</f>
        <v/>
      </c>
      <c r="T138" s="35">
        <f>$L138*$S138</f>
        <v/>
      </c>
      <c r="U138" s="35">
        <f>$L138+$T138</f>
        <v/>
      </c>
    </row>
    <row r="139">
      <c r="A139" s="3" t="inlineStr">
        <is>
          <t>PKG-06::L008</t>
        </is>
      </c>
      <c r="B139" s="3" t="inlineStr">
        <is>
          <t>PKG-06</t>
        </is>
      </c>
      <c r="C139" s="3" t="n"/>
      <c r="D139" s="3" t="inlineStr">
        <is>
          <t>L008</t>
        </is>
      </c>
      <c r="E139" s="3" t="inlineStr">
        <is>
          <t>CD</t>
        </is>
      </c>
      <c r="F139" s="3" t="inlineStr">
        <is>
          <t>PKG-06</t>
        </is>
      </c>
      <c r="G139" s="3" t="n"/>
      <c r="H139" s="3" t="inlineStr">
        <is>
          <t>Crane &amp; Equipment for Steel Erection - mobile crane rigging welding machines access equipment</t>
        </is>
      </c>
      <c r="I139" s="22" t="n">
        <v>1</v>
      </c>
      <c r="J139" s="3" t="inlineStr">
        <is>
          <t>LS</t>
        </is>
      </c>
      <c r="K139" s="39" t="n">
        <v>120000</v>
      </c>
      <c r="L139" s="35" t="n">
        <v>120000</v>
      </c>
      <c r="M139" s="3" t="inlineStr">
        <is>
          <t>CAD</t>
        </is>
      </c>
      <c r="N139" s="3" t="inlineStr">
        <is>
          <t>ALLOWANCE</t>
        </is>
      </c>
      <c r="O139" s="3" t="inlineStr">
        <is>
          <t>A-008</t>
        </is>
      </c>
      <c r="P139" s="3" t="inlineStr">
        <is>
          <t>LOW</t>
        </is>
      </c>
      <c r="Q139" s="3" t="inlineStr">
        <is>
          <t>Crane rental weeks + welding/rigging equipment</t>
        </is>
      </c>
      <c r="R139" s="3">
        <f>VLOOKUP($F139,Inputs!$D$6:$E$41,2,FALSE)</f>
        <v/>
      </c>
      <c r="S139" s="36">
        <f>VLOOKUP($E139,Inputs!$A$6:$B$13,2,FALSE)*Inputs!$B$2</f>
        <v/>
      </c>
      <c r="T139" s="35">
        <f>$L139*$S139</f>
        <v/>
      </c>
      <c r="U139" s="35">
        <f>$L139+$T139</f>
        <v/>
      </c>
    </row>
    <row r="140">
      <c r="A140" s="3" t="inlineStr">
        <is>
          <t>PKG-06::L009</t>
        </is>
      </c>
      <c r="B140" s="3" t="inlineStr">
        <is>
          <t>PKG-06</t>
        </is>
      </c>
      <c r="C140" s="3" t="n"/>
      <c r="D140" s="3" t="inlineStr">
        <is>
          <t>L009</t>
        </is>
      </c>
      <c r="E140" s="3" t="inlineStr">
        <is>
          <t>MAT</t>
        </is>
      </c>
      <c r="F140" s="3" t="inlineStr">
        <is>
          <t>PKG-06</t>
        </is>
      </c>
      <c r="G140" s="3" t="n"/>
      <c r="H140" s="3" t="inlineStr">
        <is>
          <t>Handrail Supply - galvanized steel handrail system (3-rail with posts) material</t>
        </is>
      </c>
      <c r="I140" s="22" t="n">
        <v>400</v>
      </c>
      <c r="J140" s="3" t="inlineStr">
        <is>
          <t>m</t>
        </is>
      </c>
      <c r="K140" s="39" t="n">
        <v>150</v>
      </c>
      <c r="L140" s="35" t="n">
        <v>60000</v>
      </c>
      <c r="M140" s="3" t="inlineStr">
        <is>
          <t>CAD</t>
        </is>
      </c>
      <c r="N140" s="3" t="inlineStr">
        <is>
          <t>ALLOWANCE</t>
        </is>
      </c>
      <c r="O140" s="3" t="inlineStr">
        <is>
          <t>A-009</t>
        </is>
      </c>
      <c r="P140" s="3" t="inlineStr">
        <is>
          <t>LOW</t>
        </is>
      </c>
      <c r="Q140" s="3" t="inlineStr">
        <is>
          <t>400 m (D-013) at $150/m material</t>
        </is>
      </c>
      <c r="R140" s="3">
        <f>VLOOKUP($F140,Inputs!$D$6:$E$41,2,FALSE)</f>
        <v/>
      </c>
      <c r="S140" s="36">
        <f>VLOOKUP($E140,Inputs!$A$6:$B$13,2,FALSE)*Inputs!$B$2</f>
        <v/>
      </c>
      <c r="T140" s="35">
        <f>$L140*$S140</f>
        <v/>
      </c>
      <c r="U140" s="35">
        <f>$L140+$T140</f>
        <v/>
      </c>
    </row>
    <row r="141">
      <c r="A141" s="3" t="inlineStr">
        <is>
          <t>PKG-06::L010</t>
        </is>
      </c>
      <c r="B141" s="3" t="inlineStr">
        <is>
          <t>PKG-06</t>
        </is>
      </c>
      <c r="C141" s="3" t="n"/>
      <c r="D141" s="3" t="inlineStr">
        <is>
          <t>L010</t>
        </is>
      </c>
      <c r="E141" s="3" t="inlineStr">
        <is>
          <t>CD</t>
        </is>
      </c>
      <c r="F141" s="3" t="inlineStr">
        <is>
          <t>PKG-06</t>
        </is>
      </c>
      <c r="G141" s="3" t="n"/>
      <c r="H141" s="3" t="inlineStr">
        <is>
          <t>Handrail Installation Labor - handrail installation and anchoring</t>
        </is>
      </c>
      <c r="I141" s="22" t="n">
        <v>400</v>
      </c>
      <c r="J141" s="3" t="inlineStr">
        <is>
          <t>m</t>
        </is>
      </c>
      <c r="K141" s="39" t="n">
        <v>70</v>
      </c>
      <c r="L141" s="35" t="n">
        <v>28000</v>
      </c>
      <c r="M141" s="3" t="inlineStr">
        <is>
          <t>CAD</t>
        </is>
      </c>
      <c r="N141" s="3" t="inlineStr">
        <is>
          <t>ALLOWANCE</t>
        </is>
      </c>
      <c r="O141" s="3" t="inlineStr">
        <is>
          <t>A-009</t>
        </is>
      </c>
      <c r="P141" s="3" t="inlineStr">
        <is>
          <t>LOW</t>
        </is>
      </c>
      <c r="Q141" s="3" t="inlineStr">
        <is>
          <t>400 m at $70/m installation labor</t>
        </is>
      </c>
      <c r="R141" s="3">
        <f>VLOOKUP($F141,Inputs!$D$6:$E$41,2,FALSE)</f>
        <v/>
      </c>
      <c r="S141" s="36">
        <f>VLOOKUP($E141,Inputs!$A$6:$B$13,2,FALSE)*Inputs!$B$2</f>
        <v/>
      </c>
      <c r="T141" s="35">
        <f>$L141*$S141</f>
        <v/>
      </c>
      <c r="U141" s="35">
        <f>$L141+$T141</f>
        <v/>
      </c>
    </row>
    <row r="142">
      <c r="A142" s="3" t="inlineStr">
        <is>
          <t>PKG-06::L011</t>
        </is>
      </c>
      <c r="B142" s="3" t="inlineStr">
        <is>
          <t>PKG-06</t>
        </is>
      </c>
      <c r="C142" s="3" t="n"/>
      <c r="D142" s="3" t="inlineStr">
        <is>
          <t>L011</t>
        </is>
      </c>
      <c r="E142" s="3" t="inlineStr">
        <is>
          <t>MAT</t>
        </is>
      </c>
      <c r="F142" s="3" t="inlineStr">
        <is>
          <t>PKG-06</t>
        </is>
      </c>
      <c r="G142" s="3" t="n"/>
      <c r="H142" s="3" t="inlineStr">
        <is>
          <t>Grating Supply - galvanized steel grating medium-duty industrial material</t>
        </is>
      </c>
      <c r="I142" s="22" t="n">
        <v>800</v>
      </c>
      <c r="J142" s="3" t="inlineStr">
        <is>
          <t>m2</t>
        </is>
      </c>
      <c r="K142" s="39" t="n">
        <v>120</v>
      </c>
      <c r="L142" s="35" t="n">
        <v>96000</v>
      </c>
      <c r="M142" s="3" t="inlineStr">
        <is>
          <t>CAD</t>
        </is>
      </c>
      <c r="N142" s="3" t="inlineStr">
        <is>
          <t>ALLOWANCE</t>
        </is>
      </c>
      <c r="O142" s="3" t="inlineStr">
        <is>
          <t>A-010</t>
        </is>
      </c>
      <c r="P142" s="3" t="inlineStr">
        <is>
          <t>LOW</t>
        </is>
      </c>
      <c r="Q142" s="3" t="inlineStr">
        <is>
          <t>800 m² (D-013) at $120/m²</t>
        </is>
      </c>
      <c r="R142" s="3">
        <f>VLOOKUP($F142,Inputs!$D$6:$E$41,2,FALSE)</f>
        <v/>
      </c>
      <c r="S142" s="36">
        <f>VLOOKUP($E142,Inputs!$A$6:$B$13,2,FALSE)*Inputs!$B$2</f>
        <v/>
      </c>
      <c r="T142" s="35">
        <f>$L142*$S142</f>
        <v/>
      </c>
      <c r="U142" s="35">
        <f>$L142+$T142</f>
        <v/>
      </c>
    </row>
    <row r="143">
      <c r="A143" s="3" t="inlineStr">
        <is>
          <t>PKG-06::L012</t>
        </is>
      </c>
      <c r="B143" s="3" t="inlineStr">
        <is>
          <t>PKG-06</t>
        </is>
      </c>
      <c r="C143" s="3" t="n"/>
      <c r="D143" s="3" t="inlineStr">
        <is>
          <t>L012</t>
        </is>
      </c>
      <c r="E143" s="3" t="inlineStr">
        <is>
          <t>CD</t>
        </is>
      </c>
      <c r="F143" s="3" t="inlineStr">
        <is>
          <t>PKG-06</t>
        </is>
      </c>
      <c r="G143" s="3" t="n"/>
      <c r="H143" s="3" t="inlineStr">
        <is>
          <t>Grating Installation Labor - grating cutting fitting and securing</t>
        </is>
      </c>
      <c r="I143" s="22" t="n">
        <v>800</v>
      </c>
      <c r="J143" s="3" t="inlineStr">
        <is>
          <t>m2</t>
        </is>
      </c>
      <c r="K143" s="39" t="n">
        <v>60</v>
      </c>
      <c r="L143" s="35" t="n">
        <v>48000</v>
      </c>
      <c r="M143" s="3" t="inlineStr">
        <is>
          <t>CAD</t>
        </is>
      </c>
      <c r="N143" s="3" t="inlineStr">
        <is>
          <t>ALLOWANCE</t>
        </is>
      </c>
      <c r="O143" s="3" t="inlineStr">
        <is>
          <t>A-010</t>
        </is>
      </c>
      <c r="P143" s="3" t="inlineStr">
        <is>
          <t>LOW</t>
        </is>
      </c>
      <c r="Q143" s="3" t="inlineStr">
        <is>
          <t>800 m² at $60/m² installation</t>
        </is>
      </c>
      <c r="R143" s="3">
        <f>VLOOKUP($F143,Inputs!$D$6:$E$41,2,FALSE)</f>
        <v/>
      </c>
      <c r="S143" s="36">
        <f>VLOOKUP($E143,Inputs!$A$6:$B$13,2,FALSE)*Inputs!$B$2</f>
        <v/>
      </c>
      <c r="T143" s="35">
        <f>$L143*$S143</f>
        <v/>
      </c>
      <c r="U143" s="35">
        <f>$L143+$T143</f>
        <v/>
      </c>
    </row>
    <row r="144">
      <c r="A144" s="3" t="inlineStr">
        <is>
          <t>PKG-06::L013</t>
        </is>
      </c>
      <c r="B144" s="3" t="inlineStr">
        <is>
          <t>PKG-06</t>
        </is>
      </c>
      <c r="C144" s="3" t="n"/>
      <c r="D144" s="3" t="inlineStr">
        <is>
          <t>L013</t>
        </is>
      </c>
      <c r="E144" s="3" t="inlineStr">
        <is>
          <t>MAT</t>
        </is>
      </c>
      <c r="F144" s="3" t="inlineStr">
        <is>
          <t>PKG-06</t>
        </is>
      </c>
      <c r="G144" s="3" t="n"/>
      <c r="H144" s="3" t="inlineStr">
        <is>
          <t>Stairs and Gangways - pre-fabricated galvanized stairs and gangways (8 stairs + 4 gangways)</t>
        </is>
      </c>
      <c r="I144" s="22" t="n">
        <v>12</v>
      </c>
      <c r="J144" s="3" t="inlineStr">
        <is>
          <t>EA</t>
        </is>
      </c>
      <c r="K144" s="39" t="n">
        <v>15000</v>
      </c>
      <c r="L144" s="35" t="n">
        <v>180000</v>
      </c>
      <c r="M144" s="3" t="inlineStr">
        <is>
          <t>CAD</t>
        </is>
      </c>
      <c r="N144" s="3" t="inlineStr">
        <is>
          <t>ALLOWANCE</t>
        </is>
      </c>
      <c r="O144" s="3" t="inlineStr">
        <is>
          <t>A-011</t>
        </is>
      </c>
      <c r="P144" s="3" t="inlineStr">
        <is>
          <t>LOW</t>
        </is>
      </c>
      <c r="Q144" s="3" t="inlineStr">
        <is>
          <t>12 items at $15k/item avg (fabricated galvanized installed)</t>
        </is>
      </c>
      <c r="R144" s="3">
        <f>VLOOKUP($F144,Inputs!$D$6:$E$41,2,FALSE)</f>
        <v/>
      </c>
      <c r="S144" s="36">
        <f>VLOOKUP($E144,Inputs!$A$6:$B$13,2,FALSE)*Inputs!$B$2</f>
        <v/>
      </c>
      <c r="T144" s="35">
        <f>$L144*$S144</f>
        <v/>
      </c>
      <c r="U144" s="35">
        <f>$L144+$T144</f>
        <v/>
      </c>
    </row>
    <row r="145">
      <c r="A145" s="3" t="inlineStr">
        <is>
          <t>PKG-06::L014</t>
        </is>
      </c>
      <c r="B145" s="3" t="inlineStr">
        <is>
          <t>PKG-06</t>
        </is>
      </c>
      <c r="C145" s="3" t="n"/>
      <c r="D145" s="3" t="inlineStr">
        <is>
          <t>L014</t>
        </is>
      </c>
      <c r="E145" s="3" t="inlineStr">
        <is>
          <t>MAT</t>
        </is>
      </c>
      <c r="F145" s="3" t="inlineStr">
        <is>
          <t>PKG-06</t>
        </is>
      </c>
      <c r="G145" s="3" t="n"/>
      <c r="H145" s="3" t="inlineStr">
        <is>
          <t>Pipe Supports and Racks - structural supports along piping runs</t>
        </is>
      </c>
      <c r="I145" s="22" t="n">
        <v>1</v>
      </c>
      <c r="J145" s="3" t="inlineStr">
        <is>
          <t>LS</t>
        </is>
      </c>
      <c r="K145" s="39" t="n">
        <v>65000</v>
      </c>
      <c r="L145" s="35" t="n">
        <v>65000</v>
      </c>
      <c r="M145" s="3" t="inlineStr">
        <is>
          <t>CAD</t>
        </is>
      </c>
      <c r="N145" s="3" t="inlineStr">
        <is>
          <t>ALLOWANCE</t>
        </is>
      </c>
      <c r="O145" s="3" t="inlineStr">
        <is>
          <t>A-012</t>
        </is>
      </c>
      <c r="P145" s="3" t="inlineStr">
        <is>
          <t>LOW</t>
        </is>
      </c>
      <c r="Q145" s="3" t="inlineStr">
        <is>
          <t>Allowance for pipe support steelwork</t>
        </is>
      </c>
      <c r="R145" s="3">
        <f>VLOOKUP($F145,Inputs!$D$6:$E$41,2,FALSE)</f>
        <v/>
      </c>
      <c r="S145" s="36">
        <f>VLOOKUP($E145,Inputs!$A$6:$B$13,2,FALSE)*Inputs!$B$2</f>
        <v/>
      </c>
      <c r="T145" s="35">
        <f>$L145*$S145</f>
        <v/>
      </c>
      <c r="U145" s="35">
        <f>$L145+$T145</f>
        <v/>
      </c>
    </row>
    <row r="146">
      <c r="A146" s="3" t="inlineStr">
        <is>
          <t>PKG-06::L015</t>
        </is>
      </c>
      <c r="B146" s="3" t="inlineStr">
        <is>
          <t>PKG-06</t>
        </is>
      </c>
      <c r="C146" s="3" t="n"/>
      <c r="D146" s="3" t="inlineStr">
        <is>
          <t>L015</t>
        </is>
      </c>
      <c r="E146" s="3" t="inlineStr">
        <is>
          <t>CD</t>
        </is>
      </c>
      <c r="F146" s="3" t="inlineStr">
        <is>
          <t>PKG-06</t>
        </is>
      </c>
      <c r="G146" s="3" t="n"/>
      <c r="H146" s="3" t="inlineStr">
        <is>
          <t>Field Touch-Up Painting - post-erection coating repairs and touch-up</t>
        </is>
      </c>
      <c r="I146" s="22" t="n">
        <v>1</v>
      </c>
      <c r="J146" s="3" t="inlineStr">
        <is>
          <t>LS</t>
        </is>
      </c>
      <c r="K146" s="39" t="n">
        <v>12000</v>
      </c>
      <c r="L146" s="35" t="n">
        <v>12000</v>
      </c>
      <c r="M146" s="3" t="inlineStr">
        <is>
          <t>CAD</t>
        </is>
      </c>
      <c r="N146" s="3" t="inlineStr">
        <is>
          <t>ALLOWANCE</t>
        </is>
      </c>
      <c r="O146" s="3" t="inlineStr">
        <is>
          <t>A-013</t>
        </is>
      </c>
      <c r="P146" s="3" t="inlineStr">
        <is>
          <t>LOW</t>
        </is>
      </c>
      <c r="Q146" s="3" t="inlineStr">
        <is>
          <t>Galvanizing damage repair weld zones</t>
        </is>
      </c>
      <c r="R146" s="3">
        <f>VLOOKUP($F146,Inputs!$D$6:$E$41,2,FALSE)</f>
        <v/>
      </c>
      <c r="S146" s="36">
        <f>VLOOKUP($E146,Inputs!$A$6:$B$13,2,FALSE)*Inputs!$B$2</f>
        <v/>
      </c>
      <c r="T146" s="35">
        <f>$L146*$S146</f>
        <v/>
      </c>
      <c r="U146" s="35">
        <f>$L146+$T146</f>
        <v/>
      </c>
    </row>
    <row r="147">
      <c r="A147" s="3" t="inlineStr">
        <is>
          <t>PKG-06::L016</t>
        </is>
      </c>
      <c r="B147" s="3" t="inlineStr">
        <is>
          <t>PKG-06</t>
        </is>
      </c>
      <c r="C147" s="3" t="n"/>
      <c r="D147" s="3" t="inlineStr">
        <is>
          <t>L016</t>
        </is>
      </c>
      <c r="E147" s="3" t="inlineStr">
        <is>
          <t>CD</t>
        </is>
      </c>
      <c r="F147" s="3" t="inlineStr">
        <is>
          <t>PKG-06</t>
        </is>
      </c>
      <c r="G147" s="3" t="n"/>
      <c r="H147" s="3" t="inlineStr">
        <is>
          <t>Site Access &amp; Temporary Works - laydown material handling offloading (PKG-06 allocation)</t>
        </is>
      </c>
      <c r="I147" s="22" t="n">
        <v>1</v>
      </c>
      <c r="J147" s="3" t="inlineStr">
        <is>
          <t>LS</t>
        </is>
      </c>
      <c r="K147" s="39" t="n">
        <v>25000</v>
      </c>
      <c r="L147" s="35" t="n">
        <v>25000</v>
      </c>
      <c r="M147" s="3" t="inlineStr">
        <is>
          <t>CAD</t>
        </is>
      </c>
      <c r="N147" s="3" t="inlineStr">
        <is>
          <t>ALLOWANCE</t>
        </is>
      </c>
      <c r="O147" s="3" t="inlineStr">
        <is>
          <t>A-014</t>
        </is>
      </c>
      <c r="P147" s="3" t="inlineStr">
        <is>
          <t>LOW</t>
        </is>
      </c>
      <c r="Q147" s="3" t="inlineStr">
        <is>
          <t>Site prep and material handling for steel erection</t>
        </is>
      </c>
      <c r="R147" s="3">
        <f>VLOOKUP($F147,Inputs!$D$6:$E$41,2,FALSE)</f>
        <v/>
      </c>
      <c r="S147" s="36">
        <f>VLOOKUP($E147,Inputs!$A$6:$B$13,2,FALSE)*Inputs!$B$2</f>
        <v/>
      </c>
      <c r="T147" s="35">
        <f>$L147*$S147</f>
        <v/>
      </c>
      <c r="U147" s="35">
        <f>$L147+$T147</f>
        <v/>
      </c>
    </row>
    <row r="148">
      <c r="A148" s="3" t="inlineStr">
        <is>
          <t>PKG-06::L017</t>
        </is>
      </c>
      <c r="B148" s="3" t="inlineStr">
        <is>
          <t>PKG-06</t>
        </is>
      </c>
      <c r="C148" s="3" t="n"/>
      <c r="D148" s="3" t="inlineStr">
        <is>
          <t>L017</t>
        </is>
      </c>
      <c r="E148" s="3" t="inlineStr">
        <is>
          <t>CD</t>
        </is>
      </c>
      <c r="F148" s="3" t="inlineStr">
        <is>
          <t>PKG-06</t>
        </is>
      </c>
      <c r="G148" s="3" t="n"/>
      <c r="H148" s="3" t="inlineStr">
        <is>
          <t>Weld Inspection &amp; NDT - visual UT MT inspection (200 hrs CWB inspector)</t>
        </is>
      </c>
      <c r="I148" s="22" t="n">
        <v>200</v>
      </c>
      <c r="J148" s="3" t="inlineStr">
        <is>
          <t>hrs</t>
        </is>
      </c>
      <c r="K148" s="39" t="n">
        <v>110</v>
      </c>
      <c r="L148" s="35" t="n">
        <v>22000</v>
      </c>
      <c r="M148" s="3" t="inlineStr">
        <is>
          <t>22000</t>
        </is>
      </c>
      <c r="N148" s="3" t="inlineStr">
        <is>
          <t>CAD</t>
        </is>
      </c>
      <c r="O148" s="3" t="inlineStr">
        <is>
          <t>ALLOWANCE</t>
        </is>
      </c>
      <c r="P148" s="3" t="inlineStr">
        <is>
          <t>A-015</t>
        </is>
      </c>
      <c r="Q148" s="3" t="inlineStr">
        <is>
          <t>LOW</t>
        </is>
      </c>
      <c r="R148" s="3">
        <f>VLOOKUP($F148,Inputs!$D$6:$E$41,2,FALSE)</f>
        <v/>
      </c>
      <c r="S148" s="36">
        <f>VLOOKUP($E148,Inputs!$A$6:$B$13,2,FALSE)*Inputs!$B$2</f>
        <v/>
      </c>
      <c r="T148" s="35">
        <f>$L148*$S148</f>
        <v/>
      </c>
      <c r="U148" s="35">
        <f>$L148+$T148</f>
        <v/>
      </c>
    </row>
    <row r="149">
      <c r="A149" s="3" t="inlineStr">
        <is>
          <t>PKG-06::L018</t>
        </is>
      </c>
      <c r="B149" s="3" t="inlineStr">
        <is>
          <t>PKG-06</t>
        </is>
      </c>
      <c r="C149" s="3" t="n"/>
      <c r="D149" s="3" t="inlineStr">
        <is>
          <t>L018</t>
        </is>
      </c>
      <c r="E149" s="3" t="inlineStr">
        <is>
          <t>CI</t>
        </is>
      </c>
      <c r="F149" s="3" t="inlineStr">
        <is>
          <t>PKG-06</t>
        </is>
      </c>
      <c r="G149" s="3" t="n"/>
      <c r="H149" s="3" t="inlineStr">
        <is>
          <t>Construction Indirects - field supervision site overhead QA/QC HSE (factor-based)</t>
        </is>
      </c>
      <c r="I149" s="22" t="n">
        <v>1</v>
      </c>
      <c r="J149" s="3" t="inlineStr">
        <is>
          <t>LS</t>
        </is>
      </c>
      <c r="K149" s="39" t="n">
        <v>115000</v>
      </c>
      <c r="L149" s="35" t="n">
        <v>115000</v>
      </c>
      <c r="M149" s="3" t="inlineStr">
        <is>
          <t>CAD</t>
        </is>
      </c>
      <c r="N149" s="3" t="inlineStr">
        <is>
          <t>PARAMETRIC</t>
        </is>
      </c>
      <c r="O149" s="3" t="inlineStr">
        <is>
          <t>D-009</t>
        </is>
      </c>
      <c r="P149" s="3" t="inlineStr">
        <is>
          <t>LOW</t>
        </is>
      </c>
      <c r="Q149" s="3" t="inlineStr">
        <is>
          <t>18% of CD base ($639k × 0.18)</t>
        </is>
      </c>
      <c r="R149" s="3">
        <f>VLOOKUP($F149,Inputs!$D$6:$E$41,2,FALSE)</f>
        <v/>
      </c>
      <c r="S149" s="36">
        <f>VLOOKUP($E149,Inputs!$A$6:$B$13,2,FALSE)*Inputs!$B$2</f>
        <v/>
      </c>
      <c r="T149" s="35">
        <f>$L149*$S149</f>
        <v/>
      </c>
      <c r="U149" s="35">
        <f>$L149+$T149</f>
        <v/>
      </c>
    </row>
    <row r="150">
      <c r="A150" s="3" t="inlineStr">
        <is>
          <t>PKG-06::L019</t>
        </is>
      </c>
      <c r="B150" s="3" t="inlineStr">
        <is>
          <t>PKG-06</t>
        </is>
      </c>
      <c r="C150" s="3" t="n"/>
      <c r="D150" s="3" t="inlineStr">
        <is>
          <t>L019</t>
        </is>
      </c>
      <c r="E150" s="3" t="inlineStr">
        <is>
          <t>PM</t>
        </is>
      </c>
      <c r="F150" s="3" t="inlineStr">
        <is>
          <t>PKG-06</t>
        </is>
      </c>
      <c r="G150" s="3" t="n"/>
      <c r="H150" s="3" t="inlineStr">
        <is>
          <t>EPCM / Project Management - PKG-06 allocation (factor-based)</t>
        </is>
      </c>
      <c r="I150" s="22" t="n">
        <v>1</v>
      </c>
      <c r="J150" s="3" t="inlineStr">
        <is>
          <t>LS</t>
        </is>
      </c>
      <c r="K150" s="39" t="n">
        <v>120000</v>
      </c>
      <c r="L150" s="35" t="n">
        <v>120000</v>
      </c>
      <c r="M150" s="3" t="inlineStr">
        <is>
          <t>CAD</t>
        </is>
      </c>
      <c r="N150" s="3" t="inlineStr">
        <is>
          <t>PARAMETRIC</t>
        </is>
      </c>
      <c r="O150" s="3" t="inlineStr">
        <is>
          <t>D-009</t>
        </is>
      </c>
      <c r="P150" s="3" t="inlineStr">
        <is>
          <t>MED</t>
        </is>
      </c>
      <c r="Q150" s="3" t="inlineStr">
        <is>
          <t>6% of (CD+CI+MAT) base</t>
        </is>
      </c>
      <c r="R150" s="3">
        <f>VLOOKUP($F150,Inputs!$D$6:$E$41,2,FALSE)</f>
        <v/>
      </c>
      <c r="S150" s="36">
        <f>VLOOKUP($E150,Inputs!$A$6:$B$13,2,FALSE)*Inputs!$B$2</f>
        <v/>
      </c>
      <c r="T150" s="35">
        <f>$L150*$S150</f>
        <v/>
      </c>
      <c r="U150" s="35">
        <f>$L150+$T150</f>
        <v/>
      </c>
    </row>
    <row r="151">
      <c r="A151" s="3" t="inlineStr">
        <is>
          <t>PKG-06::L020</t>
        </is>
      </c>
      <c r="B151" s="3" t="inlineStr">
        <is>
          <t>PKG-06</t>
        </is>
      </c>
      <c r="C151" s="3" t="n"/>
      <c r="D151" s="3" t="inlineStr">
        <is>
          <t>L020</t>
        </is>
      </c>
      <c r="E151" s="3" t="inlineStr">
        <is>
          <t>P</t>
        </is>
      </c>
      <c r="F151" s="3" t="inlineStr">
        <is>
          <t>PKG-06</t>
        </is>
      </c>
      <c r="G151" s="3" t="n"/>
      <c r="H151" s="3" t="inlineStr">
        <is>
          <t>Procurement Services - vendor coordination expediting inspection (factor-based)</t>
        </is>
      </c>
      <c r="I151" s="22" t="n">
        <v>1</v>
      </c>
      <c r="J151" s="3" t="inlineStr">
        <is>
          <t>LS</t>
        </is>
      </c>
      <c r="K151" s="39" t="n">
        <v>27000</v>
      </c>
      <c r="L151" s="35" t="n">
        <v>27000</v>
      </c>
      <c r="M151" s="3" t="inlineStr">
        <is>
          <t>CAD</t>
        </is>
      </c>
      <c r="N151" s="3" t="inlineStr">
        <is>
          <t>PARAMETRIC</t>
        </is>
      </c>
      <c r="O151" s="3" t="inlineStr">
        <is>
          <t>D-009</t>
        </is>
      </c>
      <c r="P151" s="3" t="inlineStr">
        <is>
          <t>MED</t>
        </is>
      </c>
      <c r="Q151" s="3" t="inlineStr">
        <is>
          <t>2% of MAT ($1.366M × 0.02)</t>
        </is>
      </c>
      <c r="R151" s="3">
        <f>VLOOKUP($F151,Inputs!$D$6:$E$41,2,FALSE)</f>
        <v/>
      </c>
      <c r="S151" s="36">
        <f>VLOOKUP($E151,Inputs!$A$6:$B$13,2,FALSE)*Inputs!$B$2</f>
        <v/>
      </c>
      <c r="T151" s="35">
        <f>$L151*$S151</f>
        <v/>
      </c>
      <c r="U151" s="35">
        <f>$L151+$T151</f>
        <v/>
      </c>
    </row>
    <row r="152">
      <c r="A152" s="3" t="inlineStr">
        <is>
          <t>PKG-06::L021</t>
        </is>
      </c>
      <c r="B152" s="3" t="inlineStr">
        <is>
          <t>PKG-06</t>
        </is>
      </c>
      <c r="C152" s="3" t="n"/>
      <c r="D152" s="3" t="inlineStr">
        <is>
          <t>L021</t>
        </is>
      </c>
      <c r="E152" s="3" t="inlineStr">
        <is>
          <t>COM</t>
        </is>
      </c>
      <c r="F152" s="3" t="inlineStr">
        <is>
          <t>PKG-06</t>
        </is>
      </c>
      <c r="G152" s="3" t="n"/>
      <c r="H152" s="3" t="inlineStr">
        <is>
          <t>Commissioning &amp; Testing - load testing final inspections punch list verification</t>
        </is>
      </c>
      <c r="I152" s="22" t="n">
        <v>1</v>
      </c>
      <c r="J152" s="3" t="inlineStr">
        <is>
          <t>LS</t>
        </is>
      </c>
      <c r="K152" s="39" t="n">
        <v>60000</v>
      </c>
      <c r="L152" s="35" t="n">
        <v>60000</v>
      </c>
      <c r="M152" s="3" t="inlineStr">
        <is>
          <t>CAD</t>
        </is>
      </c>
      <c r="N152" s="3" t="inlineStr">
        <is>
          <t>PARAMETRIC</t>
        </is>
      </c>
      <c r="O152" s="3" t="inlineStr">
        <is>
          <t>D-009</t>
        </is>
      </c>
      <c r="P152" s="3" t="inlineStr">
        <is>
          <t>LOW</t>
        </is>
      </c>
      <c r="Q152" s="3" t="inlineStr">
        <is>
          <t>3% of (CD+CI+MAT) base</t>
        </is>
      </c>
      <c r="R152" s="3">
        <f>VLOOKUP($F152,Inputs!$D$6:$E$41,2,FALSE)</f>
        <v/>
      </c>
      <c r="S152" s="36">
        <f>VLOOKUP($E152,Inputs!$A$6:$B$13,2,FALSE)*Inputs!$B$2</f>
        <v/>
      </c>
      <c r="T152" s="35">
        <f>$L152*$S152</f>
        <v/>
      </c>
      <c r="U152" s="35">
        <f>$L152+$T152</f>
        <v/>
      </c>
    </row>
    <row r="153">
      <c r="A153" s="3" t="inlineStr">
        <is>
          <t>PKG-07::L001</t>
        </is>
      </c>
      <c r="B153" s="3" t="inlineStr">
        <is>
          <t>PKG-07</t>
        </is>
      </c>
      <c r="C153" s="3" t="inlineStr">
        <is>
          <t>DEL-07.01</t>
        </is>
      </c>
      <c r="D153" s="3" t="inlineStr">
        <is>
          <t>L001</t>
        </is>
      </c>
      <c r="E153" s="3" t="inlineStr">
        <is>
          <t>E</t>
        </is>
      </c>
      <c r="F153" s="3" t="inlineStr">
        <is>
          <t>PKG-07</t>
        </is>
      </c>
      <c r="G153" s="3" t="inlineStr">
        <is>
          <t>DEL-07.01</t>
        </is>
      </c>
      <c r="H153" s="3" t="inlineStr">
        <is>
          <t>Rail Works Design Drawing Set - CAD drafting (track layouts rail profiles ballast sections end stop details)</t>
        </is>
      </c>
      <c r="I153" s="22" t="n">
        <v>1</v>
      </c>
      <c r="J153" s="3" t="inlineStr">
        <is>
          <t>LS</t>
        </is>
      </c>
      <c r="K153" s="39" t="n">
        <v>20000</v>
      </c>
      <c r="L153" s="35" t="n">
        <v>20000</v>
      </c>
      <c r="M153" s="3" t="inlineStr">
        <is>
          <t>CAD</t>
        </is>
      </c>
      <c r="N153" s="3" t="inlineStr">
        <is>
          <t>ALLOWANCE</t>
        </is>
      </c>
      <c r="O153" s="3" t="inlineStr">
        <is>
          <t>A-001</t>
        </is>
      </c>
      <c r="P153" s="3" t="inlineStr">
        <is>
          <t>LOW</t>
        </is>
      </c>
      <c r="Q153" s="3" t="inlineStr">
        <is>
          <t>~6-8 sheets at $3k/sheet average</t>
        </is>
      </c>
      <c r="R153" s="3">
        <f>VLOOKUP($F153,Inputs!$D$6:$E$41,2,FALSE)</f>
        <v/>
      </c>
      <c r="S153" s="36">
        <f>VLOOKUP($E153,Inputs!$A$6:$B$13,2,FALSE)*Inputs!$B$2</f>
        <v/>
      </c>
      <c r="T153" s="35">
        <f>$L153*$S153</f>
        <v/>
      </c>
      <c r="U153" s="35">
        <f>$L153+$T153</f>
        <v/>
      </c>
    </row>
    <row r="154">
      <c r="A154" s="3" t="inlineStr">
        <is>
          <t>PKG-07::L002</t>
        </is>
      </c>
      <c r="B154" s="3" t="inlineStr">
        <is>
          <t>PKG-07</t>
        </is>
      </c>
      <c r="C154" s="3" t="inlineStr">
        <is>
          <t>DEL-07.02</t>
        </is>
      </c>
      <c r="D154" s="3" t="inlineStr">
        <is>
          <t>L002</t>
        </is>
      </c>
      <c r="E154" s="3" t="inlineStr">
        <is>
          <t>E</t>
        </is>
      </c>
      <c r="F154" s="3" t="inlineStr">
        <is>
          <t>PKG-07</t>
        </is>
      </c>
      <c r="G154" s="3" t="inlineStr">
        <is>
          <t>DEL-07.02</t>
        </is>
      </c>
      <c r="H154" s="3" t="inlineStr">
        <is>
          <t>Rail Works Technical Specification - specification writing (rail ballast track construction specs)</t>
        </is>
      </c>
      <c r="I154" s="22" t="n">
        <v>1</v>
      </c>
      <c r="J154" s="3" t="inlineStr">
        <is>
          <t>LS</t>
        </is>
      </c>
      <c r="K154" s="39" t="n">
        <v>7000</v>
      </c>
      <c r="L154" s="35" t="n">
        <v>7000</v>
      </c>
      <c r="M154" s="3" t="inlineStr">
        <is>
          <t>CAD</t>
        </is>
      </c>
      <c r="N154" s="3" t="inlineStr">
        <is>
          <t>ALLOWANCE</t>
        </is>
      </c>
      <c r="O154" s="3" t="inlineStr">
        <is>
          <t>A-002</t>
        </is>
      </c>
      <c r="P154" s="3" t="inlineStr">
        <is>
          <t>LOW</t>
        </is>
      </c>
      <c r="Q154" s="3" t="inlineStr">
        <is>
          <t>~45 hours at $150/hr</t>
        </is>
      </c>
      <c r="R154" s="3">
        <f>VLOOKUP($F154,Inputs!$D$6:$E$41,2,FALSE)</f>
        <v/>
      </c>
      <c r="S154" s="36">
        <f>VLOOKUP($E154,Inputs!$A$6:$B$13,2,FALSE)*Inputs!$B$2</f>
        <v/>
      </c>
      <c r="T154" s="35">
        <f>$L154*$S154</f>
        <v/>
      </c>
      <c r="U154" s="35">
        <f>$L154+$T154</f>
        <v/>
      </c>
    </row>
    <row r="155">
      <c r="A155" s="3" t="inlineStr">
        <is>
          <t>PKG-07::L003</t>
        </is>
      </c>
      <c r="B155" s="3" t="inlineStr">
        <is>
          <t>PKG-07</t>
        </is>
      </c>
      <c r="C155" s="3" t="inlineStr">
        <is>
          <t>DEL-07.03</t>
        </is>
      </c>
      <c r="D155" s="3" t="inlineStr">
        <is>
          <t>L003</t>
        </is>
      </c>
      <c r="E155" s="3" t="inlineStr">
        <is>
          <t>E</t>
        </is>
      </c>
      <c r="F155" s="3" t="inlineStr">
        <is>
          <t>PKG-07</t>
        </is>
      </c>
      <c r="G155" s="3" t="inlineStr">
        <is>
          <t>DEL-07.03</t>
        </is>
      </c>
      <c r="H155" s="3" t="inlineStr">
        <is>
          <t>Rail Works Design Calculations - track geometry and ballast depth calculations</t>
        </is>
      </c>
      <c r="I155" s="22" t="n">
        <v>1</v>
      </c>
      <c r="J155" s="3" t="inlineStr">
        <is>
          <t>LS</t>
        </is>
      </c>
      <c r="K155" s="39" t="n">
        <v>10000</v>
      </c>
      <c r="L155" s="35" t="n">
        <v>10000</v>
      </c>
      <c r="M155" s="3" t="inlineStr">
        <is>
          <t>CAD</t>
        </is>
      </c>
      <c r="N155" s="3" t="inlineStr">
        <is>
          <t>ALLOWANCE</t>
        </is>
      </c>
      <c r="O155" s="3" t="inlineStr">
        <is>
          <t>A-003</t>
        </is>
      </c>
      <c r="P155" s="3" t="inlineStr">
        <is>
          <t>LOW</t>
        </is>
      </c>
      <c r="Q155" s="3" t="inlineStr">
        <is>
          <t>~55 hours at $175/hr</t>
        </is>
      </c>
      <c r="R155" s="3">
        <f>VLOOKUP($F155,Inputs!$D$6:$E$41,2,FALSE)</f>
        <v/>
      </c>
      <c r="S155" s="36">
        <f>VLOOKUP($E155,Inputs!$A$6:$B$13,2,FALSE)*Inputs!$B$2</f>
        <v/>
      </c>
      <c r="T155" s="35">
        <f>$L155*$S155</f>
        <v/>
      </c>
      <c r="U155" s="35">
        <f>$L155+$T155</f>
        <v/>
      </c>
    </row>
    <row r="156">
      <c r="A156" s="3" t="inlineStr">
        <is>
          <t>PKG-07::L004</t>
        </is>
      </c>
      <c r="B156" s="3" t="inlineStr">
        <is>
          <t>PKG-07</t>
        </is>
      </c>
      <c r="C156" s="3" t="inlineStr">
        <is>
          <t>DEL-07.04</t>
        </is>
      </c>
      <c r="D156" s="3" t="inlineStr">
        <is>
          <t>L004</t>
        </is>
      </c>
      <c r="E156" s="3" t="inlineStr">
        <is>
          <t>E</t>
        </is>
      </c>
      <c r="F156" s="3" t="inlineStr">
        <is>
          <t>PKG-07</t>
        </is>
      </c>
      <c r="G156" s="3" t="inlineStr">
        <is>
          <t>DEL-07.04</t>
        </is>
      </c>
      <c r="H156" s="3" t="inlineStr">
        <is>
          <t>Rail Works ITR Compilation - installation and test record documentation</t>
        </is>
      </c>
      <c r="I156" s="22" t="n">
        <v>1</v>
      </c>
      <c r="J156" s="3" t="inlineStr">
        <is>
          <t>LS</t>
        </is>
      </c>
      <c r="K156" s="39" t="n">
        <v>8000</v>
      </c>
      <c r="L156" s="35" t="n">
        <v>8000</v>
      </c>
      <c r="M156" s="3" t="inlineStr">
        <is>
          <t>CAD</t>
        </is>
      </c>
      <c r="N156" s="3" t="inlineStr">
        <is>
          <t>ALLOWANCE</t>
        </is>
      </c>
      <c r="O156" s="3" t="inlineStr">
        <is>
          <t>A-004</t>
        </is>
      </c>
      <c r="P156" s="3" t="inlineStr">
        <is>
          <t>LOW</t>
        </is>
      </c>
      <c r="Q156" s="3" t="inlineStr">
        <is>
          <t>~80 hours at $100/hr</t>
        </is>
      </c>
      <c r="R156" s="3">
        <f>VLOOKUP($F156,Inputs!$D$6:$E$41,2,FALSE)</f>
        <v/>
      </c>
      <c r="S156" s="36">
        <f>VLOOKUP($E156,Inputs!$A$6:$B$13,2,FALSE)*Inputs!$B$2</f>
        <v/>
      </c>
      <c r="T156" s="35">
        <f>$L156*$S156</f>
        <v/>
      </c>
      <c r="U156" s="35">
        <f>$L156+$T156</f>
        <v/>
      </c>
    </row>
    <row r="157">
      <c r="A157" s="3" t="inlineStr">
        <is>
          <t>PKG-07::L005</t>
        </is>
      </c>
      <c r="B157" s="3" t="inlineStr">
        <is>
          <t>PKG-07</t>
        </is>
      </c>
      <c r="C157" s="3" t="n"/>
      <c r="D157" s="3" t="inlineStr">
        <is>
          <t>L005</t>
        </is>
      </c>
      <c r="E157" s="3" t="inlineStr">
        <is>
          <t>MAT</t>
        </is>
      </c>
      <c r="F157" s="3" t="inlineStr">
        <is>
          <t>PKG-07</t>
        </is>
      </c>
      <c r="G157" s="3" t="n"/>
      <c r="H157" s="3" t="inlineStr">
        <is>
          <t>Rail Supply - New Tracks 6 &amp; 7 (1000 linear meters heavy rail 115 RE or equiv)</t>
        </is>
      </c>
      <c r="I157" s="22" t="n">
        <v>1</v>
      </c>
      <c r="J157" s="3" t="inlineStr">
        <is>
          <t>LS</t>
        </is>
      </c>
      <c r="K157" s="39" t="n">
        <v>350000</v>
      </c>
      <c r="L157" s="35" t="n">
        <v>350000</v>
      </c>
      <c r="M157" s="3" t="inlineStr">
        <is>
          <t>CAD</t>
        </is>
      </c>
      <c r="N157" s="3" t="inlineStr">
        <is>
          <t>ALLOWANCE</t>
        </is>
      </c>
      <c r="O157" s="3" t="inlineStr">
        <is>
          <t>A-005</t>
        </is>
      </c>
      <c r="P157" s="3" t="inlineStr">
        <is>
          <t>LOW</t>
        </is>
      </c>
      <c r="Q157" s="3" t="inlineStr">
        <is>
          <t>1000m at $350/m includes rail delivery</t>
        </is>
      </c>
      <c r="R157" s="3">
        <f>VLOOKUP($F157,Inputs!$D$6:$E$41,2,FALSE)</f>
        <v/>
      </c>
      <c r="S157" s="36">
        <f>VLOOKUP($E157,Inputs!$A$6:$B$13,2,FALSE)*Inputs!$B$2</f>
        <v/>
      </c>
      <c r="T157" s="35">
        <f>$L157*$S157</f>
        <v/>
      </c>
      <c r="U157" s="35">
        <f>$L157+$T157</f>
        <v/>
      </c>
    </row>
    <row r="158">
      <c r="A158" s="3" t="inlineStr">
        <is>
          <t>PKG-07::L006</t>
        </is>
      </c>
      <c r="B158" s="3" t="inlineStr">
        <is>
          <t>PKG-07</t>
        </is>
      </c>
      <c r="C158" s="3" t="n"/>
      <c r="D158" s="3" t="inlineStr">
        <is>
          <t>L006</t>
        </is>
      </c>
      <c r="E158" s="3" t="inlineStr">
        <is>
          <t>MAT</t>
        </is>
      </c>
      <c r="F158" s="3" t="inlineStr">
        <is>
          <t>PKG-07</t>
        </is>
      </c>
      <c r="G158" s="3" t="n"/>
      <c r="H158" s="3" t="inlineStr">
        <is>
          <t>Rail Supply - Track 5 Restoration (300 linear meters)</t>
        </is>
      </c>
      <c r="I158" s="22" t="n">
        <v>1</v>
      </c>
      <c r="J158" s="3" t="inlineStr">
        <is>
          <t>LS</t>
        </is>
      </c>
      <c r="K158" s="39" t="n">
        <v>105000</v>
      </c>
      <c r="L158" s="35" t="n">
        <v>105000</v>
      </c>
      <c r="M158" s="3" t="inlineStr">
        <is>
          <t>CAD</t>
        </is>
      </c>
      <c r="N158" s="3" t="inlineStr">
        <is>
          <t>ALLOWANCE</t>
        </is>
      </c>
      <c r="O158" s="3" t="inlineStr">
        <is>
          <t>A-007</t>
        </is>
      </c>
      <c r="P158" s="3" t="inlineStr">
        <is>
          <t>LOW</t>
        </is>
      </c>
      <c r="Q158" s="3" t="inlineStr">
        <is>
          <t>300m at $350/m</t>
        </is>
      </c>
      <c r="R158" s="3">
        <f>VLOOKUP($F158,Inputs!$D$6:$E$41,2,FALSE)</f>
        <v/>
      </c>
      <c r="S158" s="36">
        <f>VLOOKUP($E158,Inputs!$A$6:$B$13,2,FALSE)*Inputs!$B$2</f>
        <v/>
      </c>
      <c r="T158" s="35">
        <f>$L158*$S158</f>
        <v/>
      </c>
      <c r="U158" s="35">
        <f>$L158+$T158</f>
        <v/>
      </c>
    </row>
    <row r="159">
      <c r="A159" s="3" t="inlineStr">
        <is>
          <t>PKG-07::L007</t>
        </is>
      </c>
      <c r="B159" s="3" t="inlineStr">
        <is>
          <t>PKG-07</t>
        </is>
      </c>
      <c r="C159" s="3" t="n"/>
      <c r="D159" s="3" t="inlineStr">
        <is>
          <t>L007</t>
        </is>
      </c>
      <c r="E159" s="3" t="inlineStr">
        <is>
          <t>MAT</t>
        </is>
      </c>
      <c r="F159" s="3" t="inlineStr">
        <is>
          <t>PKG-07</t>
        </is>
      </c>
      <c r="G159" s="3" t="n"/>
      <c r="H159" s="3" t="inlineStr">
        <is>
          <t>Track Ties/Sleepers - concrete or timber ties (1300m total track)</t>
        </is>
      </c>
      <c r="I159" s="22" t="n">
        <v>1</v>
      </c>
      <c r="J159" s="3" t="inlineStr">
        <is>
          <t>LS</t>
        </is>
      </c>
      <c r="K159" s="39" t="n">
        <v>195000</v>
      </c>
      <c r="L159" s="35" t="n">
        <v>195000</v>
      </c>
      <c r="M159" s="3" t="inlineStr">
        <is>
          <t>CAD</t>
        </is>
      </c>
      <c r="N159" s="3" t="inlineStr">
        <is>
          <t>ALLOWANCE</t>
        </is>
      </c>
      <c r="O159" s="3" t="inlineStr">
        <is>
          <t>A-011</t>
        </is>
      </c>
      <c r="P159" s="3" t="inlineStr">
        <is>
          <t>LOW</t>
        </is>
      </c>
      <c r="Q159" s="3" t="inlineStr">
        <is>
          <t>1300m at $150/m avg installed spacing</t>
        </is>
      </c>
      <c r="R159" s="3">
        <f>VLOOKUP($F159,Inputs!$D$6:$E$41,2,FALSE)</f>
        <v/>
      </c>
      <c r="S159" s="36">
        <f>VLOOKUP($E159,Inputs!$A$6:$B$13,2,FALSE)*Inputs!$B$2</f>
        <v/>
      </c>
      <c r="T159" s="35">
        <f>$L159*$S159</f>
        <v/>
      </c>
      <c r="U159" s="35">
        <f>$L159+$T159</f>
        <v/>
      </c>
    </row>
    <row r="160">
      <c r="A160" s="3" t="inlineStr">
        <is>
          <t>PKG-07::L008</t>
        </is>
      </c>
      <c r="B160" s="3" t="inlineStr">
        <is>
          <t>PKG-07</t>
        </is>
      </c>
      <c r="C160" s="3" t="n"/>
      <c r="D160" s="3" t="inlineStr">
        <is>
          <t>L008</t>
        </is>
      </c>
      <c r="E160" s="3" t="inlineStr">
        <is>
          <t>MAT</t>
        </is>
      </c>
      <c r="F160" s="3" t="inlineStr">
        <is>
          <t>PKG-07</t>
        </is>
      </c>
      <c r="G160" s="3" t="n"/>
      <c r="H160" s="3" t="inlineStr">
        <is>
          <t>Track Fasteners &amp; Hardware - clips spikes plates anchors</t>
        </is>
      </c>
      <c r="I160" s="22" t="n">
        <v>1</v>
      </c>
      <c r="J160" s="3" t="inlineStr">
        <is>
          <t>LS</t>
        </is>
      </c>
      <c r="K160" s="39" t="n">
        <v>91000</v>
      </c>
      <c r="L160" s="35" t="n">
        <v>91000</v>
      </c>
      <c r="M160" s="3" t="inlineStr">
        <is>
          <t>CAD</t>
        </is>
      </c>
      <c r="N160" s="3" t="inlineStr">
        <is>
          <t>ALLOWANCE</t>
        </is>
      </c>
      <c r="O160" s="3" t="inlineStr">
        <is>
          <t>A-012</t>
        </is>
      </c>
      <c r="P160" s="3" t="inlineStr">
        <is>
          <t>LOW</t>
        </is>
      </c>
      <c r="Q160" s="3" t="inlineStr">
        <is>
          <t>~20% of rail cost</t>
        </is>
      </c>
      <c r="R160" s="3">
        <f>VLOOKUP($F160,Inputs!$D$6:$E$41,2,FALSE)</f>
        <v/>
      </c>
      <c r="S160" s="36">
        <f>VLOOKUP($E160,Inputs!$A$6:$B$13,2,FALSE)*Inputs!$B$2</f>
        <v/>
      </c>
      <c r="T160" s="35">
        <f>$L160*$S160</f>
        <v/>
      </c>
      <c r="U160" s="35">
        <f>$L160+$T160</f>
        <v/>
      </c>
    </row>
    <row r="161">
      <c r="A161" s="3" t="inlineStr">
        <is>
          <t>PKG-07::L009</t>
        </is>
      </c>
      <c r="B161" s="3" t="inlineStr">
        <is>
          <t>PKG-07</t>
        </is>
      </c>
      <c r="C161" s="3" t="n"/>
      <c r="D161" s="3" t="inlineStr">
        <is>
          <t>L009</t>
        </is>
      </c>
      <c r="E161" s="3" t="inlineStr">
        <is>
          <t>MAT</t>
        </is>
      </c>
      <c r="F161" s="3" t="inlineStr">
        <is>
          <t>PKG-07</t>
        </is>
      </c>
      <c r="G161" s="3" t="n"/>
      <c r="H161" s="3" t="inlineStr">
        <is>
          <t>Ballast Material Supply - crushed aggregate (1950 m³)</t>
        </is>
      </c>
      <c r="I161" s="22" t="n">
        <v>1</v>
      </c>
      <c r="J161" s="3" t="inlineStr">
        <is>
          <t>LS</t>
        </is>
      </c>
      <c r="K161" s="39" t="n">
        <v>117000</v>
      </c>
      <c r="L161" s="35" t="n">
        <v>117000</v>
      </c>
      <c r="M161" s="3" t="inlineStr">
        <is>
          <t>CAD</t>
        </is>
      </c>
      <c r="N161" s="3" t="inlineStr">
        <is>
          <t>ALLOWANCE</t>
        </is>
      </c>
      <c r="O161" s="3" t="inlineStr">
        <is>
          <t>A-009</t>
        </is>
      </c>
      <c r="P161" s="3" t="inlineStr">
        <is>
          <t>LOW</t>
        </is>
      </c>
      <c r="Q161" s="3" t="inlineStr">
        <is>
          <t>1950 m³ at $60/m³</t>
        </is>
      </c>
      <c r="R161" s="3">
        <f>VLOOKUP($F161,Inputs!$D$6:$E$41,2,FALSE)</f>
        <v/>
      </c>
      <c r="S161" s="36">
        <f>VLOOKUP($E161,Inputs!$A$6:$B$13,2,FALSE)*Inputs!$B$2</f>
        <v/>
      </c>
      <c r="T161" s="35">
        <f>$L161*$S161</f>
        <v/>
      </c>
      <c r="U161" s="35">
        <f>$L161+$T161</f>
        <v/>
      </c>
    </row>
    <row r="162">
      <c r="A162" s="3" t="inlineStr">
        <is>
          <t>PKG-07::L010</t>
        </is>
      </c>
      <c r="B162" s="3" t="inlineStr">
        <is>
          <t>PKG-07</t>
        </is>
      </c>
      <c r="C162" s="3" t="n"/>
      <c r="D162" s="3" t="inlineStr">
        <is>
          <t>L010</t>
        </is>
      </c>
      <c r="E162" s="3" t="inlineStr">
        <is>
          <t>MAT</t>
        </is>
      </c>
      <c r="F162" s="3" t="inlineStr">
        <is>
          <t>PKG-07</t>
        </is>
      </c>
      <c r="G162" s="3" t="n"/>
      <c r="H162" s="3" t="inlineStr">
        <is>
          <t>End Stops - hydraulic or mechanical car stops (4 units)</t>
        </is>
      </c>
      <c r="I162" s="22" t="n">
        <v>1</v>
      </c>
      <c r="J162" s="3" t="inlineStr">
        <is>
          <t>LS</t>
        </is>
      </c>
      <c r="K162" s="39" t="n">
        <v>40000</v>
      </c>
      <c r="L162" s="35" t="n">
        <v>40000</v>
      </c>
      <c r="M162" s="3" t="inlineStr">
        <is>
          <t>CAD</t>
        </is>
      </c>
      <c r="N162" s="3" t="inlineStr">
        <is>
          <t>ALLOWANCE</t>
        </is>
      </c>
      <c r="O162" s="3" t="inlineStr">
        <is>
          <t>A-013</t>
        </is>
      </c>
      <c r="P162" s="3" t="inlineStr">
        <is>
          <t>LOW</t>
        </is>
      </c>
      <c r="Q162" s="3" t="inlineStr">
        <is>
          <t>4 units at $10k/unit material</t>
        </is>
      </c>
      <c r="R162" s="3">
        <f>VLOOKUP($F162,Inputs!$D$6:$E$41,2,FALSE)</f>
        <v/>
      </c>
      <c r="S162" s="36">
        <f>VLOOKUP($E162,Inputs!$A$6:$B$13,2,FALSE)*Inputs!$B$2</f>
        <v/>
      </c>
      <c r="T162" s="35">
        <f>$L162*$S162</f>
        <v/>
      </c>
      <c r="U162" s="35">
        <f>$L162+$T162</f>
        <v/>
      </c>
    </row>
    <row r="163">
      <c r="A163" s="3" t="inlineStr">
        <is>
          <t>PKG-07::L011</t>
        </is>
      </c>
      <c r="B163" s="3" t="inlineStr">
        <is>
          <t>PKG-07</t>
        </is>
      </c>
      <c r="C163" s="3" t="n"/>
      <c r="D163" s="3" t="inlineStr">
        <is>
          <t>L011</t>
        </is>
      </c>
      <c r="E163" s="3" t="inlineStr">
        <is>
          <t>CD</t>
        </is>
      </c>
      <c r="F163" s="3" t="inlineStr">
        <is>
          <t>PKG-07</t>
        </is>
      </c>
      <c r="G163" s="3" t="n"/>
      <c r="H163" s="3" t="inlineStr">
        <is>
          <t>Track Installation - New Tracks 6 &amp; 7 (1000m rail placement alignment fastening)</t>
        </is>
      </c>
      <c r="I163" s="22" t="n">
        <v>1</v>
      </c>
      <c r="J163" s="3" t="inlineStr">
        <is>
          <t>LS</t>
        </is>
      </c>
      <c r="K163" s="39" t="n">
        <v>200000</v>
      </c>
      <c r="L163" s="35" t="n">
        <v>200000</v>
      </c>
      <c r="M163" s="3" t="inlineStr">
        <is>
          <t>CAD</t>
        </is>
      </c>
      <c r="N163" s="3" t="inlineStr">
        <is>
          <t>ALLOWANCE</t>
        </is>
      </c>
      <c r="O163" s="3" t="inlineStr">
        <is>
          <t>A-006</t>
        </is>
      </c>
      <c r="P163" s="3" t="inlineStr">
        <is>
          <t>LOW</t>
        </is>
      </c>
      <c r="Q163" s="3" t="inlineStr">
        <is>
          <t>1000m at $200/m labor</t>
        </is>
      </c>
      <c r="R163" s="3">
        <f>VLOOKUP($F163,Inputs!$D$6:$E$41,2,FALSE)</f>
        <v/>
      </c>
      <c r="S163" s="36">
        <f>VLOOKUP($E163,Inputs!$A$6:$B$13,2,FALSE)*Inputs!$B$2</f>
        <v/>
      </c>
      <c r="T163" s="35">
        <f>$L163*$S163</f>
        <v/>
      </c>
      <c r="U163" s="35">
        <f>$L163+$T163</f>
        <v/>
      </c>
    </row>
    <row r="164">
      <c r="A164" s="3" t="inlineStr">
        <is>
          <t>PKG-07::L012</t>
        </is>
      </c>
      <c r="B164" s="3" t="inlineStr">
        <is>
          <t>PKG-07</t>
        </is>
      </c>
      <c r="C164" s="3" t="n"/>
      <c r="D164" s="3" t="inlineStr">
        <is>
          <t>L012</t>
        </is>
      </c>
      <c r="E164" s="3" t="inlineStr">
        <is>
          <t>CD</t>
        </is>
      </c>
      <c r="F164" s="3" t="inlineStr">
        <is>
          <t>PKG-07</t>
        </is>
      </c>
      <c r="G164" s="3" t="n"/>
      <c r="H164" s="3" t="inlineStr">
        <is>
          <t>Track Restoration - Track 5 (300m remove relay align)</t>
        </is>
      </c>
      <c r="I164" s="22" t="n">
        <v>1</v>
      </c>
      <c r="J164" s="3" t="inlineStr">
        <is>
          <t>LS</t>
        </is>
      </c>
      <c r="K164" s="39" t="n">
        <v>75000</v>
      </c>
      <c r="L164" s="35" t="n">
        <v>75000</v>
      </c>
      <c r="M164" s="3" t="inlineStr">
        <is>
          <t>CAD</t>
        </is>
      </c>
      <c r="N164" s="3" t="inlineStr">
        <is>
          <t>ALLOWANCE</t>
        </is>
      </c>
      <c r="O164" s="3" t="inlineStr">
        <is>
          <t>A-008</t>
        </is>
      </c>
      <c r="P164" s="3" t="inlineStr">
        <is>
          <t>LOW</t>
        </is>
      </c>
      <c r="Q164" s="3" t="inlineStr">
        <is>
          <t>300m at $250/m (higher complexity)</t>
        </is>
      </c>
      <c r="R164" s="3">
        <f>VLOOKUP($F164,Inputs!$D$6:$E$41,2,FALSE)</f>
        <v/>
      </c>
      <c r="S164" s="36">
        <f>VLOOKUP($E164,Inputs!$A$6:$B$13,2,FALSE)*Inputs!$B$2</f>
        <v/>
      </c>
      <c r="T164" s="35">
        <f>$L164*$S164</f>
        <v/>
      </c>
      <c r="U164" s="35">
        <f>$L164+$T164</f>
        <v/>
      </c>
    </row>
    <row r="165">
      <c r="A165" s="3" t="inlineStr">
        <is>
          <t>PKG-07::L013</t>
        </is>
      </c>
      <c r="B165" s="3" t="inlineStr">
        <is>
          <t>PKG-07</t>
        </is>
      </c>
      <c r="C165" s="3" t="n"/>
      <c r="D165" s="3" t="inlineStr">
        <is>
          <t>L013</t>
        </is>
      </c>
      <c r="E165" s="3" t="inlineStr">
        <is>
          <t>CD</t>
        </is>
      </c>
      <c r="F165" s="3" t="inlineStr">
        <is>
          <t>PKG-07</t>
        </is>
      </c>
      <c r="G165" s="3" t="n"/>
      <c r="H165" s="3" t="inlineStr">
        <is>
          <t>Ballast Placement &amp; Compaction - spread level compact test (1950 m³)</t>
        </is>
      </c>
      <c r="I165" s="22" t="n">
        <v>1</v>
      </c>
      <c r="J165" s="3" t="inlineStr">
        <is>
          <t>LS</t>
        </is>
      </c>
      <c r="K165" s="39" t="n">
        <v>78000</v>
      </c>
      <c r="L165" s="35" t="n">
        <v>78000</v>
      </c>
      <c r="M165" s="3" t="inlineStr">
        <is>
          <t>CAD</t>
        </is>
      </c>
      <c r="N165" s="3" t="inlineStr">
        <is>
          <t>ALLOWANCE</t>
        </is>
      </c>
      <c r="O165" s="3" t="inlineStr">
        <is>
          <t>A-010</t>
        </is>
      </c>
      <c r="P165" s="3" t="inlineStr">
        <is>
          <t>LOW</t>
        </is>
      </c>
      <c r="Q165" s="3" t="inlineStr">
        <is>
          <t>1950 m³ at $40/m³</t>
        </is>
      </c>
      <c r="R165" s="3">
        <f>VLOOKUP($F165,Inputs!$D$6:$E$41,2,FALSE)</f>
        <v/>
      </c>
      <c r="S165" s="36">
        <f>VLOOKUP($E165,Inputs!$A$6:$B$13,2,FALSE)*Inputs!$B$2</f>
        <v/>
      </c>
      <c r="T165" s="35">
        <f>$L165*$S165</f>
        <v/>
      </c>
      <c r="U165" s="35">
        <f>$L165+$T165</f>
        <v/>
      </c>
    </row>
    <row r="166">
      <c r="A166" s="3" t="inlineStr">
        <is>
          <t>PKG-07::L014</t>
        </is>
      </c>
      <c r="B166" s="3" t="inlineStr">
        <is>
          <t>PKG-07</t>
        </is>
      </c>
      <c r="C166" s="3" t="n"/>
      <c r="D166" s="3" t="inlineStr">
        <is>
          <t>L014</t>
        </is>
      </c>
      <c r="E166" s="3" t="inlineStr">
        <is>
          <t>CD</t>
        </is>
      </c>
      <c r="F166" s="3" t="inlineStr">
        <is>
          <t>PKG-07</t>
        </is>
      </c>
      <c r="G166" s="3" t="n"/>
      <c r="H166" s="3" t="inlineStr">
        <is>
          <t>End Stop Installation - anchor position test (4 units)</t>
        </is>
      </c>
      <c r="I166" s="22" t="n">
        <v>1</v>
      </c>
      <c r="J166" s="3" t="inlineStr">
        <is>
          <t>LS</t>
        </is>
      </c>
      <c r="K166" s="39" t="n">
        <v>20000</v>
      </c>
      <c r="L166" s="35" t="n">
        <v>20000</v>
      </c>
      <c r="M166" s="3" t="inlineStr">
        <is>
          <t>CAD</t>
        </is>
      </c>
      <c r="N166" s="3" t="inlineStr">
        <is>
          <t>ALLOWANCE</t>
        </is>
      </c>
      <c r="O166" s="3" t="inlineStr">
        <is>
          <t>A-013</t>
        </is>
      </c>
      <c r="P166" s="3" t="inlineStr">
        <is>
          <t>LOW</t>
        </is>
      </c>
      <c r="Q166" s="3" t="inlineStr">
        <is>
          <t>4 units at $5k/unit labor</t>
        </is>
      </c>
      <c r="R166" s="3">
        <f>VLOOKUP($F166,Inputs!$D$6:$E$41,2,FALSE)</f>
        <v/>
      </c>
      <c r="S166" s="36">
        <f>VLOOKUP($E166,Inputs!$A$6:$B$13,2,FALSE)*Inputs!$B$2</f>
        <v/>
      </c>
      <c r="T166" s="35">
        <f>$L166*$S166</f>
        <v/>
      </c>
      <c r="U166" s="35">
        <f>$L166+$T166</f>
        <v/>
      </c>
    </row>
    <row r="167">
      <c r="A167" s="3" t="inlineStr">
        <is>
          <t>PKG-07::L015</t>
        </is>
      </c>
      <c r="B167" s="3" t="inlineStr">
        <is>
          <t>PKG-07</t>
        </is>
      </c>
      <c r="C167" s="3" t="n"/>
      <c r="D167" s="3" t="inlineStr">
        <is>
          <t>L015</t>
        </is>
      </c>
      <c r="E167" s="3" t="inlineStr">
        <is>
          <t>CD</t>
        </is>
      </c>
      <c r="F167" s="3" t="inlineStr">
        <is>
          <t>PKG-07</t>
        </is>
      </c>
      <c r="G167" s="3" t="n"/>
      <c r="H167" s="3" t="inlineStr">
        <is>
          <t>Track Alignment Survey - pre and post installation surveys</t>
        </is>
      </c>
      <c r="I167" s="22" t="n">
        <v>1</v>
      </c>
      <c r="J167" s="3" t="inlineStr">
        <is>
          <t>LS</t>
        </is>
      </c>
      <c r="K167" s="39" t="n">
        <v>25000</v>
      </c>
      <c r="L167" s="35" t="n">
        <v>25000</v>
      </c>
      <c r="M167" s="3" t="inlineStr">
        <is>
          <t>CAD</t>
        </is>
      </c>
      <c r="N167" s="3" t="inlineStr">
        <is>
          <t>ALLOWANCE</t>
        </is>
      </c>
      <c r="O167" s="3" t="inlineStr">
        <is>
          <t>A-014</t>
        </is>
      </c>
      <c r="P167" s="3" t="inlineStr">
        <is>
          <t>LOW</t>
        </is>
      </c>
      <c r="Q167" s="3" t="inlineStr">
        <is>
          <t>Survey and verification</t>
        </is>
      </c>
      <c r="R167" s="3">
        <f>VLOOKUP($F167,Inputs!$D$6:$E$41,2,FALSE)</f>
        <v/>
      </c>
      <c r="S167" s="36">
        <f>VLOOKUP($E167,Inputs!$A$6:$B$13,2,FALSE)*Inputs!$B$2</f>
        <v/>
      </c>
      <c r="T167" s="35">
        <f>$L167*$S167</f>
        <v/>
      </c>
      <c r="U167" s="35">
        <f>$L167+$T167</f>
        <v/>
      </c>
    </row>
    <row r="168">
      <c r="A168" s="3" t="inlineStr">
        <is>
          <t>PKG-07::L016</t>
        </is>
      </c>
      <c r="B168" s="3" t="inlineStr">
        <is>
          <t>PKG-07</t>
        </is>
      </c>
      <c r="C168" s="3" t="n"/>
      <c r="D168" s="3" t="inlineStr">
        <is>
          <t>L016</t>
        </is>
      </c>
      <c r="E168" s="3" t="inlineStr">
        <is>
          <t>CD</t>
        </is>
      </c>
      <c r="F168" s="3" t="inlineStr">
        <is>
          <t>PKG-07</t>
        </is>
      </c>
      <c r="G168" s="3" t="n"/>
      <c r="H168" s="3" t="inlineStr">
        <is>
          <t>Track Geometry Testing - alignment gauge elevation testing</t>
        </is>
      </c>
      <c r="I168" s="22" t="n">
        <v>1</v>
      </c>
      <c r="J168" s="3" t="inlineStr">
        <is>
          <t>LS</t>
        </is>
      </c>
      <c r="K168" s="39" t="n">
        <v>15000</v>
      </c>
      <c r="L168" s="35" t="n">
        <v>15000</v>
      </c>
      <c r="M168" s="3" t="inlineStr">
        <is>
          <t>CAD</t>
        </is>
      </c>
      <c r="N168" s="3" t="inlineStr">
        <is>
          <t>ALLOWANCE</t>
        </is>
      </c>
      <c r="O168" s="3" t="inlineStr">
        <is>
          <t>A-016</t>
        </is>
      </c>
      <c r="P168" s="3" t="inlineStr">
        <is>
          <t>LOW</t>
        </is>
      </c>
      <c r="Q168" s="3" t="inlineStr">
        <is>
          <t>~65 test locations</t>
        </is>
      </c>
      <c r="R168" s="3">
        <f>VLOOKUP($F168,Inputs!$D$6:$E$41,2,FALSE)</f>
        <v/>
      </c>
      <c r="S168" s="36">
        <f>VLOOKUP($E168,Inputs!$A$6:$B$13,2,FALSE)*Inputs!$B$2</f>
        <v/>
      </c>
      <c r="T168" s="35">
        <f>$L168*$S168</f>
        <v/>
      </c>
      <c r="U168" s="35">
        <f>$L168+$T168</f>
        <v/>
      </c>
    </row>
    <row r="169">
      <c r="A169" s="3" t="inlineStr">
        <is>
          <t>PKG-07::L017</t>
        </is>
      </c>
      <c r="B169" s="3" t="inlineStr">
        <is>
          <t>PKG-07</t>
        </is>
      </c>
      <c r="C169" s="3" t="n"/>
      <c r="D169" s="3" t="inlineStr">
        <is>
          <t>L017</t>
        </is>
      </c>
      <c r="E169" s="3" t="inlineStr">
        <is>
          <t>CD</t>
        </is>
      </c>
      <c r="F169" s="3" t="inlineStr">
        <is>
          <t>PKG-07</t>
        </is>
      </c>
      <c r="G169" s="3" t="n"/>
      <c r="H169" s="3" t="inlineStr">
        <is>
          <t>Ballast Material Testing - gradation and compaction verification</t>
        </is>
      </c>
      <c r="I169" s="22" t="n">
        <v>1</v>
      </c>
      <c r="J169" s="3" t="inlineStr">
        <is>
          <t>LS</t>
        </is>
      </c>
      <c r="K169" s="39" t="n">
        <v>8000</v>
      </c>
      <c r="L169" s="35" t="n">
        <v>8000</v>
      </c>
      <c r="M169" s="3" t="inlineStr">
        <is>
          <t>CAD</t>
        </is>
      </c>
      <c r="N169" s="3" t="inlineStr">
        <is>
          <t>ALLOWANCE</t>
        </is>
      </c>
      <c r="O169" s="3" t="inlineStr">
        <is>
          <t>A-017</t>
        </is>
      </c>
      <c r="P169" s="3" t="inlineStr">
        <is>
          <t>LOW</t>
        </is>
      </c>
      <c r="Q169" s="3" t="inlineStr">
        <is>
          <t>Testing during placement</t>
        </is>
      </c>
      <c r="R169" s="3">
        <f>VLOOKUP($F169,Inputs!$D$6:$E$41,2,FALSE)</f>
        <v/>
      </c>
      <c r="S169" s="36">
        <f>VLOOKUP($E169,Inputs!$A$6:$B$13,2,FALSE)*Inputs!$B$2</f>
        <v/>
      </c>
      <c r="T169" s="35">
        <f>$L169*$S169</f>
        <v/>
      </c>
      <c r="U169" s="35">
        <f>$L169+$T169</f>
        <v/>
      </c>
    </row>
    <row r="170">
      <c r="A170" s="3" t="inlineStr">
        <is>
          <t>PKG-07::L018</t>
        </is>
      </c>
      <c r="B170" s="3" t="inlineStr">
        <is>
          <t>PKG-07</t>
        </is>
      </c>
      <c r="C170" s="3" t="n"/>
      <c r="D170" s="3" t="inlineStr">
        <is>
          <t>L018</t>
        </is>
      </c>
      <c r="E170" s="3" t="inlineStr">
        <is>
          <t>CD</t>
        </is>
      </c>
      <c r="F170" s="3" t="inlineStr">
        <is>
          <t>PKG-07</t>
        </is>
      </c>
      <c r="G170" s="3" t="n"/>
      <c r="H170" s="3" t="inlineStr">
        <is>
          <t>Rail Weld Inspection - visual and UT inspection of rail joints</t>
        </is>
      </c>
      <c r="I170" s="22" t="n">
        <v>1</v>
      </c>
      <c r="J170" s="3" t="inlineStr">
        <is>
          <t>LS</t>
        </is>
      </c>
      <c r="K170" s="39" t="n">
        <v>12000</v>
      </c>
      <c r="L170" s="35" t="n">
        <v>12000</v>
      </c>
      <c r="M170" s="3" t="inlineStr">
        <is>
          <t>CAD</t>
        </is>
      </c>
      <c r="N170" s="3" t="inlineStr">
        <is>
          <t>ALLOWANCE</t>
        </is>
      </c>
      <c r="O170" s="3" t="inlineStr">
        <is>
          <t>A-018</t>
        </is>
      </c>
      <c r="P170" s="3" t="inlineStr">
        <is>
          <t>LOW</t>
        </is>
      </c>
      <c r="Q170" s="3" t="inlineStr">
        <is>
          <t>Inspection per welding plan</t>
        </is>
      </c>
      <c r="R170" s="3">
        <f>VLOOKUP($F170,Inputs!$D$6:$E$41,2,FALSE)</f>
        <v/>
      </c>
      <c r="S170" s="36">
        <f>VLOOKUP($E170,Inputs!$A$6:$B$13,2,FALSE)*Inputs!$B$2</f>
        <v/>
      </c>
      <c r="T170" s="35">
        <f>$L170*$S170</f>
        <v/>
      </c>
      <c r="U170" s="35">
        <f>$L170+$T170</f>
        <v/>
      </c>
    </row>
    <row r="171">
      <c r="A171" s="3" t="inlineStr">
        <is>
          <t>PKG-07::L019</t>
        </is>
      </c>
      <c r="B171" s="3" t="inlineStr">
        <is>
          <t>PKG-07</t>
        </is>
      </c>
      <c r="C171" s="3" t="n"/>
      <c r="D171" s="3" t="inlineStr">
        <is>
          <t>L019</t>
        </is>
      </c>
      <c r="E171" s="3" t="inlineStr">
        <is>
          <t>CD</t>
        </is>
      </c>
      <c r="F171" s="3" t="inlineStr">
        <is>
          <t>PKG-07</t>
        </is>
      </c>
      <c r="G171" s="3" t="n"/>
      <c r="H171" s="3" t="inlineStr">
        <is>
          <t>Track Access Coordination - flagging protection during terminal operations</t>
        </is>
      </c>
      <c r="I171" s="22" t="n">
        <v>1</v>
      </c>
      <c r="J171" s="3" t="inlineStr">
        <is>
          <t>LS</t>
        </is>
      </c>
      <c r="K171" s="39" t="n">
        <v>35000</v>
      </c>
      <c r="L171" s="35" t="n">
        <v>35000</v>
      </c>
      <c r="M171" s="3" t="inlineStr">
        <is>
          <t>CAD</t>
        </is>
      </c>
      <c r="N171" s="3" t="inlineStr">
        <is>
          <t>ALLOWANCE</t>
        </is>
      </c>
      <c r="O171" s="3" t="inlineStr">
        <is>
          <t>A-019</t>
        </is>
      </c>
      <c r="P171" s="3" t="inlineStr">
        <is>
          <t>LOW</t>
        </is>
      </c>
      <c r="Q171" s="3" t="inlineStr">
        <is>
          <t>Safety and coordination allowance</t>
        </is>
      </c>
      <c r="R171" s="3">
        <f>VLOOKUP($F171,Inputs!$D$6:$E$41,2,FALSE)</f>
        <v/>
      </c>
      <c r="S171" s="36">
        <f>VLOOKUP($E171,Inputs!$A$6:$B$13,2,FALSE)*Inputs!$B$2</f>
        <v/>
      </c>
      <c r="T171" s="35">
        <f>$L171*$S171</f>
        <v/>
      </c>
      <c r="U171" s="35">
        <f>$L171+$T171</f>
        <v/>
      </c>
    </row>
    <row r="172">
      <c r="A172" s="3" t="inlineStr">
        <is>
          <t>PKG-07::L020</t>
        </is>
      </c>
      <c r="B172" s="3" t="inlineStr">
        <is>
          <t>PKG-07</t>
        </is>
      </c>
      <c r="C172" s="3" t="n"/>
      <c r="D172" s="3" t="inlineStr">
        <is>
          <t>L020</t>
        </is>
      </c>
      <c r="E172" s="3" t="inlineStr">
        <is>
          <t>CI</t>
        </is>
      </c>
      <c r="F172" s="3" t="inlineStr">
        <is>
          <t>PKG-07</t>
        </is>
      </c>
      <c r="G172" s="3" t="n"/>
      <c r="H172" s="3" t="inlineStr">
        <is>
          <t>Construction Indirects - field supervision site overhead QA/QC (factor-based)</t>
        </is>
      </c>
      <c r="I172" s="22" t="n">
        <v>1</v>
      </c>
      <c r="J172" s="3" t="inlineStr">
        <is>
          <t>LS</t>
        </is>
      </c>
      <c r="K172" s="39" t="n">
        <v>84000</v>
      </c>
      <c r="L172" s="35" t="n">
        <v>84000</v>
      </c>
      <c r="M172" s="3" t="inlineStr">
        <is>
          <t>CAD</t>
        </is>
      </c>
      <c r="N172" s="3" t="inlineStr">
        <is>
          <t>PARAMETRIC</t>
        </is>
      </c>
      <c r="O172" s="3" t="inlineStr">
        <is>
          <t>D-009</t>
        </is>
      </c>
      <c r="P172" s="3" t="inlineStr">
        <is>
          <t>LOW</t>
        </is>
      </c>
      <c r="Q172" s="3" t="inlineStr">
        <is>
          <t>18% of CD base ($468k × 0.18)</t>
        </is>
      </c>
      <c r="R172" s="3">
        <f>VLOOKUP($F172,Inputs!$D$6:$E$41,2,FALSE)</f>
        <v/>
      </c>
      <c r="S172" s="36">
        <f>VLOOKUP($E172,Inputs!$A$6:$B$13,2,FALSE)*Inputs!$B$2</f>
        <v/>
      </c>
      <c r="T172" s="35">
        <f>$L172*$S172</f>
        <v/>
      </c>
      <c r="U172" s="35">
        <f>$L172+$T172</f>
        <v/>
      </c>
    </row>
    <row r="173">
      <c r="A173" s="3" t="inlineStr">
        <is>
          <t>PKG-07::L021</t>
        </is>
      </c>
      <c r="B173" s="3" t="inlineStr">
        <is>
          <t>PKG-07</t>
        </is>
      </c>
      <c r="C173" s="3" t="n"/>
      <c r="D173" s="3" t="inlineStr">
        <is>
          <t>L021</t>
        </is>
      </c>
      <c r="E173" s="3" t="inlineStr">
        <is>
          <t>PM</t>
        </is>
      </c>
      <c r="F173" s="3" t="inlineStr">
        <is>
          <t>PKG-07</t>
        </is>
      </c>
      <c r="G173" s="3" t="n"/>
      <c r="H173" s="3" t="inlineStr">
        <is>
          <t>EPCM / Project Management - PKG-07 allocation (factor-based)</t>
        </is>
      </c>
      <c r="I173" s="22" t="n">
        <v>1</v>
      </c>
      <c r="J173" s="3" t="inlineStr">
        <is>
          <t>LS</t>
        </is>
      </c>
      <c r="K173" s="39" t="n">
        <v>87000</v>
      </c>
      <c r="L173" s="35" t="n">
        <v>87000</v>
      </c>
      <c r="M173" s="3" t="inlineStr">
        <is>
          <t>CAD</t>
        </is>
      </c>
      <c r="N173" s="3" t="inlineStr">
        <is>
          <t>PARAMETRIC</t>
        </is>
      </c>
      <c r="O173" s="3" t="inlineStr">
        <is>
          <t>D-009</t>
        </is>
      </c>
      <c r="P173" s="3" t="inlineStr">
        <is>
          <t>MED</t>
        </is>
      </c>
      <c r="Q173" s="3" t="inlineStr">
        <is>
          <t>6% of (CD+CI+MAT) base</t>
        </is>
      </c>
      <c r="R173" s="3">
        <f>VLOOKUP($F173,Inputs!$D$6:$E$41,2,FALSE)</f>
        <v/>
      </c>
      <c r="S173" s="36">
        <f>VLOOKUP($E173,Inputs!$A$6:$B$13,2,FALSE)*Inputs!$B$2</f>
        <v/>
      </c>
      <c r="T173" s="35">
        <f>$L173*$S173</f>
        <v/>
      </c>
      <c r="U173" s="35">
        <f>$L173+$T173</f>
        <v/>
      </c>
    </row>
    <row r="174">
      <c r="A174" s="3" t="inlineStr">
        <is>
          <t>PKG-07::L022</t>
        </is>
      </c>
      <c r="B174" s="3" t="inlineStr">
        <is>
          <t>PKG-07</t>
        </is>
      </c>
      <c r="C174" s="3" t="n"/>
      <c r="D174" s="3" t="inlineStr">
        <is>
          <t>L022</t>
        </is>
      </c>
      <c r="E174" s="3" t="inlineStr">
        <is>
          <t>P</t>
        </is>
      </c>
      <c r="F174" s="3" t="inlineStr">
        <is>
          <t>PKG-07</t>
        </is>
      </c>
      <c r="G174" s="3" t="n"/>
      <c r="H174" s="3" t="inlineStr">
        <is>
          <t>Procurement Services - vendor coordination expediting (factor-based)</t>
        </is>
      </c>
      <c r="I174" s="22" t="n">
        <v>1</v>
      </c>
      <c r="J174" s="3" t="inlineStr">
        <is>
          <t>LS</t>
        </is>
      </c>
      <c r="K174" s="39" t="n">
        <v>18000</v>
      </c>
      <c r="L174" s="35" t="n">
        <v>18000</v>
      </c>
      <c r="M174" s="3" t="inlineStr">
        <is>
          <t>CAD</t>
        </is>
      </c>
      <c r="N174" s="3" t="inlineStr">
        <is>
          <t>PARAMETRIC</t>
        </is>
      </c>
      <c r="O174" s="3" t="inlineStr">
        <is>
          <t>D-009</t>
        </is>
      </c>
      <c r="P174" s="3" t="inlineStr">
        <is>
          <t>MED</t>
        </is>
      </c>
      <c r="Q174" s="3" t="inlineStr">
        <is>
          <t>2% of MAT ($898k × 0.02)</t>
        </is>
      </c>
      <c r="R174" s="3">
        <f>VLOOKUP($F174,Inputs!$D$6:$E$41,2,FALSE)</f>
        <v/>
      </c>
      <c r="S174" s="36">
        <f>VLOOKUP($E174,Inputs!$A$6:$B$13,2,FALSE)*Inputs!$B$2</f>
        <v/>
      </c>
      <c r="T174" s="35">
        <f>$L174*$S174</f>
        <v/>
      </c>
      <c r="U174" s="35">
        <f>$L174+$T174</f>
        <v/>
      </c>
    </row>
    <row r="175">
      <c r="A175" s="3" t="inlineStr">
        <is>
          <t>PKG-07::L023</t>
        </is>
      </c>
      <c r="B175" s="3" t="inlineStr">
        <is>
          <t>PKG-07</t>
        </is>
      </c>
      <c r="C175" s="3" t="n"/>
      <c r="D175" s="3" t="inlineStr">
        <is>
          <t>L023</t>
        </is>
      </c>
      <c r="E175" s="3" t="inlineStr">
        <is>
          <t>COM</t>
        </is>
      </c>
      <c r="F175" s="3" t="inlineStr">
        <is>
          <t>PKG-07</t>
        </is>
      </c>
      <c r="G175" s="3" t="n"/>
      <c r="H175" s="3" t="inlineStr">
        <is>
          <t>Track Commissioning - load testing final verification acceptance</t>
        </is>
      </c>
      <c r="I175" s="22" t="n">
        <v>1</v>
      </c>
      <c r="J175" s="3" t="inlineStr">
        <is>
          <t>LS</t>
        </is>
      </c>
      <c r="K175" s="39" t="n">
        <v>44000</v>
      </c>
      <c r="L175" s="35" t="n">
        <v>44000</v>
      </c>
      <c r="M175" s="3" t="inlineStr">
        <is>
          <t>CAD</t>
        </is>
      </c>
      <c r="N175" s="3" t="inlineStr">
        <is>
          <t>PARAMETRIC</t>
        </is>
      </c>
      <c r="O175" s="3" t="inlineStr">
        <is>
          <t>D-009</t>
        </is>
      </c>
      <c r="P175" s="3" t="inlineStr">
        <is>
          <t>LOW</t>
        </is>
      </c>
      <c r="Q175" s="3" t="inlineStr">
        <is>
          <t>3% of (CD+CI+MAT) base</t>
        </is>
      </c>
      <c r="R175" s="3">
        <f>VLOOKUP($F175,Inputs!$D$6:$E$41,2,FALSE)</f>
        <v/>
      </c>
      <c r="S175" s="36">
        <f>VLOOKUP($E175,Inputs!$A$6:$B$13,2,FALSE)*Inputs!$B$2</f>
        <v/>
      </c>
      <c r="T175" s="35">
        <f>$L175*$S175</f>
        <v/>
      </c>
      <c r="U175" s="35">
        <f>$L175+$T175</f>
        <v/>
      </c>
    </row>
    <row r="176">
      <c r="A176" s="3" t="inlineStr">
        <is>
          <t>PKG-08::L801</t>
        </is>
      </c>
      <c r="B176" s="3" t="inlineStr">
        <is>
          <t>PKG-08</t>
        </is>
      </c>
      <c r="C176" s="3" t="inlineStr">
        <is>
          <t>DEL-08.01</t>
        </is>
      </c>
      <c r="D176" s="3" t="inlineStr">
        <is>
          <t>L801</t>
        </is>
      </c>
      <c r="E176" s="3" t="inlineStr">
        <is>
          <t>E</t>
        </is>
      </c>
      <c r="F176" s="3" t="inlineStr">
        <is>
          <t>PKG-08</t>
        </is>
      </c>
      <c r="G176" s="3" t="inlineStr">
        <is>
          <t>DEL-08.01</t>
        </is>
      </c>
      <c r="H176" s="3" t="inlineStr">
        <is>
          <t>Marine Structures Design Drawing Set - CAD drafting and production (piling layout trestle GA platform GA catwalk abutments ~15 drawings)</t>
        </is>
      </c>
      <c r="I176" s="22" t="n">
        <v>1</v>
      </c>
      <c r="J176" s="3" t="inlineStr">
        <is>
          <t>LS</t>
        </is>
      </c>
      <c r="K176" s="39" t="n">
        <v>65000</v>
      </c>
      <c r="L176" s="35" t="n">
        <v>65000</v>
      </c>
      <c r="M176" s="3" t="inlineStr">
        <is>
          <t>CAD</t>
        </is>
      </c>
      <c r="N176" s="3" t="inlineStr">
        <is>
          <t>ALLOWANCE</t>
        </is>
      </c>
      <c r="O176" s="3" t="inlineStr">
        <is>
          <t>A-801</t>
        </is>
      </c>
      <c r="P176" s="3" t="inlineStr">
        <is>
          <t>LOW</t>
        </is>
      </c>
      <c r="Q176" s="3" t="inlineStr">
        <is>
          <t>Allowance for marine structures drawing production; complex marine design with multiple structures and interfaces to PKG-09 and PKG-11</t>
        </is>
      </c>
      <c r="R176" s="3">
        <f>VLOOKUP($F176,Inputs!$D$6:$E$41,2,FALSE)</f>
        <v/>
      </c>
      <c r="S176" s="36">
        <f>VLOOKUP($E176,Inputs!$A$6:$B$13,2,FALSE)*Inputs!$B$2</f>
        <v/>
      </c>
      <c r="T176" s="35">
        <f>$L176*$S176</f>
        <v/>
      </c>
      <c r="U176" s="35">
        <f>$L176+$T176</f>
        <v/>
      </c>
    </row>
    <row r="177">
      <c r="A177" s="3" t="inlineStr">
        <is>
          <t>PKG-08::L802</t>
        </is>
      </c>
      <c r="B177" s="3" t="inlineStr">
        <is>
          <t>PKG-08</t>
        </is>
      </c>
      <c r="C177" s="3" t="inlineStr">
        <is>
          <t>DEL-08.02</t>
        </is>
      </c>
      <c r="D177" s="3" t="inlineStr">
        <is>
          <t>L802</t>
        </is>
      </c>
      <c r="E177" s="3" t="inlineStr">
        <is>
          <t>E</t>
        </is>
      </c>
      <c r="F177" s="3" t="inlineStr">
        <is>
          <t>PKG-08</t>
        </is>
      </c>
      <c r="G177" s="3" t="inlineStr">
        <is>
          <t>DEL-08.02</t>
        </is>
      </c>
      <c r="H177" s="3" t="inlineStr">
        <is>
          <t>Marine Structures Technical Specification - specification writing (marine piling spec and structural steel spec for marine environment)</t>
        </is>
      </c>
      <c r="I177" s="22" t="n">
        <v>1</v>
      </c>
      <c r="J177" s="3" t="inlineStr">
        <is>
          <t>LS</t>
        </is>
      </c>
      <c r="K177" s="39" t="n">
        <v>28000</v>
      </c>
      <c r="L177" s="35" t="n">
        <v>28000</v>
      </c>
      <c r="M177" s="3" t="inlineStr">
        <is>
          <t>CAD</t>
        </is>
      </c>
      <c r="N177" s="3" t="inlineStr">
        <is>
          <t>ALLOWANCE</t>
        </is>
      </c>
      <c r="O177" s="3" t="inlineStr">
        <is>
          <t>A-802</t>
        </is>
      </c>
      <c r="P177" s="3" t="inlineStr">
        <is>
          <t>LOW</t>
        </is>
      </c>
      <c r="Q177" s="3" t="inlineStr">
        <is>
          <t>Allowance for marine specification writing; includes corrosion protection cathodic protection welding and marine-specific requirements</t>
        </is>
      </c>
      <c r="R177" s="3">
        <f>VLOOKUP($F177,Inputs!$D$6:$E$41,2,FALSE)</f>
        <v/>
      </c>
      <c r="S177" s="36">
        <f>VLOOKUP($E177,Inputs!$A$6:$B$13,2,FALSE)*Inputs!$B$2</f>
        <v/>
      </c>
      <c r="T177" s="35">
        <f>$L177*$S177</f>
        <v/>
      </c>
      <c r="U177" s="35">
        <f>$L177+$T177</f>
        <v/>
      </c>
    </row>
    <row r="178">
      <c r="A178" s="3" t="inlineStr">
        <is>
          <t>PKG-08::L803</t>
        </is>
      </c>
      <c r="B178" s="3" t="inlineStr">
        <is>
          <t>PKG-08</t>
        </is>
      </c>
      <c r="C178" s="3" t="inlineStr">
        <is>
          <t>DEL-08.03</t>
        </is>
      </c>
      <c r="D178" s="3" t="inlineStr">
        <is>
          <t>L803</t>
        </is>
      </c>
      <c r="E178" s="3" t="inlineStr">
        <is>
          <t>E</t>
        </is>
      </c>
      <c r="F178" s="3" t="inlineStr">
        <is>
          <t>PKG-08</t>
        </is>
      </c>
      <c r="G178" s="3" t="inlineStr">
        <is>
          <t>DEL-08.03</t>
        </is>
      </c>
      <c r="H178" s="3" t="inlineStr">
        <is>
          <t>Marine Structures Design Calculations - structural engineering (pile capacity trestle design platform design mooring/berthing load analysis)</t>
        </is>
      </c>
      <c r="I178" s="22" t="n">
        <v>1</v>
      </c>
      <c r="J178" s="3" t="inlineStr">
        <is>
          <t>LS</t>
        </is>
      </c>
      <c r="K178" s="39" t="n">
        <v>95000</v>
      </c>
      <c r="L178" s="35" t="n">
        <v>95000</v>
      </c>
      <c r="M178" s="3" t="inlineStr">
        <is>
          <t>CAD</t>
        </is>
      </c>
      <c r="N178" s="3" t="inlineStr">
        <is>
          <t>ALLOWANCE</t>
        </is>
      </c>
      <c r="O178" s="3" t="inlineStr">
        <is>
          <t>A-803</t>
        </is>
      </c>
      <c r="P178" s="3" t="inlineStr">
        <is>
          <t>LOW</t>
        </is>
      </c>
      <c r="Q178" s="3" t="inlineStr">
        <is>
          <t>Allowance for marine structural calculations; includes pile capacity (geotechnical and structural) trestle/platform framing mooring analysis - requires P.Eng. stamp</t>
        </is>
      </c>
      <c r="R178" s="3">
        <f>VLOOKUP($F178,Inputs!$D$6:$E$41,2,FALSE)</f>
        <v/>
      </c>
      <c r="S178" s="36">
        <f>VLOOKUP($E178,Inputs!$A$6:$B$13,2,FALSE)*Inputs!$B$2</f>
        <v/>
      </c>
      <c r="T178" s="35">
        <f>$L178*$S178</f>
        <v/>
      </c>
      <c r="U178" s="35">
        <f>$L178+$T178</f>
        <v/>
      </c>
    </row>
    <row r="179">
      <c r="A179" s="3" t="inlineStr">
        <is>
          <t>PKG-08::L804</t>
        </is>
      </c>
      <c r="B179" s="3" t="inlineStr">
        <is>
          <t>PKG-08</t>
        </is>
      </c>
      <c r="C179" s="3" t="inlineStr">
        <is>
          <t>DEL-08.04</t>
        </is>
      </c>
      <c r="D179" s="3" t="inlineStr">
        <is>
          <t>L804</t>
        </is>
      </c>
      <c r="E179" s="3" t="inlineStr">
        <is>
          <t>E</t>
        </is>
      </c>
      <c r="F179" s="3" t="inlineStr">
        <is>
          <t>PKG-08</t>
        </is>
      </c>
      <c r="G179" s="3" t="inlineStr">
        <is>
          <t>DEL-08.04</t>
        </is>
      </c>
      <c r="H179" s="3" t="inlineStr">
        <is>
          <t>Marine Geotechnical Report - marine geotechnical investigation bathymetric survey pile capacity recommendations</t>
        </is>
      </c>
      <c r="I179" s="22" t="n">
        <v>1</v>
      </c>
      <c r="J179" s="3" t="inlineStr">
        <is>
          <t>LS</t>
        </is>
      </c>
      <c r="K179" s="39" t="n">
        <v>85000</v>
      </c>
      <c r="L179" s="35" t="n">
        <v>85000</v>
      </c>
      <c r="M179" s="3" t="inlineStr">
        <is>
          <t>CAD</t>
        </is>
      </c>
      <c r="N179" s="3" t="inlineStr">
        <is>
          <t>ALLOWANCE</t>
        </is>
      </c>
      <c r="O179" s="3" t="inlineStr">
        <is>
          <t>A-804</t>
        </is>
      </c>
      <c r="P179" s="3" t="inlineStr">
        <is>
          <t>LOW</t>
        </is>
      </c>
      <c r="Q179" s="3" t="inlineStr">
        <is>
          <t>Allowance for marine geotechnical work; includes bathymetric survey marine soil investigation pile capacity analysis and design recommendations</t>
        </is>
      </c>
      <c r="R179" s="3">
        <f>VLOOKUP($F179,Inputs!$D$6:$E$41,2,FALSE)</f>
        <v/>
      </c>
      <c r="S179" s="36">
        <f>VLOOKUP($E179,Inputs!$A$6:$B$13,2,FALSE)*Inputs!$B$2</f>
        <v/>
      </c>
      <c r="T179" s="35">
        <f>$L179*$S179</f>
        <v/>
      </c>
      <c r="U179" s="35">
        <f>$L179+$T179</f>
        <v/>
      </c>
    </row>
    <row r="180">
      <c r="A180" s="3" t="inlineStr">
        <is>
          <t>PKG-08::L805</t>
        </is>
      </c>
      <c r="B180" s="3" t="inlineStr">
        <is>
          <t>PKG-08</t>
        </is>
      </c>
      <c r="C180" s="3" t="inlineStr">
        <is>
          <t>DEL-08.05</t>
        </is>
      </c>
      <c r="D180" s="3" t="inlineStr">
        <is>
          <t>L805</t>
        </is>
      </c>
      <c r="E180" s="3" t="inlineStr">
        <is>
          <t>E</t>
        </is>
      </c>
      <c r="F180" s="3" t="inlineStr">
        <is>
          <t>PKG-08</t>
        </is>
      </c>
      <c r="G180" s="3" t="inlineStr">
        <is>
          <t>DEL-08.05</t>
        </is>
      </c>
      <c r="H180" s="3" t="inlineStr">
        <is>
          <t>Marine Structures Installation &amp; Test Records - QA/QC documentation setup and record preparation (pile driving logs weld inspection NDT records)</t>
        </is>
      </c>
      <c r="I180" s="22" t="n">
        <v>1</v>
      </c>
      <c r="J180" s="3" t="inlineStr">
        <is>
          <t>LS</t>
        </is>
      </c>
      <c r="K180" s="39" t="n">
        <v>15000</v>
      </c>
      <c r="L180" s="35" t="n">
        <v>15000</v>
      </c>
      <c r="M180" s="3" t="inlineStr">
        <is>
          <t>CAD</t>
        </is>
      </c>
      <c r="N180" s="3" t="inlineStr">
        <is>
          <t>ALLOWANCE</t>
        </is>
      </c>
      <c r="O180" s="3" t="inlineStr">
        <is>
          <t>A-805</t>
        </is>
      </c>
      <c r="P180" s="3" t="inlineStr">
        <is>
          <t>LOW</t>
        </is>
      </c>
      <c r="Q180" s="3" t="inlineStr">
        <is>
          <t>Allowance for QA/QC documentation templates and record closeout for marine construction</t>
        </is>
      </c>
      <c r="R180" s="3">
        <f>VLOOKUP($F180,Inputs!$D$6:$E$41,2,FALSE)</f>
        <v/>
      </c>
      <c r="S180" s="36">
        <f>VLOOKUP($E180,Inputs!$A$6:$B$13,2,FALSE)*Inputs!$B$2</f>
        <v/>
      </c>
      <c r="T180" s="35">
        <f>$L180*$S180</f>
        <v/>
      </c>
      <c r="U180" s="35">
        <f>$L180+$T180</f>
        <v/>
      </c>
    </row>
    <row r="181">
      <c r="A181" s="3" t="inlineStr">
        <is>
          <t>PKG-08::L806</t>
        </is>
      </c>
      <c r="B181" s="3" t="inlineStr">
        <is>
          <t>PKG-08</t>
        </is>
      </c>
      <c r="C181" s="3" t="inlineStr">
        <is>
          <t>DEL-08.06</t>
        </is>
      </c>
      <c r="D181" s="3" t="inlineStr">
        <is>
          <t>L806</t>
        </is>
      </c>
      <c r="E181" s="3" t="inlineStr">
        <is>
          <t>E</t>
        </is>
      </c>
      <c r="F181" s="3" t="inlineStr">
        <is>
          <t>PKG-08</t>
        </is>
      </c>
      <c r="G181" s="3" t="inlineStr">
        <is>
          <t>DEL-08.06</t>
        </is>
      </c>
      <c r="H181" s="3" t="inlineStr">
        <is>
          <t>Berthing Energy Calculation Report - vessel berthing energy analysis per PIANC/BS6349 fender demand calculations</t>
        </is>
      </c>
      <c r="I181" s="22" t="n">
        <v>1</v>
      </c>
      <c r="J181" s="3" t="inlineStr">
        <is>
          <t>LS</t>
        </is>
      </c>
      <c r="K181" s="39" t="n">
        <v>22000</v>
      </c>
      <c r="L181" s="35" t="n">
        <v>22000</v>
      </c>
      <c r="M181" s="3" t="inlineStr">
        <is>
          <t>CAD</t>
        </is>
      </c>
      <c r="N181" s="3" t="inlineStr">
        <is>
          <t>ALLOWANCE</t>
        </is>
      </c>
      <c r="O181" s="3" t="inlineStr">
        <is>
          <t>A-806</t>
        </is>
      </c>
      <c r="P181" s="3" t="inlineStr">
        <is>
          <t>LOW</t>
        </is>
      </c>
      <c r="Q181" s="3" t="inlineStr">
        <is>
          <t>Allowance for berthing energy analysis report; requires vessel characteristics environmental data and berthing scenarios</t>
        </is>
      </c>
      <c r="R181" s="3">
        <f>VLOOKUP($F181,Inputs!$D$6:$E$41,2,FALSE)</f>
        <v/>
      </c>
      <c r="S181" s="36">
        <f>VLOOKUP($E181,Inputs!$A$6:$B$13,2,FALSE)*Inputs!$B$2</f>
        <v/>
      </c>
      <c r="T181" s="35">
        <f>$L181*$S181</f>
        <v/>
      </c>
      <c r="U181" s="35">
        <f>$L181+$T181</f>
        <v/>
      </c>
    </row>
    <row r="182">
      <c r="A182" s="3" t="inlineStr">
        <is>
          <t>PKG-08::L807</t>
        </is>
      </c>
      <c r="B182" s="3" t="inlineStr">
        <is>
          <t>PKG-08</t>
        </is>
      </c>
      <c r="C182" s="3" t="inlineStr">
        <is>
          <t>DEL-08.07</t>
        </is>
      </c>
      <c r="D182" s="3" t="inlineStr">
        <is>
          <t>L807</t>
        </is>
      </c>
      <c r="E182" s="3" t="inlineStr">
        <is>
          <t>E</t>
        </is>
      </c>
      <c r="F182" s="3" t="inlineStr">
        <is>
          <t>PKG-08</t>
        </is>
      </c>
      <c r="G182" s="3" t="inlineStr">
        <is>
          <t>DEL-08.07</t>
        </is>
      </c>
      <c r="H182" s="3" t="inlineStr">
        <is>
          <t>Fender System Deflection Characteristics Data Package - fender selection and data compilation vendor coordination</t>
        </is>
      </c>
      <c r="I182" s="22" t="n">
        <v>1</v>
      </c>
      <c r="J182" s="3" t="inlineStr">
        <is>
          <t>LS</t>
        </is>
      </c>
      <c r="K182" s="39" t="n">
        <v>12000</v>
      </c>
      <c r="L182" s="35" t="n">
        <v>12000</v>
      </c>
      <c r="M182" s="3" t="inlineStr">
        <is>
          <t>CAD</t>
        </is>
      </c>
      <c r="N182" s="3" t="inlineStr">
        <is>
          <t>ALLOWANCE</t>
        </is>
      </c>
      <c r="O182" s="3" t="inlineStr">
        <is>
          <t>A-807</t>
        </is>
      </c>
      <c r="P182" s="3" t="inlineStr">
        <is>
          <t>LOW</t>
        </is>
      </c>
      <c r="Q182" s="3" t="inlineStr">
        <is>
          <t>Allowance for fender data package compilation; includes fender deflection curves manufacturer data and compliance certificates</t>
        </is>
      </c>
      <c r="R182" s="3">
        <f>VLOOKUP($F182,Inputs!$D$6:$E$41,2,FALSE)</f>
        <v/>
      </c>
      <c r="S182" s="36">
        <f>VLOOKUP($E182,Inputs!$A$6:$B$13,2,FALSE)*Inputs!$B$2</f>
        <v/>
      </c>
      <c r="T182" s="35">
        <f>$L182*$S182</f>
        <v/>
      </c>
      <c r="U182" s="35">
        <f>$L182+$T182</f>
        <v/>
      </c>
    </row>
    <row r="183">
      <c r="A183" s="3" t="inlineStr">
        <is>
          <t>PKG-08::L808</t>
        </is>
      </c>
      <c r="B183" s="3" t="inlineStr">
        <is>
          <t>PKG-08</t>
        </is>
      </c>
      <c r="C183" s="3" t="inlineStr">
        <is>
          <t>DEL-08.08</t>
        </is>
      </c>
      <c r="D183" s="3" t="inlineStr">
        <is>
          <t>L808</t>
        </is>
      </c>
      <c r="E183" s="3" t="inlineStr">
        <is>
          <t>E</t>
        </is>
      </c>
      <c r="F183" s="3" t="inlineStr">
        <is>
          <t>PKG-08</t>
        </is>
      </c>
      <c r="G183" s="3" t="inlineStr">
        <is>
          <t>DEL-08.08</t>
        </is>
      </c>
      <c r="H183" s="3" t="inlineStr">
        <is>
          <t>Fender Supplier Design Verification Letter/Report - vendor coordination and verification documentation</t>
        </is>
      </c>
      <c r="I183" s="22" t="n">
        <v>1</v>
      </c>
      <c r="J183" s="3" t="inlineStr">
        <is>
          <t>LS</t>
        </is>
      </c>
      <c r="K183" s="39" t="n">
        <v>8000</v>
      </c>
      <c r="L183" s="35" t="n">
        <v>8000</v>
      </c>
      <c r="M183" s="3" t="inlineStr">
        <is>
          <t>CAD</t>
        </is>
      </c>
      <c r="N183" s="3" t="inlineStr">
        <is>
          <t>ALLOWANCE</t>
        </is>
      </c>
      <c r="O183" s="3" t="inlineStr">
        <is>
          <t>A-808</t>
        </is>
      </c>
      <c r="P183" s="3" t="inlineStr">
        <is>
          <t>LOW</t>
        </is>
      </c>
      <c r="Q183" s="3" t="inlineStr">
        <is>
          <t>Allowance for fender supplier verification coordination; includes review of supplier calculations and stamped reports</t>
        </is>
      </c>
      <c r="R183" s="3">
        <f>VLOOKUP($F183,Inputs!$D$6:$E$41,2,FALSE)</f>
        <v/>
      </c>
      <c r="S183" s="36">
        <f>VLOOKUP($E183,Inputs!$A$6:$B$13,2,FALSE)*Inputs!$B$2</f>
        <v/>
      </c>
      <c r="T183" s="35">
        <f>$L183*$S183</f>
        <v/>
      </c>
      <c r="U183" s="35">
        <f>$L183+$T183</f>
        <v/>
      </c>
    </row>
    <row r="184">
      <c r="A184" s="3" t="inlineStr">
        <is>
          <t>PKG-08::L809</t>
        </is>
      </c>
      <c r="B184" s="3" t="inlineStr">
        <is>
          <t>PKG-08</t>
        </is>
      </c>
      <c r="C184" s="3" t="inlineStr">
        <is>
          <t>DEL-08.09</t>
        </is>
      </c>
      <c r="D184" s="3" t="inlineStr">
        <is>
          <t>L809</t>
        </is>
      </c>
      <c r="E184" s="3" t="inlineStr">
        <is>
          <t>E</t>
        </is>
      </c>
      <c r="F184" s="3" t="inlineStr">
        <is>
          <t>PKG-08</t>
        </is>
      </c>
      <c r="G184" s="3" t="inlineStr">
        <is>
          <t>DEL-08.09</t>
        </is>
      </c>
      <c r="H184" s="3" t="inlineStr">
        <is>
          <t>Mooring Analysis Report - moored vessel analysis mooring line loads bollard loads per OCIMF guidelines</t>
        </is>
      </c>
      <c r="I184" s="22" t="n">
        <v>1</v>
      </c>
      <c r="J184" s="3" t="inlineStr">
        <is>
          <t>LS</t>
        </is>
      </c>
      <c r="K184" s="39" t="n">
        <v>35000</v>
      </c>
      <c r="L184" s="35" t="n">
        <v>35000</v>
      </c>
      <c r="M184" s="3" t="inlineStr">
        <is>
          <t>CAD</t>
        </is>
      </c>
      <c r="N184" s="3" t="inlineStr">
        <is>
          <t>ALLOWANCE</t>
        </is>
      </c>
      <c r="O184" s="3" t="inlineStr">
        <is>
          <t>A-809</t>
        </is>
      </c>
      <c r="P184" s="3" t="inlineStr">
        <is>
          <t>LOW</t>
        </is>
      </c>
      <c r="Q184" s="3" t="inlineStr">
        <is>
          <t>Allowance for mooring analysis report; includes environmental loads on moored vessel mooring line tensions and bollard loads</t>
        </is>
      </c>
      <c r="R184" s="3">
        <f>VLOOKUP($F184,Inputs!$D$6:$E$41,2,FALSE)</f>
        <v/>
      </c>
      <c r="S184" s="36">
        <f>VLOOKUP($E184,Inputs!$A$6:$B$13,2,FALSE)*Inputs!$B$2</f>
        <v/>
      </c>
      <c r="T184" s="35">
        <f>$L184*$S184</f>
        <v/>
      </c>
      <c r="U184" s="35">
        <f>$L184+$T184</f>
        <v/>
      </c>
    </row>
    <row r="185">
      <c r="A185" s="3" t="inlineStr">
        <is>
          <t>PKG-08::L810</t>
        </is>
      </c>
      <c r="B185" s="3" t="inlineStr">
        <is>
          <t>PKG-08</t>
        </is>
      </c>
      <c r="C185" s="3" t="inlineStr">
        <is>
          <t>DEL-08.10</t>
        </is>
      </c>
      <c r="D185" s="3" t="inlineStr">
        <is>
          <t>L810</t>
        </is>
      </c>
      <c r="E185" s="3" t="inlineStr">
        <is>
          <t>E</t>
        </is>
      </c>
      <c r="F185" s="3" t="inlineStr">
        <is>
          <t>PKG-08</t>
        </is>
      </c>
      <c r="G185" s="3" t="inlineStr">
        <is>
          <t>DEL-08.10</t>
        </is>
      </c>
      <c r="H185" s="3" t="inlineStr">
        <is>
          <t>Current Assessment Basis Report - marine current assessment methodology and results for structural loading</t>
        </is>
      </c>
      <c r="I185" s="22" t="n">
        <v>1</v>
      </c>
      <c r="J185" s="3" t="inlineStr">
        <is>
          <t>LS</t>
        </is>
      </c>
      <c r="K185" s="39" t="n">
        <v>18000</v>
      </c>
      <c r="L185" s="35" t="n">
        <v>18000</v>
      </c>
      <c r="M185" s="3" t="inlineStr">
        <is>
          <t>CAD</t>
        </is>
      </c>
      <c r="N185" s="3" t="inlineStr">
        <is>
          <t>ALLOWANCE</t>
        </is>
      </c>
      <c r="O185" s="3" t="inlineStr">
        <is>
          <t>A-810</t>
        </is>
      </c>
      <c r="P185" s="3" t="inlineStr">
        <is>
          <t>LOW</t>
        </is>
      </c>
      <c r="Q185" s="3" t="inlineStr">
        <is>
          <t>Allowance for current assessment report; includes current velocity profiles and loads on structure</t>
        </is>
      </c>
      <c r="R185" s="3">
        <f>VLOOKUP($F185,Inputs!$D$6:$E$41,2,FALSE)</f>
        <v/>
      </c>
      <c r="S185" s="36">
        <f>VLOOKUP($E185,Inputs!$A$6:$B$13,2,FALSE)*Inputs!$B$2</f>
        <v/>
      </c>
      <c r="T185" s="35">
        <f>$L185*$S185</f>
        <v/>
      </c>
      <c r="U185" s="35">
        <f>$L185+$T185</f>
        <v/>
      </c>
    </row>
    <row r="186">
      <c r="A186" s="3" t="inlineStr">
        <is>
          <t>PKG-08::L811</t>
        </is>
      </c>
      <c r="B186" s="3" t="inlineStr">
        <is>
          <t>PKG-08</t>
        </is>
      </c>
      <c r="C186" s="3" t="inlineStr">
        <is>
          <t>DEL-08.11</t>
        </is>
      </c>
      <c r="D186" s="3" t="inlineStr">
        <is>
          <t>L811</t>
        </is>
      </c>
      <c r="E186" s="3" t="inlineStr">
        <is>
          <t>E</t>
        </is>
      </c>
      <c r="F186" s="3" t="inlineStr">
        <is>
          <t>PKG-08</t>
        </is>
      </c>
      <c r="G186" s="3" t="inlineStr">
        <is>
          <t>DEL-08.11</t>
        </is>
      </c>
      <c r="H186" s="3" t="inlineStr">
        <is>
          <t>Debris Loading Design Basis Note - debris loading assumptions and design basis documentation</t>
        </is>
      </c>
      <c r="I186" s="22" t="n">
        <v>1</v>
      </c>
      <c r="J186" s="3" t="inlineStr">
        <is>
          <t>LS</t>
        </is>
      </c>
      <c r="K186" s="39" t="n">
        <v>6000</v>
      </c>
      <c r="L186" s="35" t="n">
        <v>6000</v>
      </c>
      <c r="M186" s="3" t="inlineStr">
        <is>
          <t>CAD</t>
        </is>
      </c>
      <c r="N186" s="3" t="inlineStr">
        <is>
          <t>ALLOWANCE</t>
        </is>
      </c>
      <c r="O186" s="3" t="inlineStr">
        <is>
          <t>A-811</t>
        </is>
      </c>
      <c r="P186" s="3" t="inlineStr">
        <is>
          <t>LOW</t>
        </is>
      </c>
      <c r="Q186" s="3" t="inlineStr">
        <is>
          <t>Allowance for debris loading basis note; documents assumptions for floating debris and log impact loads</t>
        </is>
      </c>
      <c r="R186" s="3">
        <f>VLOOKUP($F186,Inputs!$D$6:$E$41,2,FALSE)</f>
        <v/>
      </c>
      <c r="S186" s="36">
        <f>VLOOKUP($E186,Inputs!$A$6:$B$13,2,FALSE)*Inputs!$B$2</f>
        <v/>
      </c>
      <c r="T186" s="35">
        <f>$L186*$S186</f>
        <v/>
      </c>
      <c r="U186" s="35">
        <f>$L186+$T186</f>
        <v/>
      </c>
    </row>
    <row r="187">
      <c r="A187" s="3" t="inlineStr">
        <is>
          <t>PKG-08::L812</t>
        </is>
      </c>
      <c r="B187" s="3" t="inlineStr">
        <is>
          <t>PKG-08</t>
        </is>
      </c>
      <c r="C187" s="3" t="n"/>
      <c r="D187" s="3" t="inlineStr">
        <is>
          <t>L812</t>
        </is>
      </c>
      <c r="E187" s="3" t="inlineStr">
        <is>
          <t>MAT</t>
        </is>
      </c>
      <c r="F187" s="3" t="inlineStr">
        <is>
          <t>PKG-08</t>
        </is>
      </c>
      <c r="G187" s="3" t="n"/>
      <c r="H187" s="3" t="inlineStr">
        <is>
          <t>Marine Piling Supply - steel pipe piles or H-piles including corrosion protection coatings (assume 40-60 piles avg 20m length)</t>
        </is>
      </c>
      <c r="I187" s="22" t="n">
        <v>1</v>
      </c>
      <c r="J187" s="3" t="inlineStr">
        <is>
          <t>LS</t>
        </is>
      </c>
      <c r="K187" s="39" t="n">
        <v>850000</v>
      </c>
      <c r="L187" s="35" t="n">
        <v>850000</v>
      </c>
      <c r="M187" s="3" t="inlineStr">
        <is>
          <t>CAD</t>
        </is>
      </c>
      <c r="N187" s="3" t="inlineStr">
        <is>
          <t>ALLOWANCE</t>
        </is>
      </c>
      <c r="O187" s="3" t="inlineStr">
        <is>
          <t>A-812</t>
        </is>
      </c>
      <c r="P187" s="3" t="inlineStr">
        <is>
          <t>LOW</t>
        </is>
      </c>
      <c r="Q187" s="3" t="inlineStr">
        <is>
          <t>Placeholder for marine piling supply; actual cost depends on pile type size quantity and embedment depth - requires geotechnical design</t>
        </is>
      </c>
      <c r="R187" s="3">
        <f>VLOOKUP($F187,Inputs!$D$6:$E$41,2,FALSE)</f>
        <v/>
      </c>
      <c r="S187" s="36">
        <f>VLOOKUP($E187,Inputs!$A$6:$B$13,2,FALSE)*Inputs!$B$2</f>
        <v/>
      </c>
      <c r="T187" s="35">
        <f>$L187*$S187</f>
        <v/>
      </c>
      <c r="U187" s="35">
        <f>$L187+$T187</f>
        <v/>
      </c>
    </row>
    <row r="188">
      <c r="A188" s="3" t="inlineStr">
        <is>
          <t>PKG-08::L813</t>
        </is>
      </c>
      <c r="B188" s="3" t="inlineStr">
        <is>
          <t>PKG-08</t>
        </is>
      </c>
      <c r="C188" s="3" t="n"/>
      <c r="D188" s="3" t="inlineStr">
        <is>
          <t>L813</t>
        </is>
      </c>
      <c r="E188" s="3" t="inlineStr">
        <is>
          <t>MAT</t>
        </is>
      </c>
      <c r="F188" s="3" t="inlineStr">
        <is>
          <t>PKG-08</t>
        </is>
      </c>
      <c r="G188" s="3" t="n"/>
      <c r="H188" s="3" t="inlineStr">
        <is>
          <t>Trestle Structural Steel Supply - fabricated steel framing for access trestle (assume 150m length 3m width 150 tonnes)</t>
        </is>
      </c>
      <c r="I188" s="22" t="n">
        <v>1</v>
      </c>
      <c r="J188" s="3" t="inlineStr">
        <is>
          <t>LS</t>
        </is>
      </c>
      <c r="K188" s="39" t="n">
        <v>675000</v>
      </c>
      <c r="L188" s="35" t="n">
        <v>675000</v>
      </c>
      <c r="M188" s="3" t="inlineStr">
        <is>
          <t>CAD</t>
        </is>
      </c>
      <c r="N188" s="3" t="inlineStr">
        <is>
          <t>ALLOWANCE</t>
        </is>
      </c>
      <c r="O188" s="3" t="inlineStr">
        <is>
          <t>A-813</t>
        </is>
      </c>
      <c r="P188" s="3" t="inlineStr">
        <is>
          <t>LOW</t>
        </is>
      </c>
      <c r="Q188" s="3" t="inlineStr">
        <is>
          <t>Placeholder for trestle structural steel; includes beams columns bracing grating handrails - marine-grade corrosion protection required</t>
        </is>
      </c>
      <c r="R188" s="3">
        <f>VLOOKUP($F188,Inputs!$D$6:$E$41,2,FALSE)</f>
        <v/>
      </c>
      <c r="S188" s="36">
        <f>VLOOKUP($E188,Inputs!$A$6:$B$13,2,FALSE)*Inputs!$B$2</f>
        <v/>
      </c>
      <c r="T188" s="35">
        <f>$L188*$S188</f>
        <v/>
      </c>
      <c r="U188" s="35">
        <f>$L188+$T188</f>
        <v/>
      </c>
    </row>
    <row r="189">
      <c r="A189" s="3" t="inlineStr">
        <is>
          <t>PKG-08::L814</t>
        </is>
      </c>
      <c r="B189" s="3" t="inlineStr">
        <is>
          <t>PKG-08</t>
        </is>
      </c>
      <c r="C189" s="3" t="n"/>
      <c r="D189" s="3" t="inlineStr">
        <is>
          <t>L814</t>
        </is>
      </c>
      <c r="E189" s="3" t="inlineStr">
        <is>
          <t>MAT</t>
        </is>
      </c>
      <c r="F189" s="3" t="inlineStr">
        <is>
          <t>PKG-08</t>
        </is>
      </c>
      <c r="G189" s="3" t="n"/>
      <c r="H189" s="3" t="inlineStr">
        <is>
          <t>Loading Platform Structural Steel Supply - fabricated steel platform structure for marine loading arm and equipment (assume 20m x 15m 80 tonnes)</t>
        </is>
      </c>
      <c r="I189" s="22" t="n">
        <v>1</v>
      </c>
      <c r="J189" s="3" t="inlineStr">
        <is>
          <t>LS</t>
        </is>
      </c>
      <c r="K189" s="39" t="n">
        <v>450000</v>
      </c>
      <c r="L189" s="35" t="n">
        <v>450000</v>
      </c>
      <c r="M189" s="3" t="inlineStr">
        <is>
          <t>CAD</t>
        </is>
      </c>
      <c r="N189" s="3" t="inlineStr">
        <is>
          <t>ALLOWANCE</t>
        </is>
      </c>
      <c r="O189" s="3" t="inlineStr">
        <is>
          <t>A-814</t>
        </is>
      </c>
      <c r="P189" s="3" t="inlineStr">
        <is>
          <t>LOW</t>
        </is>
      </c>
      <c r="Q189" s="3" t="inlineStr">
        <is>
          <t>Placeholder for loading platform steel; includes framing deck equipment supports - marine-grade corrosion protection required</t>
        </is>
      </c>
      <c r="R189" s="3">
        <f>VLOOKUP($F189,Inputs!$D$6:$E$41,2,FALSE)</f>
        <v/>
      </c>
      <c r="S189" s="36">
        <f>VLOOKUP($E189,Inputs!$A$6:$B$13,2,FALSE)*Inputs!$B$2</f>
        <v/>
      </c>
      <c r="T189" s="35">
        <f>$L189*$S189</f>
        <v/>
      </c>
      <c r="U189" s="35">
        <f>$L189+$T189</f>
        <v/>
      </c>
    </row>
    <row r="190">
      <c r="A190" s="3" t="inlineStr">
        <is>
          <t>PKG-08::L815</t>
        </is>
      </c>
      <c r="B190" s="3" t="inlineStr">
        <is>
          <t>PKG-08</t>
        </is>
      </c>
      <c r="C190" s="3" t="n"/>
      <c r="D190" s="3" t="inlineStr">
        <is>
          <t>L815</t>
        </is>
      </c>
      <c r="E190" s="3" t="inlineStr">
        <is>
          <t>MAT</t>
        </is>
      </c>
      <c r="F190" s="3" t="inlineStr">
        <is>
          <t>PKG-08</t>
        </is>
      </c>
      <c r="G190" s="3" t="n"/>
      <c r="H190" s="3" t="inlineStr">
        <is>
          <t>Catwalk Structural Steel Supply - fabricated catwalk structure with handrails and safety features (assume 50m length 25 tonnes)</t>
        </is>
      </c>
      <c r="I190" s="22" t="n">
        <v>1</v>
      </c>
      <c r="J190" s="3" t="inlineStr">
        <is>
          <t>LS</t>
        </is>
      </c>
      <c r="K190" s="39" t="n">
        <v>125000</v>
      </c>
      <c r="L190" s="35" t="n">
        <v>125000</v>
      </c>
      <c r="M190" s="3" t="inlineStr">
        <is>
          <t>CAD</t>
        </is>
      </c>
      <c r="N190" s="3" t="inlineStr">
        <is>
          <t>ALLOWANCE</t>
        </is>
      </c>
      <c r="O190" s="3" t="inlineStr">
        <is>
          <t>A-815</t>
        </is>
      </c>
      <c r="P190" s="3" t="inlineStr">
        <is>
          <t>LOW</t>
        </is>
      </c>
      <c r="Q190" s="3" t="inlineStr">
        <is>
          <t>Placeholder for catwalk steel supply; includes framing grating handrails safety features</t>
        </is>
      </c>
      <c r="R190" s="3">
        <f>VLOOKUP($F190,Inputs!$D$6:$E$41,2,FALSE)</f>
        <v/>
      </c>
      <c r="S190" s="36">
        <f>VLOOKUP($E190,Inputs!$A$6:$B$13,2,FALSE)*Inputs!$B$2</f>
        <v/>
      </c>
      <c r="T190" s="35">
        <f>$L190*$S190</f>
        <v/>
      </c>
      <c r="U190" s="35">
        <f>$L190+$T190</f>
        <v/>
      </c>
    </row>
    <row r="191">
      <c r="A191" s="3" t="inlineStr">
        <is>
          <t>PKG-08::L816</t>
        </is>
      </c>
      <c r="B191" s="3" t="inlineStr">
        <is>
          <t>PKG-08</t>
        </is>
      </c>
      <c r="C191" s="3" t="n"/>
      <c r="D191" s="3" t="inlineStr">
        <is>
          <t>L816</t>
        </is>
      </c>
      <c r="E191" s="3" t="inlineStr">
        <is>
          <t>MAT</t>
        </is>
      </c>
      <c r="F191" s="3" t="inlineStr">
        <is>
          <t>PKG-08</t>
        </is>
      </c>
      <c r="G191" s="3" t="n"/>
      <c r="H191" s="3" t="inlineStr">
        <is>
          <t>Abutment Materials - concrete and reinforcement for landside abutments and trestle tie-in (assume 2 abutments 40m3 each)</t>
        </is>
      </c>
      <c r="I191" s="22" t="n">
        <v>1</v>
      </c>
      <c r="J191" s="3" t="inlineStr">
        <is>
          <t>LS</t>
        </is>
      </c>
      <c r="K191" s="39" t="n">
        <v>95000</v>
      </c>
      <c r="L191" s="35" t="n">
        <v>95000</v>
      </c>
      <c r="M191" s="3" t="inlineStr">
        <is>
          <t>CAD</t>
        </is>
      </c>
      <c r="N191" s="3" t="inlineStr">
        <is>
          <t>ALLOWANCE</t>
        </is>
      </c>
      <c r="O191" s="3" t="inlineStr">
        <is>
          <t>A-816</t>
        </is>
      </c>
      <c r="P191" s="3" t="inlineStr">
        <is>
          <t>LOW</t>
        </is>
      </c>
      <c r="Q191" s="3" t="inlineStr">
        <is>
          <t>Placeholder for abutment construction materials; includes concrete reinforcement formwork tie-in hardware</t>
        </is>
      </c>
      <c r="R191" s="3">
        <f>VLOOKUP($F191,Inputs!$D$6:$E$41,2,FALSE)</f>
        <v/>
      </c>
      <c r="S191" s="36">
        <f>VLOOKUP($E191,Inputs!$A$6:$B$13,2,FALSE)*Inputs!$B$2</f>
        <v/>
      </c>
      <c r="T191" s="35">
        <f>$L191*$S191</f>
        <v/>
      </c>
      <c r="U191" s="35">
        <f>$L191+$T191</f>
        <v/>
      </c>
    </row>
    <row r="192">
      <c r="A192" s="3" t="inlineStr">
        <is>
          <t>PKG-08::L817</t>
        </is>
      </c>
      <c r="B192" s="3" t="inlineStr">
        <is>
          <t>PKG-08</t>
        </is>
      </c>
      <c r="C192" s="3" t="n"/>
      <c r="D192" s="3" t="inlineStr">
        <is>
          <t>L817</t>
        </is>
      </c>
      <c r="E192" s="3" t="inlineStr">
        <is>
          <t>MAT</t>
        </is>
      </c>
      <c r="F192" s="3" t="inlineStr">
        <is>
          <t>PKG-08</t>
        </is>
      </c>
      <c r="G192" s="3" t="n"/>
      <c r="H192" s="3" t="inlineStr">
        <is>
          <t>Marine Hardware and Miscellaneous Steel - ladders platforms accessories sacrificial anodes cathodic protection system</t>
        </is>
      </c>
      <c r="I192" s="22" t="n">
        <v>1</v>
      </c>
      <c r="J192" s="3" t="inlineStr">
        <is>
          <t>LS</t>
        </is>
      </c>
      <c r="K192" s="39" t="n">
        <v>85000</v>
      </c>
      <c r="L192" s="35" t="n">
        <v>85000</v>
      </c>
      <c r="M192" s="3" t="inlineStr">
        <is>
          <t>CAD</t>
        </is>
      </c>
      <c r="N192" s="3" t="inlineStr">
        <is>
          <t>ALLOWANCE</t>
        </is>
      </c>
      <c r="O192" s="3" t="inlineStr">
        <is>
          <t>A-817</t>
        </is>
      </c>
      <c r="P192" s="3" t="inlineStr">
        <is>
          <t>LOW</t>
        </is>
      </c>
      <c r="Q192" s="3" t="inlineStr">
        <is>
          <t>Placeholder for marine accessories; includes access ladders platforms safety equipment corrosion protection anodes</t>
        </is>
      </c>
      <c r="R192" s="3">
        <f>VLOOKUP($F192,Inputs!$D$6:$E$41,2,FALSE)</f>
        <v/>
      </c>
      <c r="S192" s="36">
        <f>VLOOKUP($E192,Inputs!$A$6:$B$13,2,FALSE)*Inputs!$B$2</f>
        <v/>
      </c>
      <c r="T192" s="35">
        <f>$L192*$S192</f>
        <v/>
      </c>
      <c r="U192" s="35">
        <f>$L192+$T192</f>
        <v/>
      </c>
    </row>
    <row r="193">
      <c r="A193" s="3" t="inlineStr">
        <is>
          <t>PKG-08::L818</t>
        </is>
      </c>
      <c r="B193" s="3" t="inlineStr">
        <is>
          <t>PKG-08</t>
        </is>
      </c>
      <c r="C193" s="3" t="n"/>
      <c r="D193" s="3" t="inlineStr">
        <is>
          <t>L818</t>
        </is>
      </c>
      <c r="E193" s="3" t="inlineStr">
        <is>
          <t>FRT</t>
        </is>
      </c>
      <c r="F193" s="3" t="inlineStr">
        <is>
          <t>PKG-08</t>
        </is>
      </c>
      <c r="G193" s="3" t="n"/>
      <c r="H193" s="3" t="inlineStr">
        <is>
          <t>Freight and Marine Logistics - barge/vessel mobilization marine transport crane barge positioning staging</t>
        </is>
      </c>
      <c r="I193" s="22" t="n">
        <v>1</v>
      </c>
      <c r="J193" s="3" t="inlineStr">
        <is>
          <t>LS</t>
        </is>
      </c>
      <c r="K193" s="39" t="n">
        <v>175000</v>
      </c>
      <c r="L193" s="35" t="n">
        <v>175000</v>
      </c>
      <c r="M193" s="3" t="inlineStr">
        <is>
          <t>CAD</t>
        </is>
      </c>
      <c r="N193" s="3" t="inlineStr">
        <is>
          <t>ALLOWANCE</t>
        </is>
      </c>
      <c r="O193" s="3" t="inlineStr">
        <is>
          <t>A-818</t>
        </is>
      </c>
      <c r="P193" s="3" t="inlineStr">
        <is>
          <t>LOW</t>
        </is>
      </c>
      <c r="Q193" s="3" t="inlineStr">
        <is>
          <t>Placeholder for marine logistics; includes barge mobilization marine transport staging areas - required for pile installation and steel erection</t>
        </is>
      </c>
      <c r="R193" s="3">
        <f>VLOOKUP($F193,Inputs!$D$6:$E$41,2,FALSE)</f>
        <v/>
      </c>
      <c r="S193" s="36">
        <f>VLOOKUP($E193,Inputs!$A$6:$B$13,2,FALSE)*Inputs!$B$2</f>
        <v/>
      </c>
      <c r="T193" s="35">
        <f>$L193*$S193</f>
        <v/>
      </c>
      <c r="U193" s="35">
        <f>$L193+$T193</f>
        <v/>
      </c>
    </row>
    <row r="194">
      <c r="A194" s="3" t="inlineStr">
        <is>
          <t>PKG-08::L819</t>
        </is>
      </c>
      <c r="B194" s="3" t="inlineStr">
        <is>
          <t>PKG-08</t>
        </is>
      </c>
      <c r="C194" s="3" t="n"/>
      <c r="D194" s="3" t="inlineStr">
        <is>
          <t>L819</t>
        </is>
      </c>
      <c r="E194" s="3" t="inlineStr">
        <is>
          <t>CD</t>
        </is>
      </c>
      <c r="F194" s="3" t="inlineStr">
        <is>
          <t>PKG-08</t>
        </is>
      </c>
      <c r="G194" s="3" t="n"/>
      <c r="H194" s="3" t="inlineStr">
        <is>
          <t>Marine Piling Installation - pile driving marine crane/barge pile positioning driving records integrity testing (40-60 piles)</t>
        </is>
      </c>
      <c r="I194" s="22" t="n">
        <v>1</v>
      </c>
      <c r="J194" s="3" t="inlineStr">
        <is>
          <t>LS</t>
        </is>
      </c>
      <c r="K194" s="39" t="n">
        <v>650000</v>
      </c>
      <c r="L194" s="35" t="n">
        <v>650000</v>
      </c>
      <c r="M194" s="3" t="inlineStr">
        <is>
          <t>CAD</t>
        </is>
      </c>
      <c r="N194" s="3" t="inlineStr">
        <is>
          <t>ALLOWANCE</t>
        </is>
      </c>
      <c r="O194" s="3" t="inlineStr">
        <is>
          <t>A-819</t>
        </is>
      </c>
      <c r="P194" s="3" t="inlineStr">
        <is>
          <t>LOW</t>
        </is>
      </c>
      <c r="Q194" s="3" t="inlineStr">
        <is>
          <t>Placeholder for pile installation; requires marine crane/barge pile driving equipment pile integrity testing - specialized marine contractor</t>
        </is>
      </c>
      <c r="R194" s="3">
        <f>VLOOKUP($F194,Inputs!$D$6:$E$41,2,FALSE)</f>
        <v/>
      </c>
      <c r="S194" s="36">
        <f>VLOOKUP($E194,Inputs!$A$6:$B$13,2,FALSE)*Inputs!$B$2</f>
        <v/>
      </c>
      <c r="T194" s="35">
        <f>$L194*$S194</f>
        <v/>
      </c>
      <c r="U194" s="35">
        <f>$L194+$T194</f>
        <v/>
      </c>
    </row>
    <row r="195">
      <c r="A195" s="3" t="inlineStr">
        <is>
          <t>PKG-08::L820</t>
        </is>
      </c>
      <c r="B195" s="3" t="inlineStr">
        <is>
          <t>PKG-08</t>
        </is>
      </c>
      <c r="C195" s="3" t="n"/>
      <c r="D195" s="3" t="inlineStr">
        <is>
          <t>L820</t>
        </is>
      </c>
      <c r="E195" s="3" t="inlineStr">
        <is>
          <t>CD</t>
        </is>
      </c>
      <c r="F195" s="3" t="inlineStr">
        <is>
          <t>PKG-08</t>
        </is>
      </c>
      <c r="G195" s="3" t="n"/>
      <c r="H195" s="3" t="inlineStr">
        <is>
          <t>Trestle Steel Erection - marine steel erection including barge/crane welding bolting field inspection (150 tonnes)</t>
        </is>
      </c>
      <c r="I195" s="22" t="n">
        <v>1</v>
      </c>
      <c r="J195" s="3" t="inlineStr">
        <is>
          <t>LS</t>
        </is>
      </c>
      <c r="K195" s="39" t="n">
        <v>425000</v>
      </c>
      <c r="L195" s="35" t="n">
        <v>425000</v>
      </c>
      <c r="M195" s="3" t="inlineStr">
        <is>
          <t>CAD</t>
        </is>
      </c>
      <c r="N195" s="3" t="inlineStr">
        <is>
          <t>ALLOWANCE</t>
        </is>
      </c>
      <c r="O195" s="3" t="inlineStr">
        <is>
          <t>A-820</t>
        </is>
      </c>
      <c r="P195" s="3" t="inlineStr">
        <is>
          <t>LOW</t>
        </is>
      </c>
      <c r="Q195" s="3" t="inlineStr">
        <is>
          <t>Placeholder for trestle erection; marine steel erection requires barge/crane access welding/bolting field QA/QC - specialized marine contractor</t>
        </is>
      </c>
      <c r="R195" s="3">
        <f>VLOOKUP($F195,Inputs!$D$6:$E$41,2,FALSE)</f>
        <v/>
      </c>
      <c r="S195" s="36">
        <f>VLOOKUP($E195,Inputs!$A$6:$B$13,2,FALSE)*Inputs!$B$2</f>
        <v/>
      </c>
      <c r="T195" s="35">
        <f>$L195*$S195</f>
        <v/>
      </c>
      <c r="U195" s="35">
        <f>$L195+$T195</f>
        <v/>
      </c>
    </row>
    <row r="196">
      <c r="A196" s="3" t="inlineStr">
        <is>
          <t>PKG-08::L821</t>
        </is>
      </c>
      <c r="B196" s="3" t="inlineStr">
        <is>
          <t>PKG-08</t>
        </is>
      </c>
      <c r="C196" s="3" t="n"/>
      <c r="D196" s="3" t="inlineStr">
        <is>
          <t>L821</t>
        </is>
      </c>
      <c r="E196" s="3" t="inlineStr">
        <is>
          <t>CD</t>
        </is>
      </c>
      <c r="F196" s="3" t="inlineStr">
        <is>
          <t>PKG-08</t>
        </is>
      </c>
      <c r="G196" s="3" t="n"/>
      <c r="H196" s="3" t="inlineStr">
        <is>
          <t>Loading Platform Steel Erection - platform structure erection equipment support installation welding inspection (80 tonnes)</t>
        </is>
      </c>
      <c r="I196" s="22" t="n">
        <v>1</v>
      </c>
      <c r="J196" s="3" t="inlineStr">
        <is>
          <t>LS</t>
        </is>
      </c>
      <c r="K196" s="39" t="n">
        <v>275000</v>
      </c>
      <c r="L196" s="35" t="n">
        <v>275000</v>
      </c>
      <c r="M196" s="3" t="inlineStr">
        <is>
          <t>CAD</t>
        </is>
      </c>
      <c r="N196" s="3" t="inlineStr">
        <is>
          <t>ALLOWANCE</t>
        </is>
      </c>
      <c r="O196" s="3" t="inlineStr">
        <is>
          <t>A-821</t>
        </is>
      </c>
      <c r="P196" s="3" t="inlineStr">
        <is>
          <t>LOW</t>
        </is>
      </c>
      <c r="Q196" s="3" t="inlineStr">
        <is>
          <t>Placeholder for platform erection; includes marine crane work welding/bolting alignment and field inspection</t>
        </is>
      </c>
      <c r="R196" s="3">
        <f>VLOOKUP($F196,Inputs!$D$6:$E$41,2,FALSE)</f>
        <v/>
      </c>
      <c r="S196" s="36">
        <f>VLOOKUP($E196,Inputs!$A$6:$B$13,2,FALSE)*Inputs!$B$2</f>
        <v/>
      </c>
      <c r="T196" s="35">
        <f>$L196*$S196</f>
        <v/>
      </c>
      <c r="U196" s="35">
        <f>$L196+$T196</f>
        <v/>
      </c>
    </row>
    <row r="197">
      <c r="A197" s="3" t="inlineStr">
        <is>
          <t>PKG-08::L822</t>
        </is>
      </c>
      <c r="B197" s="3" t="inlineStr">
        <is>
          <t>PKG-08</t>
        </is>
      </c>
      <c r="C197" s="3" t="n"/>
      <c r="D197" s="3" t="inlineStr">
        <is>
          <t>L822</t>
        </is>
      </c>
      <c r="E197" s="3" t="inlineStr">
        <is>
          <t>CD</t>
        </is>
      </c>
      <c r="F197" s="3" t="inlineStr">
        <is>
          <t>PKG-08</t>
        </is>
      </c>
      <c r="G197" s="3" t="n"/>
      <c r="H197" s="3" t="inlineStr">
        <is>
          <t>Catwalk and Abutment Installation - catwalk erection abutment construction landside tie-in work (50m catwalk 2 abutments)</t>
        </is>
      </c>
      <c r="I197" s="22" t="n">
        <v>1</v>
      </c>
      <c r="J197" s="3" t="inlineStr">
        <is>
          <t>LS</t>
        </is>
      </c>
      <c r="K197" s="39" t="n">
        <v>195000</v>
      </c>
      <c r="L197" s="35" t="n">
        <v>195000</v>
      </c>
      <c r="M197" s="3" t="inlineStr">
        <is>
          <t>CAD</t>
        </is>
      </c>
      <c r="N197" s="3" t="inlineStr">
        <is>
          <t>ALLOWANCE</t>
        </is>
      </c>
      <c r="O197" s="3" t="inlineStr">
        <is>
          <t>A-822</t>
        </is>
      </c>
      <c r="P197" s="3" t="inlineStr">
        <is>
          <t>LOW</t>
        </is>
      </c>
      <c r="Q197" s="3" t="inlineStr">
        <is>
          <t>Placeholder for catwalk and abutment work; includes catwalk installation abutment formwork/concrete/rebar tie-in connections</t>
        </is>
      </c>
      <c r="R197" s="3">
        <f>VLOOKUP($F197,Inputs!$D$6:$E$41,2,FALSE)</f>
        <v/>
      </c>
      <c r="S197" s="36">
        <f>VLOOKUP($E197,Inputs!$A$6:$B$13,2,FALSE)*Inputs!$B$2</f>
        <v/>
      </c>
      <c r="T197" s="35">
        <f>$L197*$S197</f>
        <v/>
      </c>
      <c r="U197" s="35">
        <f>$L197+$T197</f>
        <v/>
      </c>
    </row>
    <row r="198">
      <c r="A198" s="3" t="inlineStr">
        <is>
          <t>PKG-08::L823</t>
        </is>
      </c>
      <c r="B198" s="3" t="inlineStr">
        <is>
          <t>PKG-08</t>
        </is>
      </c>
      <c r="C198" s="3" t="n"/>
      <c r="D198" s="3" t="inlineStr">
        <is>
          <t>L823</t>
        </is>
      </c>
      <c r="E198" s="3" t="inlineStr">
        <is>
          <t>CD</t>
        </is>
      </c>
      <c r="F198" s="3" t="inlineStr">
        <is>
          <t>PKG-08</t>
        </is>
      </c>
      <c r="G198" s="3" t="n"/>
      <c r="H198" s="3" t="inlineStr">
        <is>
          <t>Marine Hardware Installation - ladder installation platform accessories cathodic protection system installation commissioning</t>
        </is>
      </c>
      <c r="I198" s="22" t="n">
        <v>1</v>
      </c>
      <c r="J198" s="3" t="inlineStr">
        <is>
          <t>LS</t>
        </is>
      </c>
      <c r="K198" s="39" t="n">
        <v>75000</v>
      </c>
      <c r="L198" s="35" t="n">
        <v>75000</v>
      </c>
      <c r="M198" s="3" t="inlineStr">
        <is>
          <t>CAD</t>
        </is>
      </c>
      <c r="N198" s="3" t="inlineStr">
        <is>
          <t>ALLOWANCE</t>
        </is>
      </c>
      <c r="O198" s="3" t="inlineStr">
        <is>
          <t>A-823</t>
        </is>
      </c>
      <c r="P198" s="3" t="inlineStr">
        <is>
          <t>LOW</t>
        </is>
      </c>
      <c r="Q198" s="3" t="inlineStr">
        <is>
          <t>Placeholder for marine accessories installation; includes ladders platforms anodes and miscellaneous marine hardware</t>
        </is>
      </c>
      <c r="R198" s="3">
        <f>VLOOKUP($F198,Inputs!$D$6:$E$41,2,FALSE)</f>
        <v/>
      </c>
      <c r="S198" s="36">
        <f>VLOOKUP($E198,Inputs!$A$6:$B$13,2,FALSE)*Inputs!$B$2</f>
        <v/>
      </c>
      <c r="T198" s="35">
        <f>$L198*$S198</f>
        <v/>
      </c>
      <c r="U198" s="35">
        <f>$L198+$T198</f>
        <v/>
      </c>
    </row>
    <row r="199">
      <c r="A199" s="3" t="inlineStr">
        <is>
          <t>PKG-08::L824</t>
        </is>
      </c>
      <c r="B199" s="3" t="inlineStr">
        <is>
          <t>PKG-08</t>
        </is>
      </c>
      <c r="C199" s="3" t="n"/>
      <c r="D199" s="3" t="inlineStr">
        <is>
          <t>L824</t>
        </is>
      </c>
      <c r="E199" s="3" t="inlineStr">
        <is>
          <t>CD</t>
        </is>
      </c>
      <c r="F199" s="3" t="inlineStr">
        <is>
          <t>PKG-08</t>
        </is>
      </c>
      <c r="G199" s="3" t="n"/>
      <c r="H199" s="3" t="inlineStr">
        <is>
          <t>Marine Coatings and Touch-Up - field coating repairs touch-up welding corrosion protection field application</t>
        </is>
      </c>
      <c r="I199" s="22" t="n">
        <v>1</v>
      </c>
      <c r="J199" s="3" t="inlineStr">
        <is>
          <t>LS</t>
        </is>
      </c>
      <c r="K199" s="39" t="n">
        <v>125000</v>
      </c>
      <c r="L199" s="35" t="n">
        <v>125000</v>
      </c>
      <c r="M199" s="3" t="inlineStr">
        <is>
          <t>CAD</t>
        </is>
      </c>
      <c r="N199" s="3" t="inlineStr">
        <is>
          <t>ALLOWANCE</t>
        </is>
      </c>
      <c r="O199" s="3" t="inlineStr">
        <is>
          <t>A-824</t>
        </is>
      </c>
      <c r="P199" s="3" t="inlineStr">
        <is>
          <t>LOW</t>
        </is>
      </c>
      <c r="Q199" s="3" t="inlineStr">
        <is>
          <t>Placeholder for field coating work; marine environment requires comprehensive corrosion protection system touch-up after installation</t>
        </is>
      </c>
      <c r="R199" s="3">
        <f>VLOOKUP($F199,Inputs!$D$6:$E$41,2,FALSE)</f>
        <v/>
      </c>
      <c r="S199" s="36">
        <f>VLOOKUP($E199,Inputs!$A$6:$B$13,2,FALSE)*Inputs!$B$2</f>
        <v/>
      </c>
      <c r="T199" s="35">
        <f>$L199*$S199</f>
        <v/>
      </c>
      <c r="U199" s="35">
        <f>$L199+$T199</f>
        <v/>
      </c>
    </row>
    <row r="200">
      <c r="A200" s="3" t="inlineStr">
        <is>
          <t>PKG-08::L825</t>
        </is>
      </c>
      <c r="B200" s="3" t="inlineStr">
        <is>
          <t>PKG-08</t>
        </is>
      </c>
      <c r="C200" s="3" t="n"/>
      <c r="D200" s="3" t="inlineStr">
        <is>
          <t>L825</t>
        </is>
      </c>
      <c r="E200" s="3" t="inlineStr">
        <is>
          <t>CD</t>
        </is>
      </c>
      <c r="F200" s="3" t="inlineStr">
        <is>
          <t>PKG-08</t>
        </is>
      </c>
      <c r="G200" s="3" t="n"/>
      <c r="H200" s="3" t="inlineStr">
        <is>
          <t>NDT and Inspection Services - weld inspection (UT RT VT) pile integrity testing structural inspection third-party QA</t>
        </is>
      </c>
      <c r="I200" s="22" t="n">
        <v>1</v>
      </c>
      <c r="J200" s="3" t="inlineStr">
        <is>
          <t>LS</t>
        </is>
      </c>
      <c r="K200" s="39" t="n">
        <v>85000</v>
      </c>
      <c r="L200" s="35" t="n">
        <v>85000</v>
      </c>
      <c r="M200" s="3" t="inlineStr">
        <is>
          <t>CAD</t>
        </is>
      </c>
      <c r="N200" s="3" t="inlineStr">
        <is>
          <t>ALLOWANCE</t>
        </is>
      </c>
      <c r="O200" s="3" t="inlineStr">
        <is>
          <t>A-825</t>
        </is>
      </c>
      <c r="P200" s="3" t="inlineStr">
        <is>
          <t>LOW</t>
        </is>
      </c>
      <c r="Q200" s="3" t="inlineStr">
        <is>
          <t>Placeholder for NDT and third-party inspection; marine structures require extensive weld inspection and pile integrity testing</t>
        </is>
      </c>
      <c r="R200" s="3">
        <f>VLOOKUP($F200,Inputs!$D$6:$E$41,2,FALSE)</f>
        <v/>
      </c>
      <c r="S200" s="36">
        <f>VLOOKUP($E200,Inputs!$A$6:$B$13,2,FALSE)*Inputs!$B$2</f>
        <v/>
      </c>
      <c r="T200" s="35">
        <f>$L200*$S200</f>
        <v/>
      </c>
      <c r="U200" s="35">
        <f>$L200+$T200</f>
        <v/>
      </c>
    </row>
    <row r="201">
      <c r="A201" s="3" t="inlineStr">
        <is>
          <t>PKG-08::L826</t>
        </is>
      </c>
      <c r="B201" s="3" t="inlineStr">
        <is>
          <t>PKG-08</t>
        </is>
      </c>
      <c r="C201" s="3" t="n"/>
      <c r="D201" s="3" t="inlineStr">
        <is>
          <t>L826</t>
        </is>
      </c>
      <c r="E201" s="3" t="inlineStr">
        <is>
          <t>CI</t>
        </is>
      </c>
      <c r="F201" s="3" t="inlineStr">
        <is>
          <t>PKG-08</t>
        </is>
      </c>
      <c r="G201" s="3" t="n"/>
      <c r="H201" s="3" t="inlineStr">
        <is>
          <t>Construction Indirects - field supervision marine safety oversight QA/QC coordination marine operations coordination (factor-based)</t>
        </is>
      </c>
      <c r="I201" s="22" t="n">
        <v>1</v>
      </c>
      <c r="J201" s="3" t="inlineStr">
        <is>
          <t>LS</t>
        </is>
      </c>
      <c r="K201" s="39" t="n">
        <v>329400</v>
      </c>
      <c r="L201" s="35" t="n">
        <v>329400</v>
      </c>
      <c r="M201" s="3" t="inlineStr">
        <is>
          <t>CAD</t>
        </is>
      </c>
      <c r="N201" s="3" t="inlineStr">
        <is>
          <t>PARAMETRIC</t>
        </is>
      </c>
      <c r="O201" s="3" t="inlineStr">
        <is>
          <t>D-808</t>
        </is>
      </c>
      <c r="P201" s="3" t="inlineStr">
        <is>
          <t>LOW</t>
        </is>
      </c>
      <c r="Q201" s="3" t="inlineStr">
        <is>
          <t>18% of CD base ($1</t>
        </is>
      </c>
      <c r="R201" s="3">
        <f>VLOOKUP($F201,Inputs!$D$6:$E$41,2,FALSE)</f>
        <v/>
      </c>
      <c r="S201" s="36">
        <f>VLOOKUP($E201,Inputs!$A$6:$B$13,2,FALSE)*Inputs!$B$2</f>
        <v/>
      </c>
      <c r="T201" s="35">
        <f>$L201*$S201</f>
        <v/>
      </c>
      <c r="U201" s="35">
        <f>$L201+$T201</f>
        <v/>
      </c>
    </row>
    <row r="202">
      <c r="A202" s="3" t="inlineStr">
        <is>
          <t>PKG-08::L827</t>
        </is>
      </c>
      <c r="B202" s="3" t="inlineStr">
        <is>
          <t>PKG-08</t>
        </is>
      </c>
      <c r="C202" s="3" t="n"/>
      <c r="D202" s="3" t="inlineStr">
        <is>
          <t>L827</t>
        </is>
      </c>
      <c r="E202" s="3" t="inlineStr">
        <is>
          <t>PM</t>
        </is>
      </c>
      <c r="F202" s="3" t="inlineStr">
        <is>
          <t>PKG-08</t>
        </is>
      </c>
      <c r="G202" s="3" t="n"/>
      <c r="H202" s="3" t="inlineStr">
        <is>
          <t>EPCM / Project Management - PKG-08 allocation marine engineering coordination (factor-based)</t>
        </is>
      </c>
      <c r="I202" s="22" t="n">
        <v>1</v>
      </c>
      <c r="J202" s="3" t="inlineStr">
        <is>
          <t>LS</t>
        </is>
      </c>
      <c r="K202" s="39" t="n">
        <v>276864</v>
      </c>
      <c r="L202" s="35" t="n">
        <v>276864</v>
      </c>
      <c r="M202" s="3" t="inlineStr">
        <is>
          <t>CAD</t>
        </is>
      </c>
      <c r="N202" s="3" t="inlineStr">
        <is>
          <t>PARAMETRIC</t>
        </is>
      </c>
      <c r="O202" s="3" t="inlineStr">
        <is>
          <t>D-808</t>
        </is>
      </c>
      <c r="P202" s="3" t="inlineStr">
        <is>
          <t>MED</t>
        </is>
      </c>
      <c r="Q202" s="3" t="inlineStr">
        <is>
          <t>6% of (CD+CI+MAT+FRT) = 6% x ($1</t>
        </is>
      </c>
      <c r="R202" s="3">
        <f>VLOOKUP($F202,Inputs!$D$6:$E$41,2,FALSE)</f>
        <v/>
      </c>
      <c r="S202" s="36">
        <f>VLOOKUP($E202,Inputs!$A$6:$B$13,2,FALSE)*Inputs!$B$2</f>
        <v/>
      </c>
      <c r="T202" s="35">
        <f>$L202*$S202</f>
        <v/>
      </c>
      <c r="U202" s="35">
        <f>$L202+$T202</f>
        <v/>
      </c>
    </row>
    <row r="203">
      <c r="A203" s="3" t="inlineStr">
        <is>
          <t>PKG-08::L828</t>
        </is>
      </c>
      <c r="B203" s="3" t="inlineStr">
        <is>
          <t>PKG-08</t>
        </is>
      </c>
      <c r="C203" s="3" t="n"/>
      <c r="D203" s="3" t="inlineStr">
        <is>
          <t>L828</t>
        </is>
      </c>
      <c r="E203" s="3" t="inlineStr">
        <is>
          <t>P</t>
        </is>
      </c>
      <c r="F203" s="3" t="inlineStr">
        <is>
          <t>PKG-08</t>
        </is>
      </c>
      <c r="G203" s="3" t="n"/>
      <c r="H203" s="3" t="inlineStr">
        <is>
          <t>Procurement Services - marine equipment vendor coordination expediting inspection (factor-based)</t>
        </is>
      </c>
      <c r="I203" s="22" t="n">
        <v>1</v>
      </c>
      <c r="J203" s="3" t="inlineStr">
        <is>
          <t>LS</t>
        </is>
      </c>
      <c r="K203" s="39" t="n">
        <v>49100</v>
      </c>
      <c r="L203" s="35" t="n">
        <v>49100</v>
      </c>
      <c r="M203" s="3" t="inlineStr">
        <is>
          <t>CAD</t>
        </is>
      </c>
      <c r="N203" s="3" t="inlineStr">
        <is>
          <t>PARAMETRIC</t>
        </is>
      </c>
      <c r="O203" s="3" t="inlineStr">
        <is>
          <t>D-808</t>
        </is>
      </c>
      <c r="P203" s="3" t="inlineStr">
        <is>
          <t>MED</t>
        </is>
      </c>
      <c r="Q203" s="3" t="inlineStr">
        <is>
          <t>2% of (MAT+FRT) = 2% x ($2</t>
        </is>
      </c>
      <c r="R203" s="3">
        <f>VLOOKUP($F203,Inputs!$D$6:$E$41,2,FALSE)</f>
        <v/>
      </c>
      <c r="S203" s="36">
        <f>VLOOKUP($E203,Inputs!$A$6:$B$13,2,FALSE)*Inputs!$B$2</f>
        <v/>
      </c>
      <c r="T203" s="35">
        <f>$L203*$S203</f>
        <v/>
      </c>
      <c r="U203" s="35">
        <f>$L203+$T203</f>
        <v/>
      </c>
    </row>
    <row r="204">
      <c r="A204" s="3" t="inlineStr">
        <is>
          <t>PKG-08::L829</t>
        </is>
      </c>
      <c r="B204" s="3" t="inlineStr">
        <is>
          <t>PKG-08</t>
        </is>
      </c>
      <c r="C204" s="3" t="n"/>
      <c r="D204" s="3" t="inlineStr">
        <is>
          <t>L829</t>
        </is>
      </c>
      <c r="E204" s="3" t="inlineStr">
        <is>
          <t>COM</t>
        </is>
      </c>
      <c r="F204" s="3" t="inlineStr">
        <is>
          <t>PKG-08</t>
        </is>
      </c>
      <c r="G204" s="3" t="n"/>
      <c r="H204" s="3" t="inlineStr">
        <is>
          <t>Marine Structures Commissioning - structural load testing proof testing as-built survey acceptance testing</t>
        </is>
      </c>
      <c r="I204" s="22" t="n">
        <v>1</v>
      </c>
      <c r="J204" s="3" t="inlineStr">
        <is>
          <t>LS</t>
        </is>
      </c>
      <c r="K204" s="39" t="n">
        <v>133182</v>
      </c>
      <c r="L204" s="35" t="n">
        <v>133182</v>
      </c>
      <c r="M204" s="3" t="inlineStr">
        <is>
          <t>CAD</t>
        </is>
      </c>
      <c r="N204" s="3" t="inlineStr">
        <is>
          <t>PARAMETRIC</t>
        </is>
      </c>
      <c r="O204" s="3" t="inlineStr">
        <is>
          <t>D-808</t>
        </is>
      </c>
      <c r="P204" s="3" t="inlineStr">
        <is>
          <t>LOW</t>
        </is>
      </c>
      <c r="Q204" s="3" t="inlineStr">
        <is>
          <t>3% of (CD+CI+MAT) = 3% x ($1</t>
        </is>
      </c>
      <c r="R204" s="3">
        <f>VLOOKUP($F204,Inputs!$D$6:$E$41,2,FALSE)</f>
        <v/>
      </c>
      <c r="S204" s="36">
        <f>VLOOKUP($E204,Inputs!$A$6:$B$13,2,FALSE)*Inputs!$B$2</f>
        <v/>
      </c>
      <c r="T204" s="35">
        <f>$L204*$S204</f>
        <v/>
      </c>
      <c r="U204" s="35">
        <f>$L204+$T204</f>
        <v/>
      </c>
    </row>
    <row r="205">
      <c r="A205" s="3" t="inlineStr">
        <is>
          <t>PKG-09::L-001</t>
        </is>
      </c>
      <c r="B205" s="3" t="inlineStr">
        <is>
          <t>PKG-09</t>
        </is>
      </c>
      <c r="C205" s="3" t="inlineStr">
        <is>
          <t>DEL-09.01</t>
        </is>
      </c>
      <c r="D205" s="3" t="inlineStr">
        <is>
          <t>L-001</t>
        </is>
      </c>
      <c r="E205" s="3" t="inlineStr">
        <is>
          <t>E</t>
        </is>
      </c>
      <c r="F205" s="3" t="inlineStr">
        <is>
          <t>PKG-09</t>
        </is>
      </c>
      <c r="G205" s="3" t="inlineStr">
        <is>
          <t>DEL-09.01</t>
        </is>
      </c>
      <c r="H205" s="3" t="inlineStr">
        <is>
          <t>Marine Outfitting Design Drawing Set</t>
        </is>
      </c>
      <c r="I205" s="22" t="n">
        <v>1</v>
      </c>
      <c r="J205" s="3" t="inlineStr">
        <is>
          <t>LS</t>
        </is>
      </c>
      <c r="K205" s="39" t="n">
        <v>38000</v>
      </c>
      <c r="L205" s="35" t="n">
        <v>38000</v>
      </c>
      <c r="M205" s="3" t="inlineStr">
        <is>
          <t>CAD</t>
        </is>
      </c>
      <c r="N205" s="3" t="inlineStr">
        <is>
          <t>ALLOWANCE</t>
        </is>
      </c>
      <c r="O205" s="3" t="inlineStr">
        <is>
          <t>A-006</t>
        </is>
      </c>
      <c r="P205" s="3" t="inlineStr">
        <is>
          <t>LOW</t>
        </is>
      </c>
      <c r="Q205" s="3" t="inlineStr">
        <is>
          <t>Fender arrangement drawings + bollard installation details + ladder details</t>
        </is>
      </c>
      <c r="R205" s="3">
        <f>VLOOKUP($F205,Inputs!$D$6:$E$41,2,FALSE)</f>
        <v/>
      </c>
      <c r="S205" s="36">
        <f>VLOOKUP($E205,Inputs!$A$6:$B$13,2,FALSE)*Inputs!$B$2</f>
        <v/>
      </c>
      <c r="T205" s="35">
        <f>$L205*$S205</f>
        <v/>
      </c>
      <c r="U205" s="35">
        <f>$L205+$T205</f>
        <v/>
      </c>
    </row>
    <row r="206">
      <c r="A206" s="3" t="inlineStr">
        <is>
          <t>PKG-09::L-002</t>
        </is>
      </c>
      <c r="B206" s="3" t="inlineStr">
        <is>
          <t>PKG-09</t>
        </is>
      </c>
      <c r="C206" s="3" t="inlineStr">
        <is>
          <t>DEL-09.02</t>
        </is>
      </c>
      <c r="D206" s="3" t="inlineStr">
        <is>
          <t>L-002</t>
        </is>
      </c>
      <c r="E206" s="3" t="inlineStr">
        <is>
          <t>E</t>
        </is>
      </c>
      <c r="F206" s="3" t="inlineStr">
        <is>
          <t>PKG-09</t>
        </is>
      </c>
      <c r="G206" s="3" t="inlineStr">
        <is>
          <t>DEL-09.02</t>
        </is>
      </c>
      <c r="H206" s="3" t="inlineStr">
        <is>
          <t>Marine Outfitting Technical Specification</t>
        </is>
      </c>
      <c r="I206" s="22" t="n">
        <v>1</v>
      </c>
      <c r="J206" s="3" t="inlineStr">
        <is>
          <t>LS</t>
        </is>
      </c>
      <c r="K206" s="39" t="n">
        <v>12000</v>
      </c>
      <c r="L206" s="35" t="n">
        <v>12000</v>
      </c>
      <c r="M206" s="3" t="inlineStr">
        <is>
          <t>CAD</t>
        </is>
      </c>
      <c r="N206" s="3" t="inlineStr">
        <is>
          <t>ALLOWANCE</t>
        </is>
      </c>
      <c r="O206" s="3" t="inlineStr">
        <is>
          <t>A-007</t>
        </is>
      </c>
      <c r="P206" s="3" t="inlineStr">
        <is>
          <t>LOW</t>
        </is>
      </c>
      <c r="Q206" s="3" t="inlineStr">
        <is>
          <t>Fender spec + bollard spec + marine hardware spec</t>
        </is>
      </c>
      <c r="R206" s="3">
        <f>VLOOKUP($F206,Inputs!$D$6:$E$41,2,FALSE)</f>
        <v/>
      </c>
      <c r="S206" s="36">
        <f>VLOOKUP($E206,Inputs!$A$6:$B$13,2,FALSE)*Inputs!$B$2</f>
        <v/>
      </c>
      <c r="T206" s="35">
        <f>$L206*$S206</f>
        <v/>
      </c>
      <c r="U206" s="35">
        <f>$L206+$T206</f>
        <v/>
      </c>
    </row>
    <row r="207">
      <c r="A207" s="3" t="inlineStr">
        <is>
          <t>PKG-09::L-003</t>
        </is>
      </c>
      <c r="B207" s="3" t="inlineStr">
        <is>
          <t>PKG-09</t>
        </is>
      </c>
      <c r="C207" s="3" t="inlineStr">
        <is>
          <t>DEL-09.03</t>
        </is>
      </c>
      <c r="D207" s="3" t="inlineStr">
        <is>
          <t>L-003</t>
        </is>
      </c>
      <c r="E207" s="3" t="inlineStr">
        <is>
          <t>E</t>
        </is>
      </c>
      <c r="F207" s="3" t="inlineStr">
        <is>
          <t>PKG-09</t>
        </is>
      </c>
      <c r="G207" s="3" t="inlineStr">
        <is>
          <t>DEL-09.03</t>
        </is>
      </c>
      <c r="H207" s="3" t="inlineStr">
        <is>
          <t>Marine Outfitting Design Calculations</t>
        </is>
      </c>
      <c r="I207" s="22" t="n">
        <v>1</v>
      </c>
      <c r="J207" s="3" t="inlineStr">
        <is>
          <t>LS</t>
        </is>
      </c>
      <c r="K207" s="39" t="n">
        <v>18000</v>
      </c>
      <c r="L207" s="35" t="n">
        <v>18000</v>
      </c>
      <c r="M207" s="3" t="inlineStr">
        <is>
          <t>CAD</t>
        </is>
      </c>
      <c r="N207" s="3" t="inlineStr">
        <is>
          <t>ALLOWANCE</t>
        </is>
      </c>
      <c r="O207" s="3" t="inlineStr">
        <is>
          <t>A-008</t>
        </is>
      </c>
      <c r="P207" s="3" t="inlineStr">
        <is>
          <t>LOW</t>
        </is>
      </c>
      <c r="Q207" s="3" t="inlineStr">
        <is>
          <t>Fender reaction calculations + bollard load calculations</t>
        </is>
      </c>
      <c r="R207" s="3">
        <f>VLOOKUP($F207,Inputs!$D$6:$E$41,2,FALSE)</f>
        <v/>
      </c>
      <c r="S207" s="36">
        <f>VLOOKUP($E207,Inputs!$A$6:$B$13,2,FALSE)*Inputs!$B$2</f>
        <v/>
      </c>
      <c r="T207" s="35">
        <f>$L207*$S207</f>
        <v/>
      </c>
      <c r="U207" s="35">
        <f>$L207+$T207</f>
        <v/>
      </c>
    </row>
    <row r="208">
      <c r="A208" s="3" t="inlineStr">
        <is>
          <t>PKG-09::L-004</t>
        </is>
      </c>
      <c r="B208" s="3" t="inlineStr">
        <is>
          <t>PKG-09</t>
        </is>
      </c>
      <c r="C208" s="3" t="inlineStr">
        <is>
          <t>DEL-09.04</t>
        </is>
      </c>
      <c r="D208" s="3" t="inlineStr">
        <is>
          <t>L-004</t>
        </is>
      </c>
      <c r="E208" s="3" t="inlineStr">
        <is>
          <t>E</t>
        </is>
      </c>
      <c r="F208" s="3" t="inlineStr">
        <is>
          <t>PKG-09</t>
        </is>
      </c>
      <c r="G208" s="3" t="inlineStr">
        <is>
          <t>DEL-09.04</t>
        </is>
      </c>
      <c r="H208" s="3" t="inlineStr">
        <is>
          <t>Marine Outfitting Data Sheet Package</t>
        </is>
      </c>
      <c r="I208" s="22" t="n">
        <v>1</v>
      </c>
      <c r="J208" s="3" t="inlineStr">
        <is>
          <t>LS</t>
        </is>
      </c>
      <c r="K208" s="39" t="n">
        <v>8000</v>
      </c>
      <c r="L208" s="35" t="n">
        <v>8000</v>
      </c>
      <c r="M208" s="3" t="inlineStr">
        <is>
          <t>CAD</t>
        </is>
      </c>
      <c r="N208" s="3" t="inlineStr">
        <is>
          <t>ALLOWANCE</t>
        </is>
      </c>
      <c r="O208" s="3" t="inlineStr">
        <is>
          <t>A-009</t>
        </is>
      </c>
      <c r="P208" s="3" t="inlineStr">
        <is>
          <t>LOW</t>
        </is>
      </c>
      <c r="Q208" s="3" t="inlineStr">
        <is>
          <t>Fender data sheets + bollard data sheets</t>
        </is>
      </c>
      <c r="R208" s="3">
        <f>VLOOKUP($F208,Inputs!$D$6:$E$41,2,FALSE)</f>
        <v/>
      </c>
      <c r="S208" s="36">
        <f>VLOOKUP($E208,Inputs!$A$6:$B$13,2,FALSE)*Inputs!$B$2</f>
        <v/>
      </c>
      <c r="T208" s="35">
        <f>$L208*$S208</f>
        <v/>
      </c>
      <c r="U208" s="35">
        <f>$L208+$T208</f>
        <v/>
      </c>
    </row>
    <row r="209">
      <c r="A209" s="3" t="inlineStr">
        <is>
          <t>PKG-09::L-005</t>
        </is>
      </c>
      <c r="B209" s="3" t="inlineStr">
        <is>
          <t>PKG-09</t>
        </is>
      </c>
      <c r="C209" s="3" t="inlineStr">
        <is>
          <t>DEL-09.05</t>
        </is>
      </c>
      <c r="D209" s="3" t="inlineStr">
        <is>
          <t>L-005</t>
        </is>
      </c>
      <c r="E209" s="3" t="inlineStr">
        <is>
          <t>E</t>
        </is>
      </c>
      <c r="F209" s="3" t="inlineStr">
        <is>
          <t>PKG-09</t>
        </is>
      </c>
      <c r="G209" s="3" t="inlineStr">
        <is>
          <t>DEL-09.05</t>
        </is>
      </c>
      <c r="H209" s="3" t="inlineStr">
        <is>
          <t>Marine Outfitting Installation &amp; Test Records</t>
        </is>
      </c>
      <c r="I209" s="22" t="n">
        <v>1</v>
      </c>
      <c r="J209" s="3" t="inlineStr">
        <is>
          <t>LS</t>
        </is>
      </c>
      <c r="K209" s="39" t="n">
        <v>6000</v>
      </c>
      <c r="L209" s="35" t="n">
        <v>6000</v>
      </c>
      <c r="M209" s="3" t="inlineStr">
        <is>
          <t>CAD</t>
        </is>
      </c>
      <c r="N209" s="3" t="inlineStr">
        <is>
          <t>ALLOWANCE</t>
        </is>
      </c>
      <c r="O209" s="3" t="inlineStr">
        <is>
          <t>A-010</t>
        </is>
      </c>
      <c r="P209" s="3" t="inlineStr">
        <is>
          <t>LOW</t>
        </is>
      </c>
      <c r="Q209" s="3" t="inlineStr">
        <is>
          <t>Installation records + proof load test records</t>
        </is>
      </c>
      <c r="R209" s="3">
        <f>VLOOKUP($F209,Inputs!$D$6:$E$41,2,FALSE)</f>
        <v/>
      </c>
      <c r="S209" s="36">
        <f>VLOOKUP($E209,Inputs!$A$6:$B$13,2,FALSE)*Inputs!$B$2</f>
        <v/>
      </c>
      <c r="T209" s="35">
        <f>$L209*$S209</f>
        <v/>
      </c>
      <c r="U209" s="35">
        <f>$L209+$T209</f>
        <v/>
      </c>
    </row>
    <row r="210">
      <c r="A210" s="3" t="inlineStr">
        <is>
          <t>PKG-09::L-006</t>
        </is>
      </c>
      <c r="B210" s="3" t="inlineStr">
        <is>
          <t>PKG-09</t>
        </is>
      </c>
      <c r="C210" s="3" t="n"/>
      <c r="D210" s="3" t="inlineStr">
        <is>
          <t>L-006</t>
        </is>
      </c>
      <c r="E210" s="3" t="inlineStr">
        <is>
          <t>MAT</t>
        </is>
      </c>
      <c r="F210" s="3" t="inlineStr">
        <is>
          <t>PKG-09</t>
        </is>
      </c>
      <c r="G210" s="3" t="n"/>
      <c r="H210" s="3" t="inlineStr">
        <is>
          <t>Marine Fenders - Supply (12 units)</t>
        </is>
      </c>
      <c r="I210" s="22" t="n">
        <v>12</v>
      </c>
      <c r="J210" s="3" t="inlineStr">
        <is>
          <t>EA</t>
        </is>
      </c>
      <c r="K210" s="39" t="n">
        <v>85000</v>
      </c>
      <c r="L210" s="35" t="n">
        <v>1020000</v>
      </c>
      <c r="M210" s="3" t="inlineStr">
        <is>
          <t>CAD</t>
        </is>
      </c>
      <c r="N210" s="3" t="inlineStr">
        <is>
          <t>ALLOWANCE</t>
        </is>
      </c>
      <c r="O210" s="3" t="inlineStr">
        <is>
          <t>A-001</t>
        </is>
      </c>
      <c r="P210" s="3" t="inlineStr">
        <is>
          <t>LOW</t>
        </is>
      </c>
      <c r="Q210" s="3" t="inlineStr">
        <is>
          <t>Heavy-duty rubber fenders with chains/hardware for Panamax vessels; ~$70k-100k/unit typical</t>
        </is>
      </c>
      <c r="R210" s="3">
        <f>VLOOKUP($F210,Inputs!$D$6:$E$41,2,FALSE)</f>
        <v/>
      </c>
      <c r="S210" s="36">
        <f>VLOOKUP($E210,Inputs!$A$6:$B$13,2,FALSE)*Inputs!$B$2</f>
        <v/>
      </c>
      <c r="T210" s="35">
        <f>$L210*$S210</f>
        <v/>
      </c>
      <c r="U210" s="35">
        <f>$L210+$T210</f>
        <v/>
      </c>
    </row>
    <row r="211">
      <c r="A211" s="3" t="inlineStr">
        <is>
          <t>PKG-09::L-007</t>
        </is>
      </c>
      <c r="B211" s="3" t="inlineStr">
        <is>
          <t>PKG-09</t>
        </is>
      </c>
      <c r="C211" s="3" t="n"/>
      <c r="D211" s="3" t="inlineStr">
        <is>
          <t>L-007</t>
        </is>
      </c>
      <c r="E211" s="3" t="inlineStr">
        <is>
          <t>MAT</t>
        </is>
      </c>
      <c r="F211" s="3" t="inlineStr">
        <is>
          <t>PKG-09</t>
        </is>
      </c>
      <c r="G211" s="3" t="n"/>
      <c r="H211" s="3" t="inlineStr">
        <is>
          <t>Mooring Bollards - Supply (8 units)</t>
        </is>
      </c>
      <c r="I211" s="22" t="n">
        <v>8</v>
      </c>
      <c r="J211" s="3" t="inlineStr">
        <is>
          <t>EA</t>
        </is>
      </c>
      <c r="K211" s="39" t="n">
        <v>45000</v>
      </c>
      <c r="L211" s="35" t="n">
        <v>360000</v>
      </c>
      <c r="M211" s="3" t="inlineStr">
        <is>
          <t>CAD</t>
        </is>
      </c>
      <c r="N211" s="3" t="inlineStr">
        <is>
          <t>ALLOWANCE</t>
        </is>
      </c>
      <c r="O211" s="3" t="inlineStr">
        <is>
          <t>A-002</t>
        </is>
      </c>
      <c r="P211" s="3" t="inlineStr">
        <is>
          <t>LOW</t>
        </is>
      </c>
      <c r="Q211" s="3" t="inlineStr">
        <is>
          <t>300-500 kN SWL bollards (cast or fabricated); ~$40k-50k/unit typical</t>
        </is>
      </c>
      <c r="R211" s="3">
        <f>VLOOKUP($F211,Inputs!$D$6:$E$41,2,FALSE)</f>
        <v/>
      </c>
      <c r="S211" s="36">
        <f>VLOOKUP($E211,Inputs!$A$6:$B$13,2,FALSE)*Inputs!$B$2</f>
        <v/>
      </c>
      <c r="T211" s="35">
        <f>$L211*$S211</f>
        <v/>
      </c>
      <c r="U211" s="35">
        <f>$L211+$T211</f>
        <v/>
      </c>
    </row>
    <row r="212">
      <c r="A212" s="3" t="inlineStr">
        <is>
          <t>PKG-09::L-008</t>
        </is>
      </c>
      <c r="B212" s="3" t="inlineStr">
        <is>
          <t>PKG-09</t>
        </is>
      </c>
      <c r="C212" s="3" t="n"/>
      <c r="D212" s="3" t="inlineStr">
        <is>
          <t>L-008</t>
        </is>
      </c>
      <c r="E212" s="3" t="inlineStr">
        <is>
          <t>MAT</t>
        </is>
      </c>
      <c r="F212" s="3" t="inlineStr">
        <is>
          <t>PKG-09</t>
        </is>
      </c>
      <c r="G212" s="3" t="n"/>
      <c r="H212" s="3" t="inlineStr">
        <is>
          <t>Ship-to-Shore Ladders - Supply (4 units)</t>
        </is>
      </c>
      <c r="I212" s="22" t="n">
        <v>4</v>
      </c>
      <c r="J212" s="3" t="inlineStr">
        <is>
          <t>EA</t>
        </is>
      </c>
      <c r="K212" s="39" t="n">
        <v>18000</v>
      </c>
      <c r="L212" s="35" t="n">
        <v>72000</v>
      </c>
      <c r="M212" s="3" t="inlineStr">
        <is>
          <t>CAD</t>
        </is>
      </c>
      <c r="N212" s="3" t="inlineStr">
        <is>
          <t>ALLOWANCE</t>
        </is>
      </c>
      <c r="O212" s="3" t="inlineStr">
        <is>
          <t>A-003</t>
        </is>
      </c>
      <c r="P212" s="3" t="inlineStr">
        <is>
          <t>LOW</t>
        </is>
      </c>
      <c r="Q212" s="3" t="inlineStr">
        <is>
          <t>Marine-grade aluminum or stainless ladders with safety cages; ~$15k-20k/unit</t>
        </is>
      </c>
      <c r="R212" s="3">
        <f>VLOOKUP($F212,Inputs!$D$6:$E$41,2,FALSE)</f>
        <v/>
      </c>
      <c r="S212" s="36">
        <f>VLOOKUP($E212,Inputs!$A$6:$B$13,2,FALSE)*Inputs!$B$2</f>
        <v/>
      </c>
      <c r="T212" s="35">
        <f>$L212*$S212</f>
        <v/>
      </c>
      <c r="U212" s="35">
        <f>$L212+$T212</f>
        <v/>
      </c>
    </row>
    <row r="213">
      <c r="A213" s="3" t="inlineStr">
        <is>
          <t>PKG-09::L-009</t>
        </is>
      </c>
      <c r="B213" s="3" t="inlineStr">
        <is>
          <t>PKG-09</t>
        </is>
      </c>
      <c r="C213" s="3" t="n"/>
      <c r="D213" s="3" t="inlineStr">
        <is>
          <t>L-009</t>
        </is>
      </c>
      <c r="E213" s="3" t="inlineStr">
        <is>
          <t>MAT</t>
        </is>
      </c>
      <c r="F213" s="3" t="inlineStr">
        <is>
          <t>PKG-09</t>
        </is>
      </c>
      <c r="G213" s="3" t="n"/>
      <c r="H213" s="3" t="inlineStr">
        <is>
          <t>Life-Saving Equipment Package</t>
        </is>
      </c>
      <c r="I213" s="22" t="n">
        <v>1</v>
      </c>
      <c r="J213" s="3" t="inlineStr">
        <is>
          <t>LS</t>
        </is>
      </c>
      <c r="K213" s="39" t="n">
        <v>25000</v>
      </c>
      <c r="L213" s="35" t="n">
        <v>25000</v>
      </c>
      <c r="M213" s="3" t="inlineStr">
        <is>
          <t>CAD</t>
        </is>
      </c>
      <c r="N213" s="3" t="inlineStr">
        <is>
          <t>ALLOWANCE</t>
        </is>
      </c>
      <c r="O213" s="3" t="inlineStr">
        <is>
          <t>A-004</t>
        </is>
      </c>
      <c r="P213" s="3" t="inlineStr">
        <is>
          <t>LOW</t>
        </is>
      </c>
      <c r="Q213" s="3" t="inlineStr">
        <is>
          <t>Life rings + buoys + rescue equipment + mounting hardware per safety codes</t>
        </is>
      </c>
      <c r="R213" s="3">
        <f>VLOOKUP($F213,Inputs!$D$6:$E$41,2,FALSE)</f>
        <v/>
      </c>
      <c r="S213" s="36">
        <f>VLOOKUP($E213,Inputs!$A$6:$B$13,2,FALSE)*Inputs!$B$2</f>
        <v/>
      </c>
      <c r="T213" s="35">
        <f>$L213*$S213</f>
        <v/>
      </c>
      <c r="U213" s="35">
        <f>$L213+$T213</f>
        <v/>
      </c>
    </row>
    <row r="214">
      <c r="A214" s="3" t="inlineStr">
        <is>
          <t>PKG-09::L-010</t>
        </is>
      </c>
      <c r="B214" s="3" t="inlineStr">
        <is>
          <t>PKG-09</t>
        </is>
      </c>
      <c r="C214" s="3" t="n"/>
      <c r="D214" s="3" t="inlineStr">
        <is>
          <t>L-010</t>
        </is>
      </c>
      <c r="E214" s="3" t="inlineStr">
        <is>
          <t>MAT</t>
        </is>
      </c>
      <c r="F214" s="3" t="inlineStr">
        <is>
          <t>PKG-09</t>
        </is>
      </c>
      <c r="G214" s="3" t="n"/>
      <c r="H214" s="3" t="inlineStr">
        <is>
          <t>Berth 10 Repair Materials</t>
        </is>
      </c>
      <c r="I214" s="22" t="n">
        <v>1</v>
      </c>
      <c r="J214" s="3" t="inlineStr">
        <is>
          <t>LS</t>
        </is>
      </c>
      <c r="K214" s="39" t="n">
        <v>35000</v>
      </c>
      <c r="L214" s="35" t="n">
        <v>35000</v>
      </c>
      <c r="M214" s="3" t="inlineStr">
        <is>
          <t>CAD</t>
        </is>
      </c>
      <c r="N214" s="3" t="inlineStr">
        <is>
          <t>ALLOWANCE</t>
        </is>
      </c>
      <c r="O214" s="3" t="inlineStr">
        <is>
          <t>A-005</t>
        </is>
      </c>
      <c r="P214" s="3" t="inlineStr">
        <is>
          <t>LOW</t>
        </is>
      </c>
      <c r="Q214" s="3" t="inlineStr">
        <is>
          <t>Replacement hardware + coatings + minor structural repairs</t>
        </is>
      </c>
      <c r="R214" s="3">
        <f>VLOOKUP($F214,Inputs!$D$6:$E$41,2,FALSE)</f>
        <v/>
      </c>
      <c r="S214" s="36">
        <f>VLOOKUP($E214,Inputs!$A$6:$B$13,2,FALSE)*Inputs!$B$2</f>
        <v/>
      </c>
      <c r="T214" s="35">
        <f>$L214*$S214</f>
        <v/>
      </c>
      <c r="U214" s="35">
        <f>$L214+$T214</f>
        <v/>
      </c>
    </row>
    <row r="215">
      <c r="A215" s="3" t="inlineStr">
        <is>
          <t>PKG-09::L-011</t>
        </is>
      </c>
      <c r="B215" s="3" t="inlineStr">
        <is>
          <t>PKG-09</t>
        </is>
      </c>
      <c r="C215" s="3" t="n"/>
      <c r="D215" s="3" t="inlineStr">
        <is>
          <t>L-011</t>
        </is>
      </c>
      <c r="E215" s="3" t="inlineStr">
        <is>
          <t>CD</t>
        </is>
      </c>
      <c r="F215" s="3" t="inlineStr">
        <is>
          <t>PKG-09</t>
        </is>
      </c>
      <c r="G215" s="3" t="n"/>
      <c r="H215" s="3" t="inlineStr">
        <is>
          <t>Fender Installation - Marine Labor (12 units)</t>
        </is>
      </c>
      <c r="I215" s="22" t="n">
        <v>12</v>
      </c>
      <c r="J215" s="3" t="inlineStr">
        <is>
          <t>EA</t>
        </is>
      </c>
      <c r="K215" s="39" t="n">
        <v>12000</v>
      </c>
      <c r="L215" s="35" t="n">
        <v>144000</v>
      </c>
      <c r="M215" s="3" t="inlineStr">
        <is>
          <t>CAD</t>
        </is>
      </c>
      <c r="N215" s="3" t="inlineStr">
        <is>
          <t>ALLOWANCE</t>
        </is>
      </c>
      <c r="O215" s="3" t="inlineStr">
        <is>
          <t>A-011</t>
        </is>
      </c>
      <c r="P215" s="3" t="inlineStr">
        <is>
          <t>LOW</t>
        </is>
      </c>
      <c r="Q215" s="3" t="inlineStr">
        <is>
          <t>Marine installation via barge/crane; ~100-120 hrs/unit @ $120/hr all-in</t>
        </is>
      </c>
      <c r="R215" s="3">
        <f>VLOOKUP($F215,Inputs!$D$6:$E$41,2,FALSE)</f>
        <v/>
      </c>
      <c r="S215" s="36">
        <f>VLOOKUP($E215,Inputs!$A$6:$B$13,2,FALSE)*Inputs!$B$2</f>
        <v/>
      </c>
      <c r="T215" s="35">
        <f>$L215*$S215</f>
        <v/>
      </c>
      <c r="U215" s="35">
        <f>$L215+$T215</f>
        <v/>
      </c>
    </row>
    <row r="216">
      <c r="A216" s="3" t="inlineStr">
        <is>
          <t>PKG-09::L-012</t>
        </is>
      </c>
      <c r="B216" s="3" t="inlineStr">
        <is>
          <t>PKG-09</t>
        </is>
      </c>
      <c r="C216" s="3" t="n"/>
      <c r="D216" s="3" t="inlineStr">
        <is>
          <t>L-012</t>
        </is>
      </c>
      <c r="E216" s="3" t="inlineStr">
        <is>
          <t>CD</t>
        </is>
      </c>
      <c r="F216" s="3" t="inlineStr">
        <is>
          <t>PKG-09</t>
        </is>
      </c>
      <c r="G216" s="3" t="n"/>
      <c r="H216" s="3" t="inlineStr">
        <is>
          <t>Bollard Installation - Marine Labor (8 units)</t>
        </is>
      </c>
      <c r="I216" s="22" t="n">
        <v>8</v>
      </c>
      <c r="J216" s="3" t="inlineStr">
        <is>
          <t>EA</t>
        </is>
      </c>
      <c r="K216" s="39" t="n">
        <v>8000</v>
      </c>
      <c r="L216" s="35" t="n">
        <v>64000</v>
      </c>
      <c r="M216" s="3" t="inlineStr">
        <is>
          <t>CAD</t>
        </is>
      </c>
      <c r="N216" s="3" t="inlineStr">
        <is>
          <t>ALLOWANCE</t>
        </is>
      </c>
      <c r="O216" s="3" t="inlineStr">
        <is>
          <t>A-012</t>
        </is>
      </c>
      <c r="P216" s="3" t="inlineStr">
        <is>
          <t>LOW</t>
        </is>
      </c>
      <c r="Q216" s="3" t="inlineStr">
        <is>
          <t>Marine installation with positioning/grouting; ~60-80 hrs/unit @ $120/hr all-in</t>
        </is>
      </c>
      <c r="R216" s="3">
        <f>VLOOKUP($F216,Inputs!$D$6:$E$41,2,FALSE)</f>
        <v/>
      </c>
      <c r="S216" s="36">
        <f>VLOOKUP($E216,Inputs!$A$6:$B$13,2,FALSE)*Inputs!$B$2</f>
        <v/>
      </c>
      <c r="T216" s="35">
        <f>$L216*$S216</f>
        <v/>
      </c>
      <c r="U216" s="35">
        <f>$L216+$T216</f>
        <v/>
      </c>
    </row>
    <row r="217">
      <c r="A217" s="3" t="inlineStr">
        <is>
          <t>PKG-09::L-013</t>
        </is>
      </c>
      <c r="B217" s="3" t="inlineStr">
        <is>
          <t>PKG-09</t>
        </is>
      </c>
      <c r="C217" s="3" t="n"/>
      <c r="D217" s="3" t="inlineStr">
        <is>
          <t>L-013</t>
        </is>
      </c>
      <c r="E217" s="3" t="inlineStr">
        <is>
          <t>CD</t>
        </is>
      </c>
      <c r="F217" s="3" t="inlineStr">
        <is>
          <t>PKG-09</t>
        </is>
      </c>
      <c r="G217" s="3" t="n"/>
      <c r="H217" s="3" t="inlineStr">
        <is>
          <t>Ladder Installation - Marine Labor (4 units)</t>
        </is>
      </c>
      <c r="I217" s="22" t="n">
        <v>4</v>
      </c>
      <c r="J217" s="3" t="inlineStr">
        <is>
          <t>EA</t>
        </is>
      </c>
      <c r="K217" s="39" t="n">
        <v>3500</v>
      </c>
      <c r="L217" s="35" t="n">
        <v>14000</v>
      </c>
      <c r="M217" s="3" t="inlineStr">
        <is>
          <t>CAD</t>
        </is>
      </c>
      <c r="N217" s="3" t="inlineStr">
        <is>
          <t>ALLOWANCE</t>
        </is>
      </c>
      <c r="O217" s="3" t="inlineStr">
        <is>
          <t>A-013</t>
        </is>
      </c>
      <c r="P217" s="3" t="inlineStr">
        <is>
          <t>LOW</t>
        </is>
      </c>
      <c r="Q217" s="3" t="inlineStr">
        <is>
          <t>Marine installation with mounting/welding; ~25-30 hrs/unit @ $120/hr all-in</t>
        </is>
      </c>
      <c r="R217" s="3">
        <f>VLOOKUP($F217,Inputs!$D$6:$E$41,2,FALSE)</f>
        <v/>
      </c>
      <c r="S217" s="36">
        <f>VLOOKUP($E217,Inputs!$A$6:$B$13,2,FALSE)*Inputs!$B$2</f>
        <v/>
      </c>
      <c r="T217" s="35">
        <f>$L217*$S217</f>
        <v/>
      </c>
      <c r="U217" s="35">
        <f>$L217+$T217</f>
        <v/>
      </c>
    </row>
    <row r="218">
      <c r="A218" s="3" t="inlineStr">
        <is>
          <t>PKG-09::L-014</t>
        </is>
      </c>
      <c r="B218" s="3" t="inlineStr">
        <is>
          <t>PKG-09</t>
        </is>
      </c>
      <c r="C218" s="3" t="n"/>
      <c r="D218" s="3" t="inlineStr">
        <is>
          <t>L-014</t>
        </is>
      </c>
      <c r="E218" s="3" t="inlineStr">
        <is>
          <t>CD</t>
        </is>
      </c>
      <c r="F218" s="3" t="inlineStr">
        <is>
          <t>PKG-09</t>
        </is>
      </c>
      <c r="G218" s="3" t="n"/>
      <c r="H218" s="3" t="inlineStr">
        <is>
          <t>Life-Saving Equipment Installation</t>
        </is>
      </c>
      <c r="I218" s="22" t="n">
        <v>1</v>
      </c>
      <c r="J218" s="3" t="inlineStr">
        <is>
          <t>LS</t>
        </is>
      </c>
      <c r="K218" s="39" t="n">
        <v>8000</v>
      </c>
      <c r="L218" s="35" t="n">
        <v>8000</v>
      </c>
      <c r="M218" s="3" t="inlineStr">
        <is>
          <t>CAD</t>
        </is>
      </c>
      <c r="N218" s="3" t="inlineStr">
        <is>
          <t>ALLOWANCE</t>
        </is>
      </c>
      <c r="O218" s="3" t="inlineStr">
        <is>
          <t>A-014</t>
        </is>
      </c>
      <c r="P218" s="3" t="inlineStr">
        <is>
          <t>LOW</t>
        </is>
      </c>
      <c r="Q218" s="3" t="inlineStr">
        <is>
          <t>Installation of life rings + buoys + rescue equipment</t>
        </is>
      </c>
      <c r="R218" s="3">
        <f>VLOOKUP($F218,Inputs!$D$6:$E$41,2,FALSE)</f>
        <v/>
      </c>
      <c r="S218" s="36">
        <f>VLOOKUP($E218,Inputs!$A$6:$B$13,2,FALSE)*Inputs!$B$2</f>
        <v/>
      </c>
      <c r="T218" s="35">
        <f>$L218*$S218</f>
        <v/>
      </c>
      <c r="U218" s="35">
        <f>$L218+$T218</f>
        <v/>
      </c>
    </row>
    <row r="219">
      <c r="A219" s="3" t="inlineStr">
        <is>
          <t>PKG-09::L-015</t>
        </is>
      </c>
      <c r="B219" s="3" t="inlineStr">
        <is>
          <t>PKG-09</t>
        </is>
      </c>
      <c r="C219" s="3" t="n"/>
      <c r="D219" s="3" t="inlineStr">
        <is>
          <t>L-015</t>
        </is>
      </c>
      <c r="E219" s="3" t="inlineStr">
        <is>
          <t>CD</t>
        </is>
      </c>
      <c r="F219" s="3" t="inlineStr">
        <is>
          <t>PKG-09</t>
        </is>
      </c>
      <c r="G219" s="3" t="n"/>
      <c r="H219" s="3" t="inlineStr">
        <is>
          <t>Berth 10 Repairs - Marine Labor</t>
        </is>
      </c>
      <c r="I219" s="22" t="n">
        <v>1</v>
      </c>
      <c r="J219" s="3" t="inlineStr">
        <is>
          <t>LS</t>
        </is>
      </c>
      <c r="K219" s="39" t="n">
        <v>40000</v>
      </c>
      <c r="L219" s="35" t="n">
        <v>40000</v>
      </c>
      <c r="M219" s="3" t="inlineStr">
        <is>
          <t>CAD</t>
        </is>
      </c>
      <c r="N219" s="3" t="inlineStr">
        <is>
          <t>ALLOWANCE</t>
        </is>
      </c>
      <c r="O219" s="3" t="inlineStr">
        <is>
          <t>A-015</t>
        </is>
      </c>
      <c r="P219" s="3" t="inlineStr">
        <is>
          <t>LOW</t>
        </is>
      </c>
      <c r="Q219" s="3" t="inlineStr">
        <is>
          <t>Repair work via barge/access; ~300-350 hrs @ $120/hr all-in</t>
        </is>
      </c>
      <c r="R219" s="3">
        <f>VLOOKUP($F219,Inputs!$D$6:$E$41,2,FALSE)</f>
        <v/>
      </c>
      <c r="S219" s="36">
        <f>VLOOKUP($E219,Inputs!$A$6:$B$13,2,FALSE)*Inputs!$B$2</f>
        <v/>
      </c>
      <c r="T219" s="35">
        <f>$L219*$S219</f>
        <v/>
      </c>
      <c r="U219" s="35">
        <f>$L219+$T219</f>
        <v/>
      </c>
    </row>
    <row r="220">
      <c r="A220" s="3" t="inlineStr">
        <is>
          <t>PKG-09::L-016</t>
        </is>
      </c>
      <c r="B220" s="3" t="inlineStr">
        <is>
          <t>PKG-09</t>
        </is>
      </c>
      <c r="C220" s="3" t="n"/>
      <c r="D220" s="3" t="inlineStr">
        <is>
          <t>L-016</t>
        </is>
      </c>
      <c r="E220" s="3" t="inlineStr">
        <is>
          <t>CD</t>
        </is>
      </c>
      <c r="F220" s="3" t="inlineStr">
        <is>
          <t>PKG-09</t>
        </is>
      </c>
      <c r="G220" s="3" t="n"/>
      <c r="H220" s="3" t="inlineStr">
        <is>
          <t>Marine Crane/Barge Mobilization</t>
        </is>
      </c>
      <c r="I220" s="22" t="n">
        <v>1</v>
      </c>
      <c r="J220" s="3" t="inlineStr">
        <is>
          <t>LS</t>
        </is>
      </c>
      <c r="K220" s="39" t="n">
        <v>65000</v>
      </c>
      <c r="L220" s="35" t="n">
        <v>65000</v>
      </c>
      <c r="M220" s="3" t="inlineStr">
        <is>
          <t>CAD</t>
        </is>
      </c>
      <c r="N220" s="3" t="inlineStr">
        <is>
          <t>ALLOWANCE</t>
        </is>
      </c>
      <c r="O220" s="3" t="inlineStr">
        <is>
          <t>A-016</t>
        </is>
      </c>
      <c r="P220" s="3" t="inlineStr">
        <is>
          <t>LOW</t>
        </is>
      </c>
      <c r="Q220" s="3" t="inlineStr">
        <is>
          <t>Crane barge mobilization + demobilization + standby for installation sequence</t>
        </is>
      </c>
      <c r="R220" s="3">
        <f>VLOOKUP($F220,Inputs!$D$6:$E$41,2,FALSE)</f>
        <v/>
      </c>
      <c r="S220" s="36">
        <f>VLOOKUP($E220,Inputs!$A$6:$B$13,2,FALSE)*Inputs!$B$2</f>
        <v/>
      </c>
      <c r="T220" s="35">
        <f>$L220*$S220</f>
        <v/>
      </c>
      <c r="U220" s="35">
        <f>$L220+$T220</f>
        <v/>
      </c>
    </row>
    <row r="221">
      <c r="A221" s="3" t="inlineStr">
        <is>
          <t>PKG-09::L-017</t>
        </is>
      </c>
      <c r="B221" s="3" t="inlineStr">
        <is>
          <t>PKG-09</t>
        </is>
      </c>
      <c r="C221" s="3" t="n"/>
      <c r="D221" s="3" t="inlineStr">
        <is>
          <t>L-017</t>
        </is>
      </c>
      <c r="E221" s="3" t="inlineStr">
        <is>
          <t>CD</t>
        </is>
      </c>
      <c r="F221" s="3" t="inlineStr">
        <is>
          <t>PKG-09</t>
        </is>
      </c>
      <c r="G221" s="3" t="n"/>
      <c r="H221" s="3" t="inlineStr">
        <is>
          <t>Setting Out and Survey</t>
        </is>
      </c>
      <c r="I221" s="22" t="n">
        <v>1</v>
      </c>
      <c r="J221" s="3" t="inlineStr">
        <is>
          <t>LS</t>
        </is>
      </c>
      <c r="K221" s="39" t="n">
        <v>12000</v>
      </c>
      <c r="L221" s="35" t="n">
        <v>12000</v>
      </c>
      <c r="M221" s="3" t="inlineStr">
        <is>
          <t>CAD</t>
        </is>
      </c>
      <c r="N221" s="3" t="inlineStr">
        <is>
          <t>ALLOWANCE</t>
        </is>
      </c>
      <c r="O221" s="3" t="inlineStr">
        <is>
          <t>A-017</t>
        </is>
      </c>
      <c r="P221" s="3" t="inlineStr">
        <is>
          <t>LOW</t>
        </is>
      </c>
      <c r="Q221" s="3" t="inlineStr">
        <is>
          <t>Marine setting-out + as-built survey for fenders/bollards/ladders</t>
        </is>
      </c>
      <c r="R221" s="3">
        <f>VLOOKUP($F221,Inputs!$D$6:$E$41,2,FALSE)</f>
        <v/>
      </c>
      <c r="S221" s="36">
        <f>VLOOKUP($E221,Inputs!$A$6:$B$13,2,FALSE)*Inputs!$B$2</f>
        <v/>
      </c>
      <c r="T221" s="35">
        <f>$L221*$S221</f>
        <v/>
      </c>
      <c r="U221" s="35">
        <f>$L221+$T221</f>
        <v/>
      </c>
    </row>
    <row r="222">
      <c r="A222" s="3" t="inlineStr">
        <is>
          <t>PKG-09::L-018</t>
        </is>
      </c>
      <c r="B222" s="3" t="inlineStr">
        <is>
          <t>PKG-09</t>
        </is>
      </c>
      <c r="C222" s="3" t="n"/>
      <c r="D222" s="3" t="inlineStr">
        <is>
          <t>L-018</t>
        </is>
      </c>
      <c r="E222" s="3" t="inlineStr">
        <is>
          <t>CD</t>
        </is>
      </c>
      <c r="F222" s="3" t="inlineStr">
        <is>
          <t>PKG-09</t>
        </is>
      </c>
      <c r="G222" s="3" t="n"/>
      <c r="H222" s="3" t="inlineStr">
        <is>
          <t>Coating Touch-Up and Protection</t>
        </is>
      </c>
      <c r="I222" s="22" t="n">
        <v>1</v>
      </c>
      <c r="J222" s="3" t="inlineStr">
        <is>
          <t>LS</t>
        </is>
      </c>
      <c r="K222" s="39" t="n">
        <v>8000</v>
      </c>
      <c r="L222" s="35" t="n">
        <v>8000</v>
      </c>
      <c r="M222" s="3" t="inlineStr">
        <is>
          <t>CAD</t>
        </is>
      </c>
      <c r="N222" s="3" t="inlineStr">
        <is>
          <t>ALLOWANCE</t>
        </is>
      </c>
      <c r="O222" s="3" t="inlineStr">
        <is>
          <t>A-018</t>
        </is>
      </c>
      <c r="P222" s="3" t="inlineStr">
        <is>
          <t>LOW</t>
        </is>
      </c>
      <c r="Q222" s="3" t="inlineStr">
        <is>
          <t>Field coating touch-up post-installation + temporary protection</t>
        </is>
      </c>
      <c r="R222" s="3">
        <f>VLOOKUP($F222,Inputs!$D$6:$E$41,2,FALSE)</f>
        <v/>
      </c>
      <c r="S222" s="36">
        <f>VLOOKUP($E222,Inputs!$A$6:$B$13,2,FALSE)*Inputs!$B$2</f>
        <v/>
      </c>
      <c r="T222" s="35">
        <f>$L222*$S222</f>
        <v/>
      </c>
      <c r="U222" s="35">
        <f>$L222+$T222</f>
        <v/>
      </c>
    </row>
    <row r="223">
      <c r="A223" s="3" t="inlineStr">
        <is>
          <t>PKG-09::L-019</t>
        </is>
      </c>
      <c r="B223" s="3" t="inlineStr">
        <is>
          <t>PKG-09</t>
        </is>
      </c>
      <c r="C223" s="3" t="n"/>
      <c r="D223" s="3" t="inlineStr">
        <is>
          <t>L-019</t>
        </is>
      </c>
      <c r="E223" s="3" t="inlineStr">
        <is>
          <t>MAT</t>
        </is>
      </c>
      <c r="F223" s="3" t="inlineStr">
        <is>
          <t>PKG-09</t>
        </is>
      </c>
      <c r="G223" s="3" t="n"/>
      <c r="H223" s="3" t="inlineStr">
        <is>
          <t>Installation Consumables and Fasteners</t>
        </is>
      </c>
      <c r="I223" s="22" t="n">
        <v>1</v>
      </c>
      <c r="J223" s="3" t="inlineStr">
        <is>
          <t>LS</t>
        </is>
      </c>
      <c r="K223" s="39" t="n">
        <v>22000</v>
      </c>
      <c r="L223" s="35" t="n">
        <v>22000</v>
      </c>
      <c r="M223" s="3" t="inlineStr">
        <is>
          <t>CAD</t>
        </is>
      </c>
      <c r="N223" s="3" t="inlineStr">
        <is>
          <t>ALLOWANCE</t>
        </is>
      </c>
      <c r="O223" s="3" t="inlineStr">
        <is>
          <t>A-019</t>
        </is>
      </c>
      <c r="P223" s="3" t="inlineStr">
        <is>
          <t>LOW</t>
        </is>
      </c>
      <c r="Q223" s="3" t="inlineStr">
        <is>
          <t>Grout + anchor bolts + welding consumables + sealants + misc hardware</t>
        </is>
      </c>
      <c r="R223" s="3">
        <f>VLOOKUP($F223,Inputs!$D$6:$E$41,2,FALSE)</f>
        <v/>
      </c>
      <c r="S223" s="36">
        <f>VLOOKUP($E223,Inputs!$A$6:$B$13,2,FALSE)*Inputs!$B$2</f>
        <v/>
      </c>
      <c r="T223" s="35">
        <f>$L223*$S223</f>
        <v/>
      </c>
      <c r="U223" s="35">
        <f>$L223+$T223</f>
        <v/>
      </c>
    </row>
    <row r="224">
      <c r="A224" s="3" t="inlineStr">
        <is>
          <t>PKG-09::L-020</t>
        </is>
      </c>
      <c r="B224" s="3" t="inlineStr">
        <is>
          <t>PKG-09</t>
        </is>
      </c>
      <c r="C224" s="3" t="n"/>
      <c r="D224" s="3" t="inlineStr">
        <is>
          <t>L-020</t>
        </is>
      </c>
      <c r="E224" s="3" t="inlineStr">
        <is>
          <t>CI</t>
        </is>
      </c>
      <c r="F224" s="3" t="inlineStr">
        <is>
          <t>PKG-09</t>
        </is>
      </c>
      <c r="G224" s="3" t="n"/>
      <c r="H224" s="3" t="inlineStr">
        <is>
          <t>Construction Indirects</t>
        </is>
      </c>
      <c r="I224" s="22" t="n">
        <v>1</v>
      </c>
      <c r="J224" s="3" t="inlineStr">
        <is>
          <t>LS</t>
        </is>
      </c>
      <c r="K224" s="39" t="n">
        <v>64000</v>
      </c>
      <c r="L224" s="35" t="n">
        <v>64000</v>
      </c>
      <c r="M224" s="3" t="inlineStr">
        <is>
          <t>CAD</t>
        </is>
      </c>
      <c r="N224" s="3" t="inlineStr">
        <is>
          <t>PARAMETRIC</t>
        </is>
      </c>
      <c r="O224" s="3" t="inlineStr">
        <is>
          <t>D-008 (18% factor on CD)</t>
        </is>
      </c>
      <c r="P224" s="3" t="inlineStr">
        <is>
          <t>MED</t>
        </is>
      </c>
      <c r="Q224" s="3" t="inlineStr">
        <is>
          <t>18% of CD base for supervision + temp facilities + HSE + QA/QC</t>
        </is>
      </c>
      <c r="R224" s="3">
        <f>VLOOKUP($F224,Inputs!$D$6:$E$41,2,FALSE)</f>
        <v/>
      </c>
      <c r="S224" s="36">
        <f>VLOOKUP($E224,Inputs!$A$6:$B$13,2,FALSE)*Inputs!$B$2</f>
        <v/>
      </c>
      <c r="T224" s="35">
        <f>$L224*$S224</f>
        <v/>
      </c>
      <c r="U224" s="35">
        <f>$L224+$T224</f>
        <v/>
      </c>
    </row>
    <row r="225">
      <c r="A225" s="3" t="inlineStr">
        <is>
          <t>PKG-09::L-021</t>
        </is>
      </c>
      <c r="B225" s="3" t="inlineStr">
        <is>
          <t>PKG-09</t>
        </is>
      </c>
      <c r="C225" s="3" t="n"/>
      <c r="D225" s="3" t="inlineStr">
        <is>
          <t>L-021</t>
        </is>
      </c>
      <c r="E225" s="3" t="inlineStr">
        <is>
          <t>P</t>
        </is>
      </c>
      <c r="F225" s="3" t="inlineStr">
        <is>
          <t>PKG-09</t>
        </is>
      </c>
      <c r="G225" s="3" t="n"/>
      <c r="H225" s="3" t="inlineStr">
        <is>
          <t>Procurement Services</t>
        </is>
      </c>
      <c r="I225" s="22" t="n">
        <v>1</v>
      </c>
      <c r="J225" s="3" t="inlineStr">
        <is>
          <t>LS</t>
        </is>
      </c>
      <c r="K225" s="39" t="n">
        <v>31000</v>
      </c>
      <c r="L225" s="35" t="n">
        <v>31000</v>
      </c>
      <c r="M225" s="3" t="inlineStr">
        <is>
          <t>CAD</t>
        </is>
      </c>
      <c r="N225" s="3" t="inlineStr">
        <is>
          <t>PARAMETRIC</t>
        </is>
      </c>
      <c r="O225" s="3" t="inlineStr">
        <is>
          <t>D-008 (2% factor on MAT)</t>
        </is>
      </c>
      <c r="P225" s="3" t="inlineStr">
        <is>
          <t>MED</t>
        </is>
      </c>
      <c r="Q225" s="3" t="inlineStr">
        <is>
          <t>2% of MAT for purchasing + expediting + inspection</t>
        </is>
      </c>
      <c r="R225" s="3">
        <f>VLOOKUP($F225,Inputs!$D$6:$E$41,2,FALSE)</f>
        <v/>
      </c>
      <c r="S225" s="36">
        <f>VLOOKUP($E225,Inputs!$A$6:$B$13,2,FALSE)*Inputs!$B$2</f>
        <v/>
      </c>
      <c r="T225" s="35">
        <f>$L225*$S225</f>
        <v/>
      </c>
      <c r="U225" s="35">
        <f>$L225+$T225</f>
        <v/>
      </c>
    </row>
    <row r="226">
      <c r="A226" s="3" t="inlineStr">
        <is>
          <t>PKG-09::L-022</t>
        </is>
      </c>
      <c r="B226" s="3" t="inlineStr">
        <is>
          <t>PKG-09</t>
        </is>
      </c>
      <c r="C226" s="3" t="n"/>
      <c r="D226" s="3" t="inlineStr">
        <is>
          <t>L-022</t>
        </is>
      </c>
      <c r="E226" s="3" t="inlineStr">
        <is>
          <t>PM</t>
        </is>
      </c>
      <c r="F226" s="3" t="inlineStr">
        <is>
          <t>PKG-09</t>
        </is>
      </c>
      <c r="G226" s="3" t="n"/>
      <c r="H226" s="3" t="inlineStr">
        <is>
          <t>Project Management / EPCM</t>
        </is>
      </c>
      <c r="I226" s="22" t="n">
        <v>1</v>
      </c>
      <c r="J226" s="3" t="inlineStr">
        <is>
          <t>LS</t>
        </is>
      </c>
      <c r="K226" s="39" t="n">
        <v>114000</v>
      </c>
      <c r="L226" s="35" t="n">
        <v>114000</v>
      </c>
      <c r="M226" s="3" t="inlineStr">
        <is>
          <t>CAD</t>
        </is>
      </c>
      <c r="N226" s="3" t="inlineStr">
        <is>
          <t>PARAMETRIC</t>
        </is>
      </c>
      <c r="O226" s="3" t="inlineStr">
        <is>
          <t>D-008 (6% factor)</t>
        </is>
      </c>
      <c r="P226" s="3" t="inlineStr">
        <is>
          <t>MED</t>
        </is>
      </c>
      <c r="Q226" s="3" t="inlineStr">
        <is>
          <t>6% of (CD + CI + MAT) for project management + EPCM</t>
        </is>
      </c>
      <c r="R226" s="3">
        <f>VLOOKUP($F226,Inputs!$D$6:$E$41,2,FALSE)</f>
        <v/>
      </c>
      <c r="S226" s="36">
        <f>VLOOKUP($E226,Inputs!$A$6:$B$13,2,FALSE)*Inputs!$B$2</f>
        <v/>
      </c>
      <c r="T226" s="35">
        <f>$L226*$S226</f>
        <v/>
      </c>
      <c r="U226" s="35">
        <f>$L226+$T226</f>
        <v/>
      </c>
    </row>
    <row r="227">
      <c r="A227" s="3" t="inlineStr">
        <is>
          <t>PKG-09::L-023</t>
        </is>
      </c>
      <c r="B227" s="3" t="inlineStr">
        <is>
          <t>PKG-09</t>
        </is>
      </c>
      <c r="C227" s="3" t="n"/>
      <c r="D227" s="3" t="inlineStr">
        <is>
          <t>L-023</t>
        </is>
      </c>
      <c r="E227" s="3" t="inlineStr">
        <is>
          <t>COM</t>
        </is>
      </c>
      <c r="F227" s="3" t="inlineStr">
        <is>
          <t>PKG-09</t>
        </is>
      </c>
      <c r="G227" s="3" t="n"/>
      <c r="H227" s="3" t="inlineStr">
        <is>
          <t>Proof Load Testing (Bollards)</t>
        </is>
      </c>
      <c r="I227" s="22" t="n">
        <v>8</v>
      </c>
      <c r="J227" s="3" t="inlineStr">
        <is>
          <t>EA</t>
        </is>
      </c>
      <c r="K227" s="39" t="n">
        <v>4500</v>
      </c>
      <c r="L227" s="35" t="n">
        <v>36000</v>
      </c>
      <c r="M227" s="3" t="inlineStr">
        <is>
          <t>CAD</t>
        </is>
      </c>
      <c r="N227" s="3" t="inlineStr">
        <is>
          <t>ALLOWANCE</t>
        </is>
      </c>
      <c r="O227" s="3" t="inlineStr">
        <is>
          <t>A-022</t>
        </is>
      </c>
      <c r="P227" s="3" t="inlineStr">
        <is>
          <t>LOW</t>
        </is>
      </c>
      <c r="Q227" s="3" t="inlineStr">
        <is>
          <t>Bollard proof load testing @ 1.5x SWL per codes; ~$4k-5k/test</t>
        </is>
      </c>
      <c r="R227" s="3">
        <f>VLOOKUP($F227,Inputs!$D$6:$E$41,2,FALSE)</f>
        <v/>
      </c>
      <c r="S227" s="36">
        <f>VLOOKUP($E227,Inputs!$A$6:$B$13,2,FALSE)*Inputs!$B$2</f>
        <v/>
      </c>
      <c r="T227" s="35">
        <f>$L227*$S227</f>
        <v/>
      </c>
      <c r="U227" s="35">
        <f>$L227+$T227</f>
        <v/>
      </c>
    </row>
    <row r="228">
      <c r="A228" s="3" t="inlineStr">
        <is>
          <t>PKG-09::L-024</t>
        </is>
      </c>
      <c r="B228" s="3" t="inlineStr">
        <is>
          <t>PKG-09</t>
        </is>
      </c>
      <c r="C228" s="3" t="n"/>
      <c r="D228" s="3" t="inlineStr">
        <is>
          <t>L-024</t>
        </is>
      </c>
      <c r="E228" s="3" t="inlineStr">
        <is>
          <t>COM</t>
        </is>
      </c>
      <c r="F228" s="3" t="inlineStr">
        <is>
          <t>PKG-09</t>
        </is>
      </c>
      <c r="G228" s="3" t="n"/>
      <c r="H228" s="3" t="inlineStr">
        <is>
          <t>Fender Inspection and Testing</t>
        </is>
      </c>
      <c r="I228" s="22" t="n">
        <v>1</v>
      </c>
      <c r="J228" s="3" t="inlineStr">
        <is>
          <t>LS</t>
        </is>
      </c>
      <c r="K228" s="39" t="n">
        <v>18000</v>
      </c>
      <c r="L228" s="35" t="n">
        <v>18000</v>
      </c>
      <c r="M228" s="3" t="inlineStr">
        <is>
          <t>CAD</t>
        </is>
      </c>
      <c r="N228" s="3" t="inlineStr">
        <is>
          <t>ALLOWANCE</t>
        </is>
      </c>
      <c r="O228" s="3" t="inlineStr">
        <is>
          <t>A-023</t>
        </is>
      </c>
      <c r="P228" s="3" t="inlineStr">
        <is>
          <t>LOW</t>
        </is>
      </c>
      <c r="Q228" s="3" t="inlineStr">
        <is>
          <t>Visual inspection + deflection testing + performance verification</t>
        </is>
      </c>
      <c r="R228" s="3">
        <f>VLOOKUP($F228,Inputs!$D$6:$E$41,2,FALSE)</f>
        <v/>
      </c>
      <c r="S228" s="36">
        <f>VLOOKUP($E228,Inputs!$A$6:$B$13,2,FALSE)*Inputs!$B$2</f>
        <v/>
      </c>
      <c r="T228" s="35">
        <f>$L228*$S228</f>
        <v/>
      </c>
      <c r="U228" s="35">
        <f>$L228+$T228</f>
        <v/>
      </c>
    </row>
    <row r="229">
      <c r="A229" s="3" t="inlineStr">
        <is>
          <t>PKG-09::L-025</t>
        </is>
      </c>
      <c r="B229" s="3" t="inlineStr">
        <is>
          <t>PKG-09</t>
        </is>
      </c>
      <c r="C229" s="3" t="n"/>
      <c r="D229" s="3" t="inlineStr">
        <is>
          <t>L-025</t>
        </is>
      </c>
      <c r="E229" s="3" t="inlineStr">
        <is>
          <t>COM</t>
        </is>
      </c>
      <c r="F229" s="3" t="inlineStr">
        <is>
          <t>PKG-09</t>
        </is>
      </c>
      <c r="G229" s="3" t="n"/>
      <c r="H229" s="3" t="inlineStr">
        <is>
          <t>Final Inspection and Commissioning</t>
        </is>
      </c>
      <c r="I229" s="22" t="n">
        <v>1</v>
      </c>
      <c r="J229" s="3" t="inlineStr">
        <is>
          <t>LS</t>
        </is>
      </c>
      <c r="K229" s="39" t="n">
        <v>12000</v>
      </c>
      <c r="L229" s="35" t="n">
        <v>12000</v>
      </c>
      <c r="M229" s="3" t="inlineStr">
        <is>
          <t>CAD</t>
        </is>
      </c>
      <c r="N229" s="3" t="inlineStr">
        <is>
          <t>ALLOWANCE</t>
        </is>
      </c>
      <c r="O229" s="3" t="inlineStr">
        <is>
          <t>A-024</t>
        </is>
      </c>
      <c r="P229" s="3" t="inlineStr">
        <is>
          <t>LOW</t>
        </is>
      </c>
      <c r="Q229" s="3" t="inlineStr">
        <is>
          <t>Final inspection + safety checks + handover documentation</t>
        </is>
      </c>
      <c r="R229" s="3">
        <f>VLOOKUP($F229,Inputs!$D$6:$E$41,2,FALSE)</f>
        <v/>
      </c>
      <c r="S229" s="36">
        <f>VLOOKUP($E229,Inputs!$A$6:$B$13,2,FALSE)*Inputs!$B$2</f>
        <v/>
      </c>
      <c r="T229" s="35">
        <f>$L229*$S229</f>
        <v/>
      </c>
      <c r="U229" s="35">
        <f>$L229+$T229</f>
        <v/>
      </c>
    </row>
    <row r="230">
      <c r="A230" s="3" t="inlineStr">
        <is>
          <t>PKG-10::L-001</t>
        </is>
      </c>
      <c r="B230" s="3" t="inlineStr">
        <is>
          <t>PKG-10</t>
        </is>
      </c>
      <c r="C230" s="3" t="inlineStr">
        <is>
          <t>DEL-10.01</t>
        </is>
      </c>
      <c r="D230" s="3" t="inlineStr">
        <is>
          <t>L-001</t>
        </is>
      </c>
      <c r="E230" s="3" t="inlineStr">
        <is>
          <t>E</t>
        </is>
      </c>
      <c r="F230" s="3" t="inlineStr">
        <is>
          <t>PKG-10</t>
        </is>
      </c>
      <c r="G230" s="3" t="inlineStr">
        <is>
          <t>DEL-10.01</t>
        </is>
      </c>
      <c r="H230" s="3" t="inlineStr">
        <is>
          <t>Railcar Unloading Design Drawing Set</t>
        </is>
      </c>
      <c r="I230" s="22" t="n">
        <v>1</v>
      </c>
      <c r="J230" s="3" t="inlineStr">
        <is>
          <t>LS</t>
        </is>
      </c>
      <c r="K230" s="39" t="n">
        <v>55000</v>
      </c>
      <c r="L230" s="35" t="n">
        <v>55000</v>
      </c>
      <c r="M230" s="3" t="inlineStr">
        <is>
          <t>CAD</t>
        </is>
      </c>
      <c r="N230" s="3" t="inlineStr">
        <is>
          <t>ALLOWANCE</t>
        </is>
      </c>
      <c r="O230" s="3" t="inlineStr">
        <is>
          <t>A-006</t>
        </is>
      </c>
      <c r="P230" s="3" t="inlineStr">
        <is>
          <t>LOW</t>
        </is>
      </c>
      <c r="Q230" s="3" t="inlineStr">
        <is>
          <t>GA + 32 arm arrangements + header layout + containment details</t>
        </is>
      </c>
      <c r="R230" s="3">
        <f>VLOOKUP($F230,Inputs!$D$6:$E$41,2,FALSE)</f>
        <v/>
      </c>
      <c r="S230" s="36">
        <f>VLOOKUP($E230,Inputs!$A$6:$B$13,2,FALSE)*Inputs!$B$2</f>
        <v/>
      </c>
      <c r="T230" s="35">
        <f>$L230*$S230</f>
        <v/>
      </c>
      <c r="U230" s="35">
        <f>$L230+$T230</f>
        <v/>
      </c>
    </row>
    <row r="231">
      <c r="A231" s="3" t="inlineStr">
        <is>
          <t>PKG-10::L-002</t>
        </is>
      </c>
      <c r="B231" s="3" t="inlineStr">
        <is>
          <t>PKG-10</t>
        </is>
      </c>
      <c r="C231" s="3" t="inlineStr">
        <is>
          <t>DEL-10.02</t>
        </is>
      </c>
      <c r="D231" s="3" t="inlineStr">
        <is>
          <t>L-002</t>
        </is>
      </c>
      <c r="E231" s="3" t="inlineStr">
        <is>
          <t>E</t>
        </is>
      </c>
      <c r="F231" s="3" t="inlineStr">
        <is>
          <t>PKG-10</t>
        </is>
      </c>
      <c r="G231" s="3" t="inlineStr">
        <is>
          <t>DEL-10.02</t>
        </is>
      </c>
      <c r="H231" s="3" t="inlineStr">
        <is>
          <t>Railcar Unloading Technical Specification</t>
        </is>
      </c>
      <c r="I231" s="22" t="n">
        <v>1</v>
      </c>
      <c r="J231" s="3" t="inlineStr">
        <is>
          <t>LS</t>
        </is>
      </c>
      <c r="K231" s="39" t="n">
        <v>18000</v>
      </c>
      <c r="L231" s="35" t="n">
        <v>18000</v>
      </c>
      <c r="M231" s="3" t="inlineStr">
        <is>
          <t>CAD</t>
        </is>
      </c>
      <c r="N231" s="3" t="inlineStr">
        <is>
          <t>ALLOWANCE</t>
        </is>
      </c>
      <c r="O231" s="3" t="inlineStr">
        <is>
          <t>A-007</t>
        </is>
      </c>
      <c r="P231" s="3" t="inlineStr">
        <is>
          <t>LOW</t>
        </is>
      </c>
      <c r="Q231" s="3" t="inlineStr">
        <is>
          <t>Unloading arm spec + header pipe spec + containment spec</t>
        </is>
      </c>
      <c r="R231" s="3">
        <f>VLOOKUP($F231,Inputs!$D$6:$E$41,2,FALSE)</f>
        <v/>
      </c>
      <c r="S231" s="36">
        <f>VLOOKUP($E231,Inputs!$A$6:$B$13,2,FALSE)*Inputs!$B$2</f>
        <v/>
      </c>
      <c r="T231" s="35">
        <f>$L231*$S231</f>
        <v/>
      </c>
      <c r="U231" s="35">
        <f>$L231+$T231</f>
        <v/>
      </c>
    </row>
    <row r="232">
      <c r="A232" s="3" t="inlineStr">
        <is>
          <t>PKG-10::L-003</t>
        </is>
      </c>
      <c r="B232" s="3" t="inlineStr">
        <is>
          <t>PKG-10</t>
        </is>
      </c>
      <c r="C232" s="3" t="inlineStr">
        <is>
          <t>DEL-10.03</t>
        </is>
      </c>
      <c r="D232" s="3" t="inlineStr">
        <is>
          <t>L-003</t>
        </is>
      </c>
      <c r="E232" s="3" t="inlineStr">
        <is>
          <t>E</t>
        </is>
      </c>
      <c r="F232" s="3" t="inlineStr">
        <is>
          <t>PKG-10</t>
        </is>
      </c>
      <c r="G232" s="3" t="inlineStr">
        <is>
          <t>DEL-10.03</t>
        </is>
      </c>
      <c r="H232" s="3" t="inlineStr">
        <is>
          <t>Railcar Unloading Design Calculations</t>
        </is>
      </c>
      <c r="I232" s="22" t="n">
        <v>1</v>
      </c>
      <c r="J232" s="3" t="inlineStr">
        <is>
          <t>LS</t>
        </is>
      </c>
      <c r="K232" s="39" t="n">
        <v>28000</v>
      </c>
      <c r="L232" s="35" t="n">
        <v>28000</v>
      </c>
      <c r="M232" s="3" t="inlineStr">
        <is>
          <t>CAD</t>
        </is>
      </c>
      <c r="N232" s="3" t="inlineStr">
        <is>
          <t>ALLOWANCE</t>
        </is>
      </c>
      <c r="O232" s="3" t="inlineStr">
        <is>
          <t>A-008</t>
        </is>
      </c>
      <c r="P232" s="3" t="inlineStr">
        <is>
          <t>LOW</t>
        </is>
      </c>
      <c r="Q232" s="3" t="inlineStr">
        <is>
          <t>Header sizing + throughput analysis + containment volume calcs</t>
        </is>
      </c>
      <c r="R232" s="3">
        <f>VLOOKUP($F232,Inputs!$D$6:$E$41,2,FALSE)</f>
        <v/>
      </c>
      <c r="S232" s="36">
        <f>VLOOKUP($E232,Inputs!$A$6:$B$13,2,FALSE)*Inputs!$B$2</f>
        <v/>
      </c>
      <c r="T232" s="35">
        <f>$L232*$S232</f>
        <v/>
      </c>
      <c r="U232" s="35">
        <f>$L232+$T232</f>
        <v/>
      </c>
    </row>
    <row r="233">
      <c r="A233" s="3" t="inlineStr">
        <is>
          <t>PKG-10::L-004</t>
        </is>
      </c>
      <c r="B233" s="3" t="inlineStr">
        <is>
          <t>PKG-10</t>
        </is>
      </c>
      <c r="C233" s="3" t="inlineStr">
        <is>
          <t>DEL-10.04</t>
        </is>
      </c>
      <c r="D233" s="3" t="inlineStr">
        <is>
          <t>L-004</t>
        </is>
      </c>
      <c r="E233" s="3" t="inlineStr">
        <is>
          <t>E</t>
        </is>
      </c>
      <c r="F233" s="3" t="inlineStr">
        <is>
          <t>PKG-10</t>
        </is>
      </c>
      <c r="G233" s="3" t="inlineStr">
        <is>
          <t>DEL-10.04</t>
        </is>
      </c>
      <c r="H233" s="3" t="inlineStr">
        <is>
          <t>Railcar Unloading Data Sheet Package</t>
        </is>
      </c>
      <c r="I233" s="22" t="n">
        <v>1</v>
      </c>
      <c r="J233" s="3" t="inlineStr">
        <is>
          <t>LS</t>
        </is>
      </c>
      <c r="K233" s="39" t="n">
        <v>22000</v>
      </c>
      <c r="L233" s="35" t="n">
        <v>22000</v>
      </c>
      <c r="M233" s="3" t="inlineStr">
        <is>
          <t>CAD</t>
        </is>
      </c>
      <c r="N233" s="3" t="inlineStr">
        <is>
          <t>ALLOWANCE</t>
        </is>
      </c>
      <c r="O233" s="3" t="inlineStr">
        <is>
          <t>A-009</t>
        </is>
      </c>
      <c r="P233" s="3" t="inlineStr">
        <is>
          <t>LOW</t>
        </is>
      </c>
      <c r="Q233" s="3" t="inlineStr">
        <is>
          <t>32 arm data sheets + quick-connect sheets + pump sheets</t>
        </is>
      </c>
      <c r="R233" s="3">
        <f>VLOOKUP($F233,Inputs!$D$6:$E$41,2,FALSE)</f>
        <v/>
      </c>
      <c r="S233" s="36">
        <f>VLOOKUP($E233,Inputs!$A$6:$B$13,2,FALSE)*Inputs!$B$2</f>
        <v/>
      </c>
      <c r="T233" s="35">
        <f>$L233*$S233</f>
        <v/>
      </c>
      <c r="U233" s="35">
        <f>$L233+$T233</f>
        <v/>
      </c>
    </row>
    <row r="234">
      <c r="A234" s="3" t="inlineStr">
        <is>
          <t>PKG-10::L-005</t>
        </is>
      </c>
      <c r="B234" s="3" t="inlineStr">
        <is>
          <t>PKG-10</t>
        </is>
      </c>
      <c r="C234" s="3" t="inlineStr">
        <is>
          <t>DEL-10.05</t>
        </is>
      </c>
      <c r="D234" s="3" t="inlineStr">
        <is>
          <t>L-005</t>
        </is>
      </c>
      <c r="E234" s="3" t="inlineStr">
        <is>
          <t>E</t>
        </is>
      </c>
      <c r="F234" s="3" t="inlineStr">
        <is>
          <t>PKG-10</t>
        </is>
      </c>
      <c r="G234" s="3" t="inlineStr">
        <is>
          <t>DEL-10.05</t>
        </is>
      </c>
      <c r="H234" s="3" t="inlineStr">
        <is>
          <t>Railcar Unloading Installation &amp; Test Records</t>
        </is>
      </c>
      <c r="I234" s="22" t="n">
        <v>1</v>
      </c>
      <c r="J234" s="3" t="inlineStr">
        <is>
          <t>LS</t>
        </is>
      </c>
      <c r="K234" s="39" t="n">
        <v>12000</v>
      </c>
      <c r="L234" s="35" t="n">
        <v>12000</v>
      </c>
      <c r="M234" s="3" t="inlineStr">
        <is>
          <t>CAD</t>
        </is>
      </c>
      <c r="N234" s="3" t="inlineStr">
        <is>
          <t>ALLOWANCE</t>
        </is>
      </c>
      <c r="O234" s="3" t="inlineStr">
        <is>
          <t>A-010</t>
        </is>
      </c>
      <c r="P234" s="3" t="inlineStr">
        <is>
          <t>LOW</t>
        </is>
      </c>
      <c r="Q234" s="3" t="inlineStr">
        <is>
          <t>FAT records + installation records + hydrostatic test records</t>
        </is>
      </c>
      <c r="R234" s="3">
        <f>VLOOKUP($F234,Inputs!$D$6:$E$41,2,FALSE)</f>
        <v/>
      </c>
      <c r="S234" s="36">
        <f>VLOOKUP($E234,Inputs!$A$6:$B$13,2,FALSE)*Inputs!$B$2</f>
        <v/>
      </c>
      <c r="T234" s="35">
        <f>$L234*$S234</f>
        <v/>
      </c>
      <c r="U234" s="35">
        <f>$L234+$T234</f>
        <v/>
      </c>
    </row>
    <row r="235">
      <c r="A235" s="3" t="inlineStr">
        <is>
          <t>PKG-10::L-006</t>
        </is>
      </c>
      <c r="B235" s="3" t="inlineStr">
        <is>
          <t>PKG-10</t>
        </is>
      </c>
      <c r="C235" s="3" t="n"/>
      <c r="D235" s="3" t="inlineStr">
        <is>
          <t>L-006</t>
        </is>
      </c>
      <c r="E235" s="3" t="inlineStr">
        <is>
          <t>MAT</t>
        </is>
      </c>
      <c r="F235" s="3" t="inlineStr">
        <is>
          <t>PKG-10</t>
        </is>
      </c>
      <c r="G235" s="3" t="n"/>
      <c r="H235" s="3" t="inlineStr">
        <is>
          <t>Railcar Unloading Arms - Supply (32 units)</t>
        </is>
      </c>
      <c r="I235" s="22" t="n">
        <v>32</v>
      </c>
      <c r="J235" s="3" t="inlineStr">
        <is>
          <t>EA</t>
        </is>
      </c>
      <c r="K235" s="39" t="n">
        <v>50000</v>
      </c>
      <c r="L235" s="35" t="n">
        <v>1600000</v>
      </c>
      <c r="M235" s="3" t="inlineStr">
        <is>
          <t>CAD</t>
        </is>
      </c>
      <c r="N235" s="3" t="inlineStr">
        <is>
          <t>ALLOWANCE</t>
        </is>
      </c>
      <c r="O235" s="3" t="inlineStr">
        <is>
          <t>A-001</t>
        </is>
      </c>
      <c r="P235" s="3" t="inlineStr">
        <is>
          <t>LOW</t>
        </is>
      </c>
      <c r="Q235" s="3" t="inlineStr">
        <is>
          <t>Articulating bottom-loading arms with swivels; ~$45k-60k/unit typical</t>
        </is>
      </c>
      <c r="R235" s="3">
        <f>VLOOKUP($F235,Inputs!$D$6:$E$41,2,FALSE)</f>
        <v/>
      </c>
      <c r="S235" s="36">
        <f>VLOOKUP($E235,Inputs!$A$6:$B$13,2,FALSE)*Inputs!$B$2</f>
        <v/>
      </c>
      <c r="T235" s="35">
        <f>$L235*$S235</f>
        <v/>
      </c>
      <c r="U235" s="35">
        <f>$L235+$T235</f>
        <v/>
      </c>
    </row>
    <row r="236">
      <c r="A236" s="3" t="inlineStr">
        <is>
          <t>PKG-10::L-007</t>
        </is>
      </c>
      <c r="B236" s="3" t="inlineStr">
        <is>
          <t>PKG-10</t>
        </is>
      </c>
      <c r="C236" s="3" t="n"/>
      <c r="D236" s="3" t="inlineStr">
        <is>
          <t>L-007</t>
        </is>
      </c>
      <c r="E236" s="3" t="inlineStr">
        <is>
          <t>MAT</t>
        </is>
      </c>
      <c r="F236" s="3" t="inlineStr">
        <is>
          <t>PKG-10</t>
        </is>
      </c>
      <c r="G236" s="3" t="n"/>
      <c r="H236" s="3" t="inlineStr">
        <is>
          <t>Quick-Connect Couplers - Supply (32 units)</t>
        </is>
      </c>
      <c r="I236" s="22" t="n">
        <v>32</v>
      </c>
      <c r="J236" s="3" t="inlineStr">
        <is>
          <t>EA</t>
        </is>
      </c>
      <c r="K236" s="39" t="n">
        <v>3000</v>
      </c>
      <c r="L236" s="35" t="n">
        <v>96000</v>
      </c>
      <c r="M236" s="3" t="inlineStr">
        <is>
          <t>CAD</t>
        </is>
      </c>
      <c r="N236" s="3" t="inlineStr">
        <is>
          <t>ALLOWANCE</t>
        </is>
      </c>
      <c r="O236" s="3" t="inlineStr">
        <is>
          <t>A-002</t>
        </is>
      </c>
      <c r="P236" s="3" t="inlineStr">
        <is>
          <t>LOW</t>
        </is>
      </c>
      <c r="Q236" s="3" t="inlineStr">
        <is>
          <t>Dry-break cam-lock couplers for railcar connection; ~$2.5k-3.5k/unit</t>
        </is>
      </c>
      <c r="R236" s="3">
        <f>VLOOKUP($F236,Inputs!$D$6:$E$41,2,FALSE)</f>
        <v/>
      </c>
      <c r="S236" s="36">
        <f>VLOOKUP($E236,Inputs!$A$6:$B$13,2,FALSE)*Inputs!$B$2</f>
        <v/>
      </c>
      <c r="T236" s="35">
        <f>$L236*$S236</f>
        <v/>
      </c>
      <c r="U236" s="35">
        <f>$L236+$T236</f>
        <v/>
      </c>
    </row>
    <row r="237">
      <c r="A237" s="3" t="inlineStr">
        <is>
          <t>PKG-10::L-008</t>
        </is>
      </c>
      <c r="B237" s="3" t="inlineStr">
        <is>
          <t>PKG-10</t>
        </is>
      </c>
      <c r="C237" s="3" t="n"/>
      <c r="D237" s="3" t="inlineStr">
        <is>
          <t>L-008</t>
        </is>
      </c>
      <c r="E237" s="3" t="inlineStr">
        <is>
          <t>MAT</t>
        </is>
      </c>
      <c r="F237" s="3" t="inlineStr">
        <is>
          <t>PKG-10</t>
        </is>
      </c>
      <c r="G237" s="3" t="n"/>
      <c r="H237" s="3" t="inlineStr">
        <is>
          <t>Gravity Flow Header Piping - Supply</t>
        </is>
      </c>
      <c r="I237" s="22" t="n">
        <v>400</v>
      </c>
      <c r="J237" s="3" t="inlineStr">
        <is>
          <t>LM</t>
        </is>
      </c>
      <c r="K237" s="39" t="n">
        <v>700</v>
      </c>
      <c r="L237" s="35" t="n">
        <v>280000</v>
      </c>
      <c r="M237" s="3" t="inlineStr">
        <is>
          <t>CAD</t>
        </is>
      </c>
      <c r="N237" s="3" t="inlineStr">
        <is>
          <t>ALLOWANCE</t>
        </is>
      </c>
      <c r="O237" s="3" t="inlineStr">
        <is>
          <t>A-003</t>
        </is>
      </c>
      <c r="P237" s="3" t="inlineStr">
        <is>
          <t>LOW</t>
        </is>
      </c>
      <c r="Q237" s="3" t="inlineStr">
        <is>
          <t>8-12 inch carbon steel or SS pipe with fittings; ~$600-800/lm</t>
        </is>
      </c>
      <c r="R237" s="3">
        <f>VLOOKUP($F237,Inputs!$D$6:$E$41,2,FALSE)</f>
        <v/>
      </c>
      <c r="S237" s="36">
        <f>VLOOKUP($E237,Inputs!$A$6:$B$13,2,FALSE)*Inputs!$B$2</f>
        <v/>
      </c>
      <c r="T237" s="35">
        <f>$L237*$S237</f>
        <v/>
      </c>
      <c r="U237" s="35">
        <f>$L237+$T237</f>
        <v/>
      </c>
    </row>
    <row r="238">
      <c r="A238" s="3" t="inlineStr">
        <is>
          <t>PKG-10::L-009</t>
        </is>
      </c>
      <c r="B238" s="3" t="inlineStr">
        <is>
          <t>PKG-10</t>
        </is>
      </c>
      <c r="C238" s="3" t="n"/>
      <c r="D238" s="3" t="inlineStr">
        <is>
          <t>L-009</t>
        </is>
      </c>
      <c r="E238" s="3" t="inlineStr">
        <is>
          <t>MAT</t>
        </is>
      </c>
      <c r="F238" s="3" t="inlineStr">
        <is>
          <t>PKG-10</t>
        </is>
      </c>
      <c r="G238" s="3" t="n"/>
      <c r="H238" s="3" t="inlineStr">
        <is>
          <t>Spill Containment Pans - Supply (32 units)</t>
        </is>
      </c>
      <c r="I238" s="22" t="n">
        <v>32</v>
      </c>
      <c r="J238" s="3" t="inlineStr">
        <is>
          <t>EA</t>
        </is>
      </c>
      <c r="K238" s="39" t="n">
        <v>8000</v>
      </c>
      <c r="L238" s="35" t="n">
        <v>256000</v>
      </c>
      <c r="M238" s="3" t="inlineStr">
        <is>
          <t>CAD</t>
        </is>
      </c>
      <c r="N238" s="3" t="inlineStr">
        <is>
          <t>ALLOWANCE</t>
        </is>
      </c>
      <c r="O238" s="3" t="inlineStr">
        <is>
          <t>A-004</t>
        </is>
      </c>
      <c r="P238" s="3" t="inlineStr">
        <is>
          <t>LOW</t>
        </is>
      </c>
      <c r="Q238" s="3" t="inlineStr">
        <is>
          <t>Under-track containment pans with drains; ~$7k-9k/unit fabricated</t>
        </is>
      </c>
      <c r="R238" s="3">
        <f>VLOOKUP($F238,Inputs!$D$6:$E$41,2,FALSE)</f>
        <v/>
      </c>
      <c r="S238" s="36">
        <f>VLOOKUP($E238,Inputs!$A$6:$B$13,2,FALSE)*Inputs!$B$2</f>
        <v/>
      </c>
      <c r="T238" s="35">
        <f>$L238*$S238</f>
        <v/>
      </c>
      <c r="U238" s="35">
        <f>$L238+$T238</f>
        <v/>
      </c>
    </row>
    <row r="239">
      <c r="A239" s="3" t="inlineStr">
        <is>
          <t>PKG-10::L-010</t>
        </is>
      </c>
      <c r="B239" s="3" t="inlineStr">
        <is>
          <t>PKG-10</t>
        </is>
      </c>
      <c r="C239" s="3" t="n"/>
      <c r="D239" s="3" t="inlineStr">
        <is>
          <t>L-010</t>
        </is>
      </c>
      <c r="E239" s="3" t="inlineStr">
        <is>
          <t>MAT</t>
        </is>
      </c>
      <c r="F239" s="3" t="inlineStr">
        <is>
          <t>PKG-10</t>
        </is>
      </c>
      <c r="G239" s="3" t="n"/>
      <c r="H239" s="3" t="inlineStr">
        <is>
          <t>Sump Pumps - Supply (8 units)</t>
        </is>
      </c>
      <c r="I239" s="22" t="n">
        <v>8</v>
      </c>
      <c r="J239" s="3" t="inlineStr">
        <is>
          <t>EA</t>
        </is>
      </c>
      <c r="K239" s="39" t="n">
        <v>6000</v>
      </c>
      <c r="L239" s="35" t="n">
        <v>48000</v>
      </c>
      <c r="M239" s="3" t="inlineStr">
        <is>
          <t>CAD</t>
        </is>
      </c>
      <c r="N239" s="3" t="inlineStr">
        <is>
          <t>ALLOWANCE</t>
        </is>
      </c>
      <c r="O239" s="3" t="inlineStr">
        <is>
          <t>A-005</t>
        </is>
      </c>
      <c r="P239" s="3" t="inlineStr">
        <is>
          <t>LOW</t>
        </is>
      </c>
      <c r="Q239" s="3" t="inlineStr">
        <is>
          <t>Submersible or external pumps for containment drainage; ~$5k-7k/unit</t>
        </is>
      </c>
      <c r="R239" s="3">
        <f>VLOOKUP($F239,Inputs!$D$6:$E$41,2,FALSE)</f>
        <v/>
      </c>
      <c r="S239" s="36">
        <f>VLOOKUP($E239,Inputs!$A$6:$B$13,2,FALSE)*Inputs!$B$2</f>
        <v/>
      </c>
      <c r="T239" s="35">
        <f>$L239*$S239</f>
        <v/>
      </c>
      <c r="U239" s="35">
        <f>$L239+$T239</f>
        <v/>
      </c>
    </row>
    <row r="240">
      <c r="A240" s="3" t="inlineStr">
        <is>
          <t>PKG-10::L-011</t>
        </is>
      </c>
      <c r="B240" s="3" t="inlineStr">
        <is>
          <t>PKG-10</t>
        </is>
      </c>
      <c r="C240" s="3" t="n"/>
      <c r="D240" s="3" t="inlineStr">
        <is>
          <t>L-011</t>
        </is>
      </c>
      <c r="E240" s="3" t="inlineStr">
        <is>
          <t>MAT</t>
        </is>
      </c>
      <c r="F240" s="3" t="inlineStr">
        <is>
          <t>PKG-10</t>
        </is>
      </c>
      <c r="G240" s="3" t="n"/>
      <c r="H240" s="3" t="inlineStr">
        <is>
          <t>Flow Indicators - Supply (32 units)</t>
        </is>
      </c>
      <c r="I240" s="22" t="n">
        <v>32</v>
      </c>
      <c r="J240" s="3" t="inlineStr">
        <is>
          <t>EA</t>
        </is>
      </c>
      <c r="K240" s="39" t="n">
        <v>2500</v>
      </c>
      <c r="L240" s="35" t="n">
        <v>80000</v>
      </c>
      <c r="M240" s="3" t="inlineStr">
        <is>
          <t>CAD</t>
        </is>
      </c>
      <c r="N240" s="3" t="inlineStr">
        <is>
          <t>ALLOWANCE</t>
        </is>
      </c>
      <c r="O240" s="3" t="inlineStr">
        <is>
          <t>A-011</t>
        </is>
      </c>
      <c r="P240" s="3" t="inlineStr">
        <is>
          <t>LOW</t>
        </is>
      </c>
      <c r="Q240" s="3" t="inlineStr">
        <is>
          <t>Local flow indicators at each station; ~$2k-3k/unit</t>
        </is>
      </c>
      <c r="R240" s="3">
        <f>VLOOKUP($F240,Inputs!$D$6:$E$41,2,FALSE)</f>
        <v/>
      </c>
      <c r="S240" s="36">
        <f>VLOOKUP($E240,Inputs!$A$6:$B$13,2,FALSE)*Inputs!$B$2</f>
        <v/>
      </c>
      <c r="T240" s="35">
        <f>$L240*$S240</f>
        <v/>
      </c>
      <c r="U240" s="35">
        <f>$L240+$T240</f>
        <v/>
      </c>
    </row>
    <row r="241">
      <c r="A241" s="3" t="inlineStr">
        <is>
          <t>PKG-10::L-012</t>
        </is>
      </c>
      <c r="B241" s="3" t="inlineStr">
        <is>
          <t>PKG-10</t>
        </is>
      </c>
      <c r="C241" s="3" t="n"/>
      <c r="D241" s="3" t="inlineStr">
        <is>
          <t>L-012</t>
        </is>
      </c>
      <c r="E241" s="3" t="inlineStr">
        <is>
          <t>MAT</t>
        </is>
      </c>
      <c r="F241" s="3" t="inlineStr">
        <is>
          <t>PKG-10</t>
        </is>
      </c>
      <c r="G241" s="3" t="n"/>
      <c r="H241" s="3" t="inlineStr">
        <is>
          <t>Atmospheric Vent Piping &amp; Components</t>
        </is>
      </c>
      <c r="I241" s="22" t="n">
        <v>1</v>
      </c>
      <c r="J241" s="3" t="inlineStr">
        <is>
          <t>LS</t>
        </is>
      </c>
      <c r="K241" s="39" t="n">
        <v>65000</v>
      </c>
      <c r="L241" s="35" t="n">
        <v>65000</v>
      </c>
      <c r="M241" s="3" t="inlineStr">
        <is>
          <t>CAD</t>
        </is>
      </c>
      <c r="N241" s="3" t="inlineStr">
        <is>
          <t>ALLOWANCE</t>
        </is>
      </c>
      <c r="O241" s="3" t="inlineStr">
        <is>
          <t>A-012</t>
        </is>
      </c>
      <c r="P241" s="3" t="inlineStr">
        <is>
          <t>LOW</t>
        </is>
      </c>
      <c r="Q241" s="3" t="inlineStr">
        <is>
          <t>32 vent connections + routing + flame arrestors + supports</t>
        </is>
      </c>
      <c r="R241" s="3">
        <f>VLOOKUP($F241,Inputs!$D$6:$E$41,2,FALSE)</f>
        <v/>
      </c>
      <c r="S241" s="36">
        <f>VLOOKUP($E241,Inputs!$A$6:$B$13,2,FALSE)*Inputs!$B$2</f>
        <v/>
      </c>
      <c r="T241" s="35">
        <f>$L241*$S241</f>
        <v/>
      </c>
      <c r="U241" s="35">
        <f>$L241+$T241</f>
        <v/>
      </c>
    </row>
    <row r="242">
      <c r="A242" s="3" t="inlineStr">
        <is>
          <t>PKG-10::L-013</t>
        </is>
      </c>
      <c r="B242" s="3" t="inlineStr">
        <is>
          <t>PKG-10</t>
        </is>
      </c>
      <c r="C242" s="3" t="n"/>
      <c r="D242" s="3" t="inlineStr">
        <is>
          <t>L-013</t>
        </is>
      </c>
      <c r="E242" s="3" t="inlineStr">
        <is>
          <t>MAT</t>
        </is>
      </c>
      <c r="F242" s="3" t="inlineStr">
        <is>
          <t>PKG-10</t>
        </is>
      </c>
      <c r="G242" s="3" t="n"/>
      <c r="H242" s="3" t="inlineStr">
        <is>
          <t>Isolation Valves &amp; Fittings</t>
        </is>
      </c>
      <c r="I242" s="22" t="n">
        <v>1</v>
      </c>
      <c r="J242" s="3" t="inlineStr">
        <is>
          <t>LS</t>
        </is>
      </c>
      <c r="K242" s="39" t="n">
        <v>85000</v>
      </c>
      <c r="L242" s="35" t="n">
        <v>85000</v>
      </c>
      <c r="M242" s="3" t="inlineStr">
        <is>
          <t>CAD</t>
        </is>
      </c>
      <c r="N242" s="3" t="inlineStr">
        <is>
          <t>ALLOWANCE</t>
        </is>
      </c>
      <c r="O242" s="3" t="inlineStr">
        <is>
          <t>A-013</t>
        </is>
      </c>
      <c r="P242" s="3" t="inlineStr">
        <is>
          <t>LOW</t>
        </is>
      </c>
      <c r="Q242" s="3" t="inlineStr">
        <is>
          <t>Header isolation valves + branch valves + pipe fittings + supports</t>
        </is>
      </c>
      <c r="R242" s="3">
        <f>VLOOKUP($F242,Inputs!$D$6:$E$41,2,FALSE)</f>
        <v/>
      </c>
      <c r="S242" s="36">
        <f>VLOOKUP($E242,Inputs!$A$6:$B$13,2,FALSE)*Inputs!$B$2</f>
        <v/>
      </c>
      <c r="T242" s="35">
        <f>$L242*$S242</f>
        <v/>
      </c>
      <c r="U242" s="35">
        <f>$L242+$T242</f>
        <v/>
      </c>
    </row>
    <row r="243">
      <c r="A243" s="3" t="inlineStr">
        <is>
          <t>PKG-10::L-014</t>
        </is>
      </c>
      <c r="B243" s="3" t="inlineStr">
        <is>
          <t>PKG-10</t>
        </is>
      </c>
      <c r="C243" s="3" t="n"/>
      <c r="D243" s="3" t="inlineStr">
        <is>
          <t>L-014</t>
        </is>
      </c>
      <c r="E243" s="3" t="inlineStr">
        <is>
          <t>MAT</t>
        </is>
      </c>
      <c r="F243" s="3" t="inlineStr">
        <is>
          <t>PKG-10</t>
        </is>
      </c>
      <c r="G243" s="3" t="n"/>
      <c r="H243" s="3" t="inlineStr">
        <is>
          <t>Installation Consumables and Fasteners</t>
        </is>
      </c>
      <c r="I243" s="22" t="n">
        <v>1</v>
      </c>
      <c r="J243" s="3" t="inlineStr">
        <is>
          <t>LS</t>
        </is>
      </c>
      <c r="K243" s="39" t="n">
        <v>45000</v>
      </c>
      <c r="L243" s="35" t="n">
        <v>45000</v>
      </c>
      <c r="M243" s="3" t="inlineStr">
        <is>
          <t>CAD</t>
        </is>
      </c>
      <c r="N243" s="3" t="inlineStr">
        <is>
          <t>ALLOWANCE</t>
        </is>
      </c>
      <c r="O243" s="3" t="inlineStr">
        <is>
          <t>A-014</t>
        </is>
      </c>
      <c r="P243" s="3" t="inlineStr">
        <is>
          <t>LOW</t>
        </is>
      </c>
      <c r="Q243" s="3" t="inlineStr">
        <is>
          <t>Welding consumables + anchor bolts + gaskets + sealants + misc hardware</t>
        </is>
      </c>
      <c r="R243" s="3">
        <f>VLOOKUP($F243,Inputs!$D$6:$E$41,2,FALSE)</f>
        <v/>
      </c>
      <c r="S243" s="36">
        <f>VLOOKUP($E243,Inputs!$A$6:$B$13,2,FALSE)*Inputs!$B$2</f>
        <v/>
      </c>
      <c r="T243" s="35">
        <f>$L243*$S243</f>
        <v/>
      </c>
      <c r="U243" s="35">
        <f>$L243+$T243</f>
        <v/>
      </c>
    </row>
    <row r="244">
      <c r="A244" s="3" t="inlineStr">
        <is>
          <t>PKG-10::L-015</t>
        </is>
      </c>
      <c r="B244" s="3" t="inlineStr">
        <is>
          <t>PKG-10</t>
        </is>
      </c>
      <c r="C244" s="3" t="n"/>
      <c r="D244" s="3" t="inlineStr">
        <is>
          <t>L-015</t>
        </is>
      </c>
      <c r="E244" s="3" t="inlineStr">
        <is>
          <t>CD</t>
        </is>
      </c>
      <c r="F244" s="3" t="inlineStr">
        <is>
          <t>PKG-10</t>
        </is>
      </c>
      <c r="G244" s="3" t="n"/>
      <c r="H244" s="3" t="inlineStr">
        <is>
          <t>Unloading Arm Installation - Labor (32 units)</t>
        </is>
      </c>
      <c r="I244" s="22" t="n">
        <v>32</v>
      </c>
      <c r="J244" s="3" t="inlineStr">
        <is>
          <t>EA</t>
        </is>
      </c>
      <c r="K244" s="39" t="n">
        <v>8000</v>
      </c>
      <c r="L244" s="35" t="n">
        <v>256000</v>
      </c>
      <c r="M244" s="3" t="inlineStr">
        <is>
          <t>CAD</t>
        </is>
      </c>
      <c r="N244" s="3" t="inlineStr">
        <is>
          <t>ALLOWANCE</t>
        </is>
      </c>
      <c r="O244" s="3" t="inlineStr">
        <is>
          <t>A-015</t>
        </is>
      </c>
      <c r="P244" s="3" t="inlineStr">
        <is>
          <t>LOW</t>
        </is>
      </c>
      <c r="Q244" s="3" t="inlineStr">
        <is>
          <t>Arm mounting + alignment + connection + testing; ~70-80 hrs/unit @ $110/hr</t>
        </is>
      </c>
      <c r="R244" s="3">
        <f>VLOOKUP($F244,Inputs!$D$6:$E$41,2,FALSE)</f>
        <v/>
      </c>
      <c r="S244" s="36">
        <f>VLOOKUP($E244,Inputs!$A$6:$B$13,2,FALSE)*Inputs!$B$2</f>
        <v/>
      </c>
      <c r="T244" s="35">
        <f>$L244*$S244</f>
        <v/>
      </c>
      <c r="U244" s="35">
        <f>$L244+$T244</f>
        <v/>
      </c>
    </row>
    <row r="245">
      <c r="A245" s="3" t="inlineStr">
        <is>
          <t>PKG-10::L-016</t>
        </is>
      </c>
      <c r="B245" s="3" t="inlineStr">
        <is>
          <t>PKG-10</t>
        </is>
      </c>
      <c r="C245" s="3" t="n"/>
      <c r="D245" s="3" t="inlineStr">
        <is>
          <t>L-016</t>
        </is>
      </c>
      <c r="E245" s="3" t="inlineStr">
        <is>
          <t>CD</t>
        </is>
      </c>
      <c r="F245" s="3" t="inlineStr">
        <is>
          <t>PKG-10</t>
        </is>
      </c>
      <c r="G245" s="3" t="n"/>
      <c r="H245" s="3" t="inlineStr">
        <is>
          <t>Header Piping Installation - Labor</t>
        </is>
      </c>
      <c r="I245" s="22" t="n">
        <v>400</v>
      </c>
      <c r="J245" s="3" t="inlineStr">
        <is>
          <t>LM</t>
        </is>
      </c>
      <c r="K245" s="39" t="n">
        <v>450</v>
      </c>
      <c r="L245" s="35" t="n">
        <v>180000</v>
      </c>
      <c r="M245" s="3" t="inlineStr">
        <is>
          <t>CAD</t>
        </is>
      </c>
      <c r="N245" s="3" t="inlineStr">
        <is>
          <t>ALLOWANCE</t>
        </is>
      </c>
      <c r="O245" s="3" t="inlineStr">
        <is>
          <t>A-016</t>
        </is>
      </c>
      <c r="P245" s="3" t="inlineStr">
        <is>
          <t>LOW</t>
        </is>
      </c>
      <c r="Q245" s="3" t="inlineStr">
        <is>
          <t>Pipe welding + support installation + testing; ~4-5 hrs/lm @ $110/hr</t>
        </is>
      </c>
      <c r="R245" s="3">
        <f>VLOOKUP($F245,Inputs!$D$6:$E$41,2,FALSE)</f>
        <v/>
      </c>
      <c r="S245" s="36">
        <f>VLOOKUP($E245,Inputs!$A$6:$B$13,2,FALSE)*Inputs!$B$2</f>
        <v/>
      </c>
      <c r="T245" s="35">
        <f>$L245*$S245</f>
        <v/>
      </c>
      <c r="U245" s="35">
        <f>$L245+$T245</f>
        <v/>
      </c>
    </row>
    <row r="246">
      <c r="A246" s="3" t="inlineStr">
        <is>
          <t>PKG-10::L-017</t>
        </is>
      </c>
      <c r="B246" s="3" t="inlineStr">
        <is>
          <t>PKG-10</t>
        </is>
      </c>
      <c r="C246" s="3" t="n"/>
      <c r="D246" s="3" t="inlineStr">
        <is>
          <t>L-017</t>
        </is>
      </c>
      <c r="E246" s="3" t="inlineStr">
        <is>
          <t>CD</t>
        </is>
      </c>
      <c r="F246" s="3" t="inlineStr">
        <is>
          <t>PKG-10</t>
        </is>
      </c>
      <c r="G246" s="3" t="n"/>
      <c r="H246" s="3" t="inlineStr">
        <is>
          <t>Containment Pan Installation - Labor</t>
        </is>
      </c>
      <c r="I246" s="22" t="n">
        <v>32</v>
      </c>
      <c r="J246" s="3" t="inlineStr">
        <is>
          <t>EA</t>
        </is>
      </c>
      <c r="K246" s="39" t="n">
        <v>4500</v>
      </c>
      <c r="L246" s="35" t="n">
        <v>144000</v>
      </c>
      <c r="M246" s="3" t="inlineStr">
        <is>
          <t>CAD</t>
        </is>
      </c>
      <c r="N246" s="3" t="inlineStr">
        <is>
          <t>ALLOWANCE</t>
        </is>
      </c>
      <c r="O246" s="3" t="inlineStr">
        <is>
          <t>A-017</t>
        </is>
      </c>
      <c r="P246" s="3" t="inlineStr">
        <is>
          <t>LOW</t>
        </is>
      </c>
      <c r="Q246" s="3" t="inlineStr">
        <is>
          <t>Pan placement + leveling + seal welding + drain connections; ~40 hrs/unit</t>
        </is>
      </c>
      <c r="R246" s="3">
        <f>VLOOKUP($F246,Inputs!$D$6:$E$41,2,FALSE)</f>
        <v/>
      </c>
      <c r="S246" s="36">
        <f>VLOOKUP($E246,Inputs!$A$6:$B$13,2,FALSE)*Inputs!$B$2</f>
        <v/>
      </c>
      <c r="T246" s="35">
        <f>$L246*$S246</f>
        <v/>
      </c>
      <c r="U246" s="35">
        <f>$L246+$T246</f>
        <v/>
      </c>
    </row>
    <row r="247">
      <c r="A247" s="3" t="inlineStr">
        <is>
          <t>PKG-10::L-018</t>
        </is>
      </c>
      <c r="B247" s="3" t="inlineStr">
        <is>
          <t>PKG-10</t>
        </is>
      </c>
      <c r="C247" s="3" t="n"/>
      <c r="D247" s="3" t="inlineStr">
        <is>
          <t>L-018</t>
        </is>
      </c>
      <c r="E247" s="3" t="inlineStr">
        <is>
          <t>CD</t>
        </is>
      </c>
      <c r="F247" s="3" t="inlineStr">
        <is>
          <t>PKG-10</t>
        </is>
      </c>
      <c r="G247" s="3" t="n"/>
      <c r="H247" s="3" t="inlineStr">
        <is>
          <t>Sump Pump Installation - Labor</t>
        </is>
      </c>
      <c r="I247" s="22" t="n">
        <v>8</v>
      </c>
      <c r="J247" s="3" t="inlineStr">
        <is>
          <t>EA</t>
        </is>
      </c>
      <c r="K247" s="39" t="n">
        <v>3000</v>
      </c>
      <c r="L247" s="35" t="n">
        <v>24000</v>
      </c>
      <c r="M247" s="3" t="inlineStr">
        <is>
          <t>CAD</t>
        </is>
      </c>
      <c r="N247" s="3" t="inlineStr">
        <is>
          <t>ALLOWANCE</t>
        </is>
      </c>
      <c r="O247" s="3" t="inlineStr">
        <is>
          <t>A-018</t>
        </is>
      </c>
      <c r="P247" s="3" t="inlineStr">
        <is>
          <t>LOW</t>
        </is>
      </c>
      <c r="Q247" s="3" t="inlineStr">
        <is>
          <t>Pump installation + piping connections + electrical rough-in; ~25 hrs/unit</t>
        </is>
      </c>
      <c r="R247" s="3">
        <f>VLOOKUP($F247,Inputs!$D$6:$E$41,2,FALSE)</f>
        <v/>
      </c>
      <c r="S247" s="36">
        <f>VLOOKUP($E247,Inputs!$A$6:$B$13,2,FALSE)*Inputs!$B$2</f>
        <v/>
      </c>
      <c r="T247" s="35">
        <f>$L247*$S247</f>
        <v/>
      </c>
      <c r="U247" s="35">
        <f>$L247+$T247</f>
        <v/>
      </c>
    </row>
    <row r="248">
      <c r="A248" s="3" t="inlineStr">
        <is>
          <t>PKG-10::L-019</t>
        </is>
      </c>
      <c r="B248" s="3" t="inlineStr">
        <is>
          <t>PKG-10</t>
        </is>
      </c>
      <c r="C248" s="3" t="n"/>
      <c r="D248" s="3" t="inlineStr">
        <is>
          <t>L-019</t>
        </is>
      </c>
      <c r="E248" s="3" t="inlineStr">
        <is>
          <t>CD</t>
        </is>
      </c>
      <c r="F248" s="3" t="inlineStr">
        <is>
          <t>PKG-10</t>
        </is>
      </c>
      <c r="G248" s="3" t="n"/>
      <c r="H248" s="3" t="inlineStr">
        <is>
          <t>Flow Indicator Installation - Labor</t>
        </is>
      </c>
      <c r="I248" s="22" t="n">
        <v>32</v>
      </c>
      <c r="J248" s="3" t="inlineStr">
        <is>
          <t>EA</t>
        </is>
      </c>
      <c r="K248" s="39" t="n">
        <v>1000</v>
      </c>
      <c r="L248" s="35" t="n">
        <v>32000</v>
      </c>
      <c r="M248" s="3" t="inlineStr">
        <is>
          <t>CAD</t>
        </is>
      </c>
      <c r="N248" s="3" t="inlineStr">
        <is>
          <t>ALLOWANCE</t>
        </is>
      </c>
      <c r="O248" s="3" t="inlineStr">
        <is>
          <t>A-019</t>
        </is>
      </c>
      <c r="P248" s="3" t="inlineStr">
        <is>
          <t>LOW</t>
        </is>
      </c>
      <c r="Q248" s="3" t="inlineStr">
        <is>
          <t>Indicator mounting + connections + calibration; ~8-10 hrs/unit @ $110/hr</t>
        </is>
      </c>
      <c r="R248" s="3">
        <f>VLOOKUP($F248,Inputs!$D$6:$E$41,2,FALSE)</f>
        <v/>
      </c>
      <c r="S248" s="36">
        <f>VLOOKUP($E248,Inputs!$A$6:$B$13,2,FALSE)*Inputs!$B$2</f>
        <v/>
      </c>
      <c r="T248" s="35">
        <f>$L248*$S248</f>
        <v/>
      </c>
      <c r="U248" s="35">
        <f>$L248+$T248</f>
        <v/>
      </c>
    </row>
    <row r="249">
      <c r="A249" s="3" t="inlineStr">
        <is>
          <t>PKG-10::L-020</t>
        </is>
      </c>
      <c r="B249" s="3" t="inlineStr">
        <is>
          <t>PKG-10</t>
        </is>
      </c>
      <c r="C249" s="3" t="n"/>
      <c r="D249" s="3" t="inlineStr">
        <is>
          <t>L-020</t>
        </is>
      </c>
      <c r="E249" s="3" t="inlineStr">
        <is>
          <t>CD</t>
        </is>
      </c>
      <c r="F249" s="3" t="inlineStr">
        <is>
          <t>PKG-10</t>
        </is>
      </c>
      <c r="G249" s="3" t="n"/>
      <c r="H249" s="3" t="inlineStr">
        <is>
          <t>Venting System Installation - Labor</t>
        </is>
      </c>
      <c r="I249" s="22" t="n">
        <v>1</v>
      </c>
      <c r="J249" s="3" t="inlineStr">
        <is>
          <t>LS</t>
        </is>
      </c>
      <c r="K249" s="39" t="n">
        <v>28000</v>
      </c>
      <c r="L249" s="35" t="n">
        <v>28000</v>
      </c>
      <c r="M249" s="3" t="inlineStr">
        <is>
          <t>CAD</t>
        </is>
      </c>
      <c r="N249" s="3" t="inlineStr">
        <is>
          <t>ALLOWANCE</t>
        </is>
      </c>
      <c r="O249" s="3" t="inlineStr">
        <is>
          <t>A-020</t>
        </is>
      </c>
      <c r="P249" s="3" t="inlineStr">
        <is>
          <t>LOW</t>
        </is>
      </c>
      <c r="Q249" s="3" t="inlineStr">
        <is>
          <t>32 vent connections + piping + flame arrestor installation</t>
        </is>
      </c>
      <c r="R249" s="3">
        <f>VLOOKUP($F249,Inputs!$D$6:$E$41,2,FALSE)</f>
        <v/>
      </c>
      <c r="S249" s="36">
        <f>VLOOKUP($E249,Inputs!$A$6:$B$13,2,FALSE)*Inputs!$B$2</f>
        <v/>
      </c>
      <c r="T249" s="35">
        <f>$L249*$S249</f>
        <v/>
      </c>
      <c r="U249" s="35">
        <f>$L249+$T249</f>
        <v/>
      </c>
    </row>
    <row r="250">
      <c r="A250" s="3" t="inlineStr">
        <is>
          <t>PKG-10::L-021</t>
        </is>
      </c>
      <c r="B250" s="3" t="inlineStr">
        <is>
          <t>PKG-10</t>
        </is>
      </c>
      <c r="C250" s="3" t="n"/>
      <c r="D250" s="3" t="inlineStr">
        <is>
          <t>L-021</t>
        </is>
      </c>
      <c r="E250" s="3" t="inlineStr">
        <is>
          <t>CD</t>
        </is>
      </c>
      <c r="F250" s="3" t="inlineStr">
        <is>
          <t>PKG-10</t>
        </is>
      </c>
      <c r="G250" s="3" t="n"/>
      <c r="H250" s="3" t="inlineStr">
        <is>
          <t>Setting Out and Survey</t>
        </is>
      </c>
      <c r="I250" s="22" t="n">
        <v>1</v>
      </c>
      <c r="J250" s="3" t="inlineStr">
        <is>
          <t>LS</t>
        </is>
      </c>
      <c r="K250" s="39" t="n">
        <v>18000</v>
      </c>
      <c r="L250" s="35" t="n">
        <v>18000</v>
      </c>
      <c r="M250" s="3" t="inlineStr">
        <is>
          <t>CAD</t>
        </is>
      </c>
      <c r="N250" s="3" t="inlineStr">
        <is>
          <t>ALLOWANCE</t>
        </is>
      </c>
      <c r="O250" s="3" t="inlineStr">
        <is>
          <t>A-021</t>
        </is>
      </c>
      <c r="P250" s="3" t="inlineStr">
        <is>
          <t>LOW</t>
        </is>
      </c>
      <c r="Q250" s="3" t="inlineStr">
        <is>
          <t>Station layout + as-built survey for 32 stations + header + containment</t>
        </is>
      </c>
      <c r="R250" s="3">
        <f>VLOOKUP($F250,Inputs!$D$6:$E$41,2,FALSE)</f>
        <v/>
      </c>
      <c r="S250" s="36">
        <f>VLOOKUP($E250,Inputs!$A$6:$B$13,2,FALSE)*Inputs!$B$2</f>
        <v/>
      </c>
      <c r="T250" s="35">
        <f>$L250*$S250</f>
        <v/>
      </c>
      <c r="U250" s="35">
        <f>$L250+$T250</f>
        <v/>
      </c>
    </row>
    <row r="251">
      <c r="A251" s="3" t="inlineStr">
        <is>
          <t>PKG-10::L-022</t>
        </is>
      </c>
      <c r="B251" s="3" t="inlineStr">
        <is>
          <t>PKG-10</t>
        </is>
      </c>
      <c r="C251" s="3" t="n"/>
      <c r="D251" s="3" t="inlineStr">
        <is>
          <t>L-022</t>
        </is>
      </c>
      <c r="E251" s="3" t="inlineStr">
        <is>
          <t>CD</t>
        </is>
      </c>
      <c r="F251" s="3" t="inlineStr">
        <is>
          <t>PKG-10</t>
        </is>
      </c>
      <c r="G251" s="3" t="n"/>
      <c r="H251" s="3" t="inlineStr">
        <is>
          <t>Hydrostatic Testing and Flushing</t>
        </is>
      </c>
      <c r="I251" s="22" t="n">
        <v>1</v>
      </c>
      <c r="J251" s="3" t="inlineStr">
        <is>
          <t>LS</t>
        </is>
      </c>
      <c r="K251" s="39" t="n">
        <v>22000</v>
      </c>
      <c r="L251" s="35" t="n">
        <v>22000</v>
      </c>
      <c r="M251" s="3" t="inlineStr">
        <is>
          <t>CAD</t>
        </is>
      </c>
      <c r="N251" s="3" t="inlineStr">
        <is>
          <t>ALLOWANCE</t>
        </is>
      </c>
      <c r="O251" s="3" t="inlineStr">
        <is>
          <t>A-022</t>
        </is>
      </c>
      <c r="P251" s="3" t="inlineStr">
        <is>
          <t>LOW</t>
        </is>
      </c>
      <c r="Q251" s="3" t="inlineStr">
        <is>
          <t>Header hydrostatic test + flushing + drying + system prep</t>
        </is>
      </c>
      <c r="R251" s="3">
        <f>VLOOKUP($F251,Inputs!$D$6:$E$41,2,FALSE)</f>
        <v/>
      </c>
      <c r="S251" s="36">
        <f>VLOOKUP($E251,Inputs!$A$6:$B$13,2,FALSE)*Inputs!$B$2</f>
        <v/>
      </c>
      <c r="T251" s="35">
        <f>$L251*$S251</f>
        <v/>
      </c>
      <c r="U251" s="35">
        <f>$L251+$T251</f>
        <v/>
      </c>
    </row>
    <row r="252">
      <c r="A252" s="3" t="inlineStr">
        <is>
          <t>PKG-10::L-023</t>
        </is>
      </c>
      <c r="B252" s="3" t="inlineStr">
        <is>
          <t>PKG-10</t>
        </is>
      </c>
      <c r="C252" s="3" t="n"/>
      <c r="D252" s="3" t="inlineStr">
        <is>
          <t>L-023</t>
        </is>
      </c>
      <c r="E252" s="3" t="inlineStr">
        <is>
          <t>CD</t>
        </is>
      </c>
      <c r="F252" s="3" t="inlineStr">
        <is>
          <t>PKG-10</t>
        </is>
      </c>
      <c r="G252" s="3" t="n"/>
      <c r="H252" s="3" t="inlineStr">
        <is>
          <t>Coating Touch-Up and Protection</t>
        </is>
      </c>
      <c r="I252" s="22" t="n">
        <v>1</v>
      </c>
      <c r="J252" s="3" t="inlineStr">
        <is>
          <t>LS</t>
        </is>
      </c>
      <c r="K252" s="39" t="n">
        <v>13000</v>
      </c>
      <c r="L252" s="35" t="n">
        <v>13000</v>
      </c>
      <c r="M252" s="3" t="inlineStr">
        <is>
          <t>CAD</t>
        </is>
      </c>
      <c r="N252" s="3" t="inlineStr">
        <is>
          <t>ALLOWANCE</t>
        </is>
      </c>
      <c r="O252" s="3" t="inlineStr">
        <is>
          <t>A-023</t>
        </is>
      </c>
      <c r="P252" s="3" t="inlineStr">
        <is>
          <t>LOW</t>
        </is>
      </c>
      <c r="Q252" s="3" t="inlineStr">
        <is>
          <t>Field coating touch-up post-installation + temporary protection</t>
        </is>
      </c>
      <c r="R252" s="3">
        <f>VLOOKUP($F252,Inputs!$D$6:$E$41,2,FALSE)</f>
        <v/>
      </c>
      <c r="S252" s="36">
        <f>VLOOKUP($E252,Inputs!$A$6:$B$13,2,FALSE)*Inputs!$B$2</f>
        <v/>
      </c>
      <c r="T252" s="35">
        <f>$L252*$S252</f>
        <v/>
      </c>
      <c r="U252" s="35">
        <f>$L252+$T252</f>
        <v/>
      </c>
    </row>
    <row r="253">
      <c r="A253" s="3" t="inlineStr">
        <is>
          <t>PKG-10::L-024</t>
        </is>
      </c>
      <c r="B253" s="3" t="inlineStr">
        <is>
          <t>PKG-10</t>
        </is>
      </c>
      <c r="C253" s="3" t="n"/>
      <c r="D253" s="3" t="inlineStr">
        <is>
          <t>L-024</t>
        </is>
      </c>
      <c r="E253" s="3" t="inlineStr">
        <is>
          <t>CI</t>
        </is>
      </c>
      <c r="F253" s="3" t="inlineStr">
        <is>
          <t>PKG-10</t>
        </is>
      </c>
      <c r="G253" s="3" t="n"/>
      <c r="H253" s="3" t="inlineStr">
        <is>
          <t>Construction Indirects</t>
        </is>
      </c>
      <c r="I253" s="22" t="n">
        <v>1</v>
      </c>
      <c r="J253" s="3" t="inlineStr">
        <is>
          <t>LS</t>
        </is>
      </c>
      <c r="K253" s="39" t="n">
        <v>129000</v>
      </c>
      <c r="L253" s="35" t="n">
        <v>129000</v>
      </c>
      <c r="M253" s="3" t="inlineStr">
        <is>
          <t>CAD</t>
        </is>
      </c>
      <c r="N253" s="3" t="inlineStr">
        <is>
          <t>PARAMETRIC</t>
        </is>
      </c>
      <c r="O253" s="3" t="inlineStr">
        <is>
          <t>D-008 (18% factor on CD)</t>
        </is>
      </c>
      <c r="P253" s="3" t="inlineStr">
        <is>
          <t>MED</t>
        </is>
      </c>
      <c r="Q253" s="3" t="inlineStr">
        <is>
          <t>18% of CD base for supervision + temp facilities + HSE + QA/QC</t>
        </is>
      </c>
      <c r="R253" s="3">
        <f>VLOOKUP($F253,Inputs!$D$6:$E$41,2,FALSE)</f>
        <v/>
      </c>
      <c r="S253" s="36">
        <f>VLOOKUP($E253,Inputs!$A$6:$B$13,2,FALSE)*Inputs!$B$2</f>
        <v/>
      </c>
      <c r="T253" s="35">
        <f>$L253*$S253</f>
        <v/>
      </c>
      <c r="U253" s="35">
        <f>$L253+$T253</f>
        <v/>
      </c>
    </row>
    <row r="254">
      <c r="A254" s="3" t="inlineStr">
        <is>
          <t>PKG-10::L-025</t>
        </is>
      </c>
      <c r="B254" s="3" t="inlineStr">
        <is>
          <t>PKG-10</t>
        </is>
      </c>
      <c r="C254" s="3" t="n"/>
      <c r="D254" s="3" t="inlineStr">
        <is>
          <t>L-025</t>
        </is>
      </c>
      <c r="E254" s="3" t="inlineStr">
        <is>
          <t>P</t>
        </is>
      </c>
      <c r="F254" s="3" t="inlineStr">
        <is>
          <t>PKG-10</t>
        </is>
      </c>
      <c r="G254" s="3" t="n"/>
      <c r="H254" s="3" t="inlineStr">
        <is>
          <t>Procurement Services</t>
        </is>
      </c>
      <c r="I254" s="22" t="n">
        <v>1</v>
      </c>
      <c r="J254" s="3" t="inlineStr">
        <is>
          <t>LS</t>
        </is>
      </c>
      <c r="K254" s="39" t="n">
        <v>51000</v>
      </c>
      <c r="L254" s="35" t="n">
        <v>51000</v>
      </c>
      <c r="M254" s="3" t="inlineStr">
        <is>
          <t>CAD</t>
        </is>
      </c>
      <c r="N254" s="3" t="inlineStr">
        <is>
          <t>PARAMETRIC</t>
        </is>
      </c>
      <c r="O254" s="3" t="inlineStr">
        <is>
          <t>D-008 (2% factor on MAT)</t>
        </is>
      </c>
      <c r="P254" s="3" t="inlineStr">
        <is>
          <t>MED</t>
        </is>
      </c>
      <c r="Q254" s="3" t="inlineStr">
        <is>
          <t>2% of MAT for purchasing + expediting + inspection</t>
        </is>
      </c>
      <c r="R254" s="3">
        <f>VLOOKUP($F254,Inputs!$D$6:$E$41,2,FALSE)</f>
        <v/>
      </c>
      <c r="S254" s="36">
        <f>VLOOKUP($E254,Inputs!$A$6:$B$13,2,FALSE)*Inputs!$B$2</f>
        <v/>
      </c>
      <c r="T254" s="35">
        <f>$L254*$S254</f>
        <v/>
      </c>
      <c r="U254" s="35">
        <f>$L254+$T254</f>
        <v/>
      </c>
    </row>
    <row r="255">
      <c r="A255" s="3" t="inlineStr">
        <is>
          <t>PKG-10::L-026</t>
        </is>
      </c>
      <c r="B255" s="3" t="inlineStr">
        <is>
          <t>PKG-10</t>
        </is>
      </c>
      <c r="C255" s="3" t="n"/>
      <c r="D255" s="3" t="inlineStr">
        <is>
          <t>L-026</t>
        </is>
      </c>
      <c r="E255" s="3" t="inlineStr">
        <is>
          <t>PM</t>
        </is>
      </c>
      <c r="F255" s="3" t="inlineStr">
        <is>
          <t>PKG-10</t>
        </is>
      </c>
      <c r="G255" s="3" t="n"/>
      <c r="H255" s="3" t="inlineStr">
        <is>
          <t>Project Management / EPCM</t>
        </is>
      </c>
      <c r="I255" s="22" t="n">
        <v>1</v>
      </c>
      <c r="J255" s="3" t="inlineStr">
        <is>
          <t>LS</t>
        </is>
      </c>
      <c r="K255" s="39" t="n">
        <v>204000</v>
      </c>
      <c r="L255" s="35" t="n">
        <v>204000</v>
      </c>
      <c r="M255" s="3" t="inlineStr">
        <is>
          <t>CAD</t>
        </is>
      </c>
      <c r="N255" s="3" t="inlineStr">
        <is>
          <t>PARAMETRIC</t>
        </is>
      </c>
      <c r="O255" s="3" t="inlineStr">
        <is>
          <t>D-008 (6% factor)</t>
        </is>
      </c>
      <c r="P255" s="3" t="inlineStr">
        <is>
          <t>MED</t>
        </is>
      </c>
      <c r="Q255" s="3" t="inlineStr">
        <is>
          <t>6% of (CD + CI + MAT) for project management + EPCM</t>
        </is>
      </c>
      <c r="R255" s="3">
        <f>VLOOKUP($F255,Inputs!$D$6:$E$41,2,FALSE)</f>
        <v/>
      </c>
      <c r="S255" s="36">
        <f>VLOOKUP($E255,Inputs!$A$6:$B$13,2,FALSE)*Inputs!$B$2</f>
        <v/>
      </c>
      <c r="T255" s="35">
        <f>$L255*$S255</f>
        <v/>
      </c>
      <c r="U255" s="35">
        <f>$L255+$T255</f>
        <v/>
      </c>
    </row>
    <row r="256">
      <c r="A256" s="3" t="inlineStr">
        <is>
          <t>PKG-10::L-027</t>
        </is>
      </c>
      <c r="B256" s="3" t="inlineStr">
        <is>
          <t>PKG-10</t>
        </is>
      </c>
      <c r="C256" s="3" t="n"/>
      <c r="D256" s="3" t="inlineStr">
        <is>
          <t>L-027</t>
        </is>
      </c>
      <c r="E256" s="3" t="inlineStr">
        <is>
          <t>COM</t>
        </is>
      </c>
      <c r="F256" s="3" t="inlineStr">
        <is>
          <t>PKG-10</t>
        </is>
      </c>
      <c r="G256" s="3" t="n"/>
      <c r="H256" s="3" t="inlineStr">
        <is>
          <t>Unloading Arm FAT and Commissioning (32 units)</t>
        </is>
      </c>
      <c r="I256" s="22" t="n">
        <v>32</v>
      </c>
      <c r="J256" s="3" t="inlineStr">
        <is>
          <t>EA</t>
        </is>
      </c>
      <c r="K256" s="39" t="n">
        <v>1800</v>
      </c>
      <c r="L256" s="35" t="n">
        <v>58000</v>
      </c>
      <c r="M256" s="3" t="inlineStr">
        <is>
          <t>CAD</t>
        </is>
      </c>
      <c r="N256" s="3" t="inlineStr">
        <is>
          <t>ALLOWANCE</t>
        </is>
      </c>
      <c r="O256" s="3" t="inlineStr">
        <is>
          <t>A-024</t>
        </is>
      </c>
      <c r="P256" s="3" t="inlineStr">
        <is>
          <t>LOW</t>
        </is>
      </c>
      <c r="Q256" s="3" t="inlineStr">
        <is>
          <t>Factory acceptance testing + functional testing; ~15 hrs/unit @ $120/hr</t>
        </is>
      </c>
      <c r="R256" s="3">
        <f>VLOOKUP($F256,Inputs!$D$6:$E$41,2,FALSE)</f>
        <v/>
      </c>
      <c r="S256" s="36">
        <f>VLOOKUP($E256,Inputs!$A$6:$B$13,2,FALSE)*Inputs!$B$2</f>
        <v/>
      </c>
      <c r="T256" s="35">
        <f>$L256*$S256</f>
        <v/>
      </c>
      <c r="U256" s="35">
        <f>$L256+$T256</f>
        <v/>
      </c>
    </row>
    <row r="257">
      <c r="A257" s="3" t="inlineStr">
        <is>
          <t>PKG-10::L-028</t>
        </is>
      </c>
      <c r="B257" s="3" t="inlineStr">
        <is>
          <t>PKG-10</t>
        </is>
      </c>
      <c r="C257" s="3" t="n"/>
      <c r="D257" s="3" t="inlineStr">
        <is>
          <t>L-028</t>
        </is>
      </c>
      <c r="E257" s="3" t="inlineStr">
        <is>
          <t>COM</t>
        </is>
      </c>
      <c r="F257" s="3" t="inlineStr">
        <is>
          <t>PKG-10</t>
        </is>
      </c>
      <c r="G257" s="3" t="n"/>
      <c r="H257" s="3" t="inlineStr">
        <is>
          <t>System Integration Testing</t>
        </is>
      </c>
      <c r="I257" s="22" t="n">
        <v>1</v>
      </c>
      <c r="J257" s="3" t="inlineStr">
        <is>
          <t>LS</t>
        </is>
      </c>
      <c r="K257" s="39" t="n">
        <v>28000</v>
      </c>
      <c r="L257" s="35" t="n">
        <v>28000</v>
      </c>
      <c r="M257" s="3" t="inlineStr">
        <is>
          <t>CAD</t>
        </is>
      </c>
      <c r="N257" s="3" t="inlineStr">
        <is>
          <t>ALLOWANCE</t>
        </is>
      </c>
      <c r="O257" s="3" t="inlineStr">
        <is>
          <t>A-025</t>
        </is>
      </c>
      <c r="P257" s="3" t="inlineStr">
        <is>
          <t>LOW</t>
        </is>
      </c>
      <c r="Q257" s="3" t="inlineStr">
        <is>
          <t>Integrated system testing + flow verification + control logic testing</t>
        </is>
      </c>
      <c r="R257" s="3">
        <f>VLOOKUP($F257,Inputs!$D$6:$E$41,2,FALSE)</f>
        <v/>
      </c>
      <c r="S257" s="36">
        <f>VLOOKUP($E257,Inputs!$A$6:$B$13,2,FALSE)*Inputs!$B$2</f>
        <v/>
      </c>
      <c r="T257" s="35">
        <f>$L257*$S257</f>
        <v/>
      </c>
      <c r="U257" s="35">
        <f>$L257+$T257</f>
        <v/>
      </c>
    </row>
    <row r="258">
      <c r="A258" s="3" t="inlineStr">
        <is>
          <t>PKG-10::L-029</t>
        </is>
      </c>
      <c r="B258" s="3" t="inlineStr">
        <is>
          <t>PKG-10</t>
        </is>
      </c>
      <c r="C258" s="3" t="n"/>
      <c r="D258" s="3" t="inlineStr">
        <is>
          <t>L-029</t>
        </is>
      </c>
      <c r="E258" s="3" t="inlineStr">
        <is>
          <t>COM</t>
        </is>
      </c>
      <c r="F258" s="3" t="inlineStr">
        <is>
          <t>PKG-10</t>
        </is>
      </c>
      <c r="G258" s="3" t="n"/>
      <c r="H258" s="3" t="inlineStr">
        <is>
          <t>Performance Testing and Verification</t>
        </is>
      </c>
      <c r="I258" s="22" t="n">
        <v>1</v>
      </c>
      <c r="J258" s="3" t="inlineStr">
        <is>
          <t>LS</t>
        </is>
      </c>
      <c r="K258" s="39" t="n">
        <v>22000</v>
      </c>
      <c r="L258" s="35" t="n">
        <v>22000</v>
      </c>
      <c r="M258" s="3" t="inlineStr">
        <is>
          <t>CAD</t>
        </is>
      </c>
      <c r="N258" s="3" t="inlineStr">
        <is>
          <t>ALLOWANCE</t>
        </is>
      </c>
      <c r="O258" s="3" t="inlineStr">
        <is>
          <t>A-026</t>
        </is>
      </c>
      <c r="P258" s="3" t="inlineStr">
        <is>
          <t>LOW</t>
        </is>
      </c>
      <c r="Q258" s="3" t="inlineStr">
        <is>
          <t>Throughput verification + containment testing + acceptance testing</t>
        </is>
      </c>
      <c r="R258" s="3">
        <f>VLOOKUP($F258,Inputs!$D$6:$E$41,2,FALSE)</f>
        <v/>
      </c>
      <c r="S258" s="36">
        <f>VLOOKUP($E258,Inputs!$A$6:$B$13,2,FALSE)*Inputs!$B$2</f>
        <v/>
      </c>
      <c r="T258" s="35">
        <f>$L258*$S258</f>
        <v/>
      </c>
      <c r="U258" s="35">
        <f>$L258+$T258</f>
        <v/>
      </c>
    </row>
    <row r="259">
      <c r="A259" s="3" t="inlineStr">
        <is>
          <t>PKG-10::L-030</t>
        </is>
      </c>
      <c r="B259" s="3" t="inlineStr">
        <is>
          <t>PKG-10</t>
        </is>
      </c>
      <c r="C259" s="3" t="n"/>
      <c r="D259" s="3" t="inlineStr">
        <is>
          <t>L-030</t>
        </is>
      </c>
      <c r="E259" s="3" t="inlineStr">
        <is>
          <t>COM</t>
        </is>
      </c>
      <c r="F259" s="3" t="inlineStr">
        <is>
          <t>PKG-10</t>
        </is>
      </c>
      <c r="G259" s="3" t="n"/>
      <c r="H259" s="3" t="inlineStr">
        <is>
          <t>Final Inspection and Documentation</t>
        </is>
      </c>
      <c r="I259" s="22" t="n">
        <v>1</v>
      </c>
      <c r="J259" s="3" t="inlineStr">
        <is>
          <t>LS</t>
        </is>
      </c>
      <c r="K259" s="39" t="n">
        <v>14000</v>
      </c>
      <c r="L259" s="35" t="n">
        <v>14000</v>
      </c>
      <c r="M259" s="3" t="inlineStr">
        <is>
          <t>CAD</t>
        </is>
      </c>
      <c r="N259" s="3" t="inlineStr">
        <is>
          <t>ALLOWANCE</t>
        </is>
      </c>
      <c r="O259" s="3" t="inlineStr">
        <is>
          <t>A-027</t>
        </is>
      </c>
      <c r="P259" s="3" t="inlineStr">
        <is>
          <t>LOW</t>
        </is>
      </c>
      <c r="Q259" s="3" t="inlineStr">
        <is>
          <t>Final inspection + punch list + commissioning records + handover</t>
        </is>
      </c>
      <c r="R259" s="3">
        <f>VLOOKUP($F259,Inputs!$D$6:$E$41,2,FALSE)</f>
        <v/>
      </c>
      <c r="S259" s="36">
        <f>VLOOKUP($E259,Inputs!$A$6:$B$13,2,FALSE)*Inputs!$B$2</f>
        <v/>
      </c>
      <c r="T259" s="35">
        <f>$L259*$S259</f>
        <v/>
      </c>
      <c r="U259" s="35">
        <f>$L259+$T259</f>
        <v/>
      </c>
    </row>
    <row r="260">
      <c r="A260" s="3" t="inlineStr">
        <is>
          <t>PKG-11::L001</t>
        </is>
      </c>
      <c r="B260" s="3" t="inlineStr">
        <is>
          <t>PKG-11</t>
        </is>
      </c>
      <c r="C260" s="3" t="inlineStr">
        <is>
          <t>DEL-11.01</t>
        </is>
      </c>
      <c r="D260" s="3" t="inlineStr">
        <is>
          <t>L001</t>
        </is>
      </c>
      <c r="E260" s="3" t="inlineStr">
        <is>
          <t>E</t>
        </is>
      </c>
      <c r="F260" s="3" t="inlineStr">
        <is>
          <t>PKG-11</t>
        </is>
      </c>
      <c r="G260" s="3" t="inlineStr">
        <is>
          <t>DEL-11.01</t>
        </is>
      </c>
      <c r="H260" s="3" t="inlineStr">
        <is>
          <t>Marine Loading Design Drawing Set - CAD drafting (loading arm GA double-walled pipe arrangement leak detection layout operator shelter)</t>
        </is>
      </c>
      <c r="I260" s="22" t="n">
        <v>1</v>
      </c>
      <c r="J260" s="3" t="inlineStr">
        <is>
          <t>LS</t>
        </is>
      </c>
      <c r="K260" s="39" t="n">
        <v>45000</v>
      </c>
      <c r="L260" s="35" t="n">
        <v>45000</v>
      </c>
      <c r="M260" s="3" t="inlineStr">
        <is>
          <t>CAD</t>
        </is>
      </c>
      <c r="N260" s="3" t="inlineStr">
        <is>
          <t>ALLOWANCE</t>
        </is>
      </c>
      <c r="O260" s="3" t="inlineStr">
        <is>
          <t>A-007</t>
        </is>
      </c>
      <c r="P260" s="3" t="inlineStr">
        <is>
          <t>LOW</t>
        </is>
      </c>
      <c r="Q260" s="3" t="inlineStr">
        <is>
          <t>~12-15 sheets at $3k/sheet average for process/mechanical</t>
        </is>
      </c>
      <c r="R260" s="3">
        <f>VLOOKUP($F260,Inputs!$D$6:$E$41,2,FALSE)</f>
        <v/>
      </c>
      <c r="S260" s="36">
        <f>VLOOKUP($E260,Inputs!$A$6:$B$13,2,FALSE)*Inputs!$B$2</f>
        <v/>
      </c>
      <c r="T260" s="35">
        <f>$L260*$S260</f>
        <v/>
      </c>
      <c r="U260" s="35">
        <f>$L260+$T260</f>
        <v/>
      </c>
    </row>
    <row r="261">
      <c r="A261" s="3" t="inlineStr">
        <is>
          <t>PKG-11::L002</t>
        </is>
      </c>
      <c r="B261" s="3" t="inlineStr">
        <is>
          <t>PKG-11</t>
        </is>
      </c>
      <c r="C261" s="3" t="inlineStr">
        <is>
          <t>DEL-11.02</t>
        </is>
      </c>
      <c r="D261" s="3" t="inlineStr">
        <is>
          <t>L002</t>
        </is>
      </c>
      <c r="E261" s="3" t="inlineStr">
        <is>
          <t>E</t>
        </is>
      </c>
      <c r="F261" s="3" t="inlineStr">
        <is>
          <t>PKG-11</t>
        </is>
      </c>
      <c r="G261" s="3" t="inlineStr">
        <is>
          <t>DEL-11.02</t>
        </is>
      </c>
      <c r="H261" s="3" t="inlineStr">
        <is>
          <t>Marine Loading Technical Specification - specification writing (loading arm double-walled pipe leak detection nitrogen operator shelter)</t>
        </is>
      </c>
      <c r="I261" s="22" t="n">
        <v>1</v>
      </c>
      <c r="J261" s="3" t="inlineStr">
        <is>
          <t>LS</t>
        </is>
      </c>
      <c r="K261" s="39" t="n">
        <v>25000</v>
      </c>
      <c r="L261" s="35" t="n">
        <v>25000</v>
      </c>
      <c r="M261" s="3" t="inlineStr">
        <is>
          <t>CAD</t>
        </is>
      </c>
      <c r="N261" s="3" t="inlineStr">
        <is>
          <t>ALLOWANCE</t>
        </is>
      </c>
      <c r="O261" s="3" t="inlineStr">
        <is>
          <t>A-008</t>
        </is>
      </c>
      <c r="P261" s="3" t="inlineStr">
        <is>
          <t>LOW</t>
        </is>
      </c>
      <c r="Q261" s="3" t="inlineStr">
        <is>
          <t>~100-120 hours at $200/hr for process specialist</t>
        </is>
      </c>
      <c r="R261" s="3">
        <f>VLOOKUP($F261,Inputs!$D$6:$E$41,2,FALSE)</f>
        <v/>
      </c>
      <c r="S261" s="36">
        <f>VLOOKUP($E261,Inputs!$A$6:$B$13,2,FALSE)*Inputs!$B$2</f>
        <v/>
      </c>
      <c r="T261" s="35">
        <f>$L261*$S261</f>
        <v/>
      </c>
      <c r="U261" s="35">
        <f>$L261+$T261</f>
        <v/>
      </c>
    </row>
    <row r="262">
      <c r="A262" s="3" t="inlineStr">
        <is>
          <t>PKG-11::L003</t>
        </is>
      </c>
      <c r="B262" s="3" t="inlineStr">
        <is>
          <t>PKG-11</t>
        </is>
      </c>
      <c r="C262" s="3" t="inlineStr">
        <is>
          <t>DEL-11.03</t>
        </is>
      </c>
      <c r="D262" s="3" t="inlineStr">
        <is>
          <t>L003</t>
        </is>
      </c>
      <c r="E262" s="3" t="inlineStr">
        <is>
          <t>E</t>
        </is>
      </c>
      <c r="F262" s="3" t="inlineStr">
        <is>
          <t>PKG-11</t>
        </is>
      </c>
      <c r="G262" s="3" t="inlineStr">
        <is>
          <t>DEL-11.03</t>
        </is>
      </c>
      <c r="H262" s="3" t="inlineStr">
        <is>
          <t>Marine Loading Design Calculations - envelope calcs drainage calcs nitrogen purge calcs</t>
        </is>
      </c>
      <c r="I262" s="22" t="n">
        <v>1</v>
      </c>
      <c r="J262" s="3" t="inlineStr">
        <is>
          <t>LS</t>
        </is>
      </c>
      <c r="K262" s="39" t="n">
        <v>20000</v>
      </c>
      <c r="L262" s="35" t="n">
        <v>20000</v>
      </c>
      <c r="M262" s="3" t="inlineStr">
        <is>
          <t>CAD</t>
        </is>
      </c>
      <c r="N262" s="3" t="inlineStr">
        <is>
          <t>ALLOWANCE</t>
        </is>
      </c>
      <c r="O262" s="3" t="inlineStr">
        <is>
          <t>A-009</t>
        </is>
      </c>
      <c r="P262" s="3" t="inlineStr">
        <is>
          <t>LOW</t>
        </is>
      </c>
      <c r="Q262" s="3" t="inlineStr">
        <is>
          <t>~80 hours at $250/hr for process engineer</t>
        </is>
      </c>
      <c r="R262" s="3">
        <f>VLOOKUP($F262,Inputs!$D$6:$E$41,2,FALSE)</f>
        <v/>
      </c>
      <c r="S262" s="36">
        <f>VLOOKUP($E262,Inputs!$A$6:$B$13,2,FALSE)*Inputs!$B$2</f>
        <v/>
      </c>
      <c r="T262" s="35">
        <f>$L262*$S262</f>
        <v/>
      </c>
      <c r="U262" s="35">
        <f>$L262+$T262</f>
        <v/>
      </c>
    </row>
    <row r="263">
      <c r="A263" s="3" t="inlineStr">
        <is>
          <t>PKG-11::L004</t>
        </is>
      </c>
      <c r="B263" s="3" t="inlineStr">
        <is>
          <t>PKG-11</t>
        </is>
      </c>
      <c r="C263" s="3" t="inlineStr">
        <is>
          <t>DEL-11.04</t>
        </is>
      </c>
      <c r="D263" s="3" t="inlineStr">
        <is>
          <t>L004</t>
        </is>
      </c>
      <c r="E263" s="3" t="inlineStr">
        <is>
          <t>E</t>
        </is>
      </c>
      <c r="F263" s="3" t="inlineStr">
        <is>
          <t>PKG-11</t>
        </is>
      </c>
      <c r="G263" s="3" t="inlineStr">
        <is>
          <t>DEL-11.04</t>
        </is>
      </c>
      <c r="H263" s="3" t="inlineStr">
        <is>
          <t>Marine Loading Data Sheet Package - equipment datasheets (loading arm leak detection sump pump)</t>
        </is>
      </c>
      <c r="I263" s="22" t="n">
        <v>1</v>
      </c>
      <c r="J263" s="3" t="inlineStr">
        <is>
          <t>LS</t>
        </is>
      </c>
      <c r="K263" s="39" t="n">
        <v>8000</v>
      </c>
      <c r="L263" s="35" t="n">
        <v>8000</v>
      </c>
      <c r="M263" s="3" t="inlineStr">
        <is>
          <t>CAD</t>
        </is>
      </c>
      <c r="N263" s="3" t="inlineStr">
        <is>
          <t>ALLOWANCE</t>
        </is>
      </c>
      <c r="O263" s="3" t="inlineStr">
        <is>
          <t>A-010</t>
        </is>
      </c>
      <c r="P263" s="3" t="inlineStr">
        <is>
          <t>LOW</t>
        </is>
      </c>
      <c r="Q263" s="3" t="inlineStr">
        <is>
          <t>~40 hours at $200/hr</t>
        </is>
      </c>
      <c r="R263" s="3">
        <f>VLOOKUP($F263,Inputs!$D$6:$E$41,2,FALSE)</f>
        <v/>
      </c>
      <c r="S263" s="36">
        <f>VLOOKUP($E263,Inputs!$A$6:$B$13,2,FALSE)*Inputs!$B$2</f>
        <v/>
      </c>
      <c r="T263" s="35">
        <f>$L263*$S263</f>
        <v/>
      </c>
      <c r="U263" s="35">
        <f>$L263+$T263</f>
        <v/>
      </c>
    </row>
    <row r="264">
      <c r="A264" s="3" t="inlineStr">
        <is>
          <t>PKG-11::L005</t>
        </is>
      </c>
      <c r="B264" s="3" t="inlineStr">
        <is>
          <t>PKG-11</t>
        </is>
      </c>
      <c r="C264" s="3" t="inlineStr">
        <is>
          <t>DEL-11.05</t>
        </is>
      </c>
      <c r="D264" s="3" t="inlineStr">
        <is>
          <t>L005</t>
        </is>
      </c>
      <c r="E264" s="3" t="inlineStr">
        <is>
          <t>E</t>
        </is>
      </c>
      <c r="F264" s="3" t="inlineStr">
        <is>
          <t>PKG-11</t>
        </is>
      </c>
      <c r="G264" s="3" t="inlineStr">
        <is>
          <t>DEL-11.05</t>
        </is>
      </c>
      <c r="H264" s="3" t="inlineStr">
        <is>
          <t>Marine Loading Installation &amp; Test Records - test procedures test record compilation</t>
        </is>
      </c>
      <c r="I264" s="22" t="n">
        <v>1</v>
      </c>
      <c r="J264" s="3" t="inlineStr">
        <is>
          <t>LS</t>
        </is>
      </c>
      <c r="K264" s="39" t="n">
        <v>15000</v>
      </c>
      <c r="L264" s="35" t="n">
        <v>15000</v>
      </c>
      <c r="M264" s="3" t="inlineStr">
        <is>
          <t>CAD</t>
        </is>
      </c>
      <c r="N264" s="3" t="inlineStr">
        <is>
          <t>ALLOWANCE</t>
        </is>
      </c>
      <c r="O264" s="3" t="inlineStr">
        <is>
          <t>A-011</t>
        </is>
      </c>
      <c r="P264" s="3" t="inlineStr">
        <is>
          <t>LOW</t>
        </is>
      </c>
      <c r="Q264" s="3" t="inlineStr">
        <is>
          <t>~60 hours at $250/hr QA/QC</t>
        </is>
      </c>
      <c r="R264" s="3">
        <f>VLOOKUP($F264,Inputs!$D$6:$E$41,2,FALSE)</f>
        <v/>
      </c>
      <c r="S264" s="36">
        <f>VLOOKUP($E264,Inputs!$A$6:$B$13,2,FALSE)*Inputs!$B$2</f>
        <v/>
      </c>
      <c r="T264" s="35">
        <f>$L264*$S264</f>
        <v/>
      </c>
      <c r="U264" s="35">
        <f>$L264+$T264</f>
        <v/>
      </c>
    </row>
    <row r="265">
      <c r="A265" s="3" t="inlineStr">
        <is>
          <t>PKG-11::L006</t>
        </is>
      </c>
      <c r="B265" s="3" t="inlineStr">
        <is>
          <t>PKG-11</t>
        </is>
      </c>
      <c r="C265" s="3" t="inlineStr">
        <is>
          <t>DEL-11.06</t>
        </is>
      </c>
      <c r="D265" s="3" t="inlineStr">
        <is>
          <t>L006</t>
        </is>
      </c>
      <c r="E265" s="3" t="inlineStr">
        <is>
          <t>E</t>
        </is>
      </c>
      <c r="F265" s="3" t="inlineStr">
        <is>
          <t>PKG-11</t>
        </is>
      </c>
      <c r="G265" s="3" t="inlineStr">
        <is>
          <t>DEL-11.06</t>
        </is>
      </c>
      <c r="H265" s="3" t="inlineStr">
        <is>
          <t>Marine Loading Arm OEM Qualification Package - vendor qualification review compliance assessment</t>
        </is>
      </c>
      <c r="I265" s="22" t="n">
        <v>1</v>
      </c>
      <c r="J265" s="3" t="inlineStr">
        <is>
          <t>LS</t>
        </is>
      </c>
      <c r="K265" s="39" t="n">
        <v>12000</v>
      </c>
      <c r="L265" s="35" t="n">
        <v>12000</v>
      </c>
      <c r="M265" s="3" t="inlineStr">
        <is>
          <t>CAD</t>
        </is>
      </c>
      <c r="N265" s="3" t="inlineStr">
        <is>
          <t>ALLOWANCE</t>
        </is>
      </c>
      <c r="O265" s="3" t="inlineStr">
        <is>
          <t>A-012</t>
        </is>
      </c>
      <c r="P265" s="3" t="inlineStr">
        <is>
          <t>LOW</t>
        </is>
      </c>
      <c r="Q265" s="3" t="inlineStr">
        <is>
          <t>~60 hours at $200/hr</t>
        </is>
      </c>
      <c r="R265" s="3">
        <f>VLOOKUP($F265,Inputs!$D$6:$E$41,2,FALSE)</f>
        <v/>
      </c>
      <c r="S265" s="36">
        <f>VLOOKUP($E265,Inputs!$A$6:$B$13,2,FALSE)*Inputs!$B$2</f>
        <v/>
      </c>
      <c r="T265" s="35">
        <f>$L265*$S265</f>
        <v/>
      </c>
      <c r="U265" s="35">
        <f>$L265+$T265</f>
        <v/>
      </c>
    </row>
    <row r="266">
      <c r="A266" s="3" t="inlineStr">
        <is>
          <t>PKG-11::L007</t>
        </is>
      </c>
      <c r="B266" s="3" t="inlineStr">
        <is>
          <t>PKG-11</t>
        </is>
      </c>
      <c r="C266" s="3" t="n"/>
      <c r="D266" s="3" t="inlineStr">
        <is>
          <t>L007</t>
        </is>
      </c>
      <c r="E266" s="3" t="inlineStr">
        <is>
          <t>MAT</t>
        </is>
      </c>
      <c r="F266" s="3" t="inlineStr">
        <is>
          <t>PKG-11</t>
        </is>
      </c>
      <c r="G266" s="3" t="n"/>
      <c r="H266" s="3" t="inlineStr">
        <is>
          <t>Marine Loading Arm - powered articulated boom with ERC hydraulics controls (OCIMF compliant)</t>
        </is>
      </c>
      <c r="I266" s="22" t="n">
        <v>1</v>
      </c>
      <c r="J266" s="3" t="inlineStr">
        <is>
          <t>LS</t>
        </is>
      </c>
      <c r="K266" s="39" t="n">
        <v>950000</v>
      </c>
      <c r="L266" s="35" t="n">
        <v>950000</v>
      </c>
      <c r="M266" s="3" t="inlineStr">
        <is>
          <t>CAD</t>
        </is>
      </c>
      <c r="N266" s="3" t="inlineStr">
        <is>
          <t>ALLOWANCE</t>
        </is>
      </c>
      <c r="O266" s="3" t="inlineStr">
        <is>
          <t>A-001</t>
        </is>
      </c>
      <c r="P266" s="3" t="inlineStr">
        <is>
          <t>LOW</t>
        </is>
      </c>
      <c r="Q266" s="3" t="inlineStr">
        <is>
          <t>Typical 12-16 inch arm with ERC for vegetable oil service</t>
        </is>
      </c>
      <c r="R266" s="3">
        <f>VLOOKUP($F266,Inputs!$D$6:$E$41,2,FALSE)</f>
        <v/>
      </c>
      <c r="S266" s="36">
        <f>VLOOKUP($E266,Inputs!$A$6:$B$13,2,FALSE)*Inputs!$B$2</f>
        <v/>
      </c>
      <c r="T266" s="35">
        <f>$L266*$S266</f>
        <v/>
      </c>
      <c r="U266" s="35">
        <f>$L266+$T266</f>
        <v/>
      </c>
    </row>
    <row r="267">
      <c r="A267" s="3" t="inlineStr">
        <is>
          <t>PKG-11::L008</t>
        </is>
      </c>
      <c r="B267" s="3" t="inlineStr">
        <is>
          <t>PKG-11</t>
        </is>
      </c>
      <c r="C267" s="3" t="n"/>
      <c r="D267" s="3" t="inlineStr">
        <is>
          <t>L008</t>
        </is>
      </c>
      <c r="E267" s="3" t="inlineStr">
        <is>
          <t>MAT</t>
        </is>
      </c>
      <c r="F267" s="3" t="inlineStr">
        <is>
          <t>PKG-11</t>
        </is>
      </c>
      <c r="G267" s="3" t="n"/>
      <c r="H267" s="3" t="inlineStr">
        <is>
          <t>Double-Walled Export Pipe Supply - carbon steel inner/outer 12-inch nominal (~150 lm)</t>
        </is>
      </c>
      <c r="I267" s="22" t="n">
        <v>1</v>
      </c>
      <c r="J267" s="3" t="inlineStr">
        <is>
          <t>LS</t>
        </is>
      </c>
      <c r="K267" s="39" t="n">
        <v>225000</v>
      </c>
      <c r="L267" s="35" t="n">
        <v>225000</v>
      </c>
      <c r="M267" s="3" t="inlineStr">
        <is>
          <t>CAD</t>
        </is>
      </c>
      <c r="N267" s="3" t="inlineStr">
        <is>
          <t>ALLOWANCE</t>
        </is>
      </c>
      <c r="O267" s="3" t="inlineStr">
        <is>
          <t>A-002</t>
        </is>
      </c>
      <c r="P267" s="3" t="inlineStr">
        <is>
          <t>LOW</t>
        </is>
      </c>
      <c r="Q267" s="3" t="inlineStr">
        <is>
          <t>~$1500/lm for double-walled construction with leak detection taps</t>
        </is>
      </c>
      <c r="R267" s="3">
        <f>VLOOKUP($F267,Inputs!$D$6:$E$41,2,FALSE)</f>
        <v/>
      </c>
      <c r="S267" s="36">
        <f>VLOOKUP($E267,Inputs!$A$6:$B$13,2,FALSE)*Inputs!$B$2</f>
        <v/>
      </c>
      <c r="T267" s="35">
        <f>$L267*$S267</f>
        <v/>
      </c>
      <c r="U267" s="35">
        <f>$L267+$T267</f>
        <v/>
      </c>
    </row>
    <row r="268">
      <c r="A268" s="3" t="inlineStr">
        <is>
          <t>PKG-11::L009</t>
        </is>
      </c>
      <c r="B268" s="3" t="inlineStr">
        <is>
          <t>PKG-11</t>
        </is>
      </c>
      <c r="C268" s="3" t="n"/>
      <c r="D268" s="3" t="inlineStr">
        <is>
          <t>L009</t>
        </is>
      </c>
      <c r="E268" s="3" t="inlineStr">
        <is>
          <t>MAT</t>
        </is>
      </c>
      <c r="F268" s="3" t="inlineStr">
        <is>
          <t>PKG-11</t>
        </is>
      </c>
      <c r="G268" s="3" t="n"/>
      <c r="H268" s="3" t="inlineStr">
        <is>
          <t>Leak Detection System - annulus monitoring drip tray sensors sump level switches control panel</t>
        </is>
      </c>
      <c r="I268" s="22" t="n">
        <v>1</v>
      </c>
      <c r="J268" s="3" t="inlineStr">
        <is>
          <t>LS</t>
        </is>
      </c>
      <c r="K268" s="39" t="n">
        <v>85000</v>
      </c>
      <c r="L268" s="35" t="n">
        <v>85000</v>
      </c>
      <c r="M268" s="3" t="inlineStr">
        <is>
          <t>CAD</t>
        </is>
      </c>
      <c r="N268" s="3" t="inlineStr">
        <is>
          <t>ALLOWANCE</t>
        </is>
      </c>
      <c r="O268" s="3" t="inlineStr">
        <is>
          <t>A-003</t>
        </is>
      </c>
      <c r="P268" s="3" t="inlineStr">
        <is>
          <t>LOW</t>
        </is>
      </c>
      <c r="Q268" s="3" t="inlineStr">
        <is>
          <t>Complete system with 3-zone coverage</t>
        </is>
      </c>
      <c r="R268" s="3">
        <f>VLOOKUP($F268,Inputs!$D$6:$E$41,2,FALSE)</f>
        <v/>
      </c>
      <c r="S268" s="36">
        <f>VLOOKUP($E268,Inputs!$A$6:$B$13,2,FALSE)*Inputs!$B$2</f>
        <v/>
      </c>
      <c r="T268" s="35">
        <f>$L268*$S268</f>
        <v/>
      </c>
      <c r="U268" s="35">
        <f>$L268+$T268</f>
        <v/>
      </c>
    </row>
    <row r="269">
      <c r="A269" s="3" t="inlineStr">
        <is>
          <t>PKG-11::L010</t>
        </is>
      </c>
      <c r="B269" s="3" t="inlineStr">
        <is>
          <t>PKG-11</t>
        </is>
      </c>
      <c r="C269" s="3" t="n"/>
      <c r="D269" s="3" t="inlineStr">
        <is>
          <t>L010</t>
        </is>
      </c>
      <c r="E269" s="3" t="inlineStr">
        <is>
          <t>MAT</t>
        </is>
      </c>
      <c r="F269" s="3" t="inlineStr">
        <is>
          <t>PKG-11</t>
        </is>
      </c>
      <c r="G269" s="3" t="n"/>
      <c r="H269" s="3" t="inlineStr">
        <is>
          <t>Sump Pump Package - submersible pump stainless steel motor starter</t>
        </is>
      </c>
      <c r="I269" s="22" t="n">
        <v>1</v>
      </c>
      <c r="J269" s="3" t="inlineStr">
        <is>
          <t>LS</t>
        </is>
      </c>
      <c r="K269" s="39" t="n">
        <v>25000</v>
      </c>
      <c r="L269" s="35" t="n">
        <v>25000</v>
      </c>
      <c r="M269" s="3" t="inlineStr">
        <is>
          <t>CAD</t>
        </is>
      </c>
      <c r="N269" s="3" t="inlineStr">
        <is>
          <t>ALLOWANCE</t>
        </is>
      </c>
      <c r="O269" s="3" t="inlineStr">
        <is>
          <t>A-004</t>
        </is>
      </c>
      <c r="P269" s="3" t="inlineStr">
        <is>
          <t>LOW</t>
        </is>
      </c>
      <c r="Q269" s="3" t="inlineStr">
        <is>
          <t>5 HP typical for containment sump</t>
        </is>
      </c>
      <c r="R269" s="3">
        <f>VLOOKUP($F269,Inputs!$D$6:$E$41,2,FALSE)</f>
        <v/>
      </c>
      <c r="S269" s="36">
        <f>VLOOKUP($E269,Inputs!$A$6:$B$13,2,FALSE)*Inputs!$B$2</f>
        <v/>
      </c>
      <c r="T269" s="35">
        <f>$L269*$S269</f>
        <v/>
      </c>
      <c r="U269" s="35">
        <f>$L269+$T269</f>
        <v/>
      </c>
    </row>
    <row r="270">
      <c r="A270" s="3" t="inlineStr">
        <is>
          <t>PKG-11::L011</t>
        </is>
      </c>
      <c r="B270" s="3" t="inlineStr">
        <is>
          <t>PKG-11</t>
        </is>
      </c>
      <c r="C270" s="3" t="n"/>
      <c r="D270" s="3" t="inlineStr">
        <is>
          <t>L011</t>
        </is>
      </c>
      <c r="E270" s="3" t="inlineStr">
        <is>
          <t>MAT</t>
        </is>
      </c>
      <c r="F270" s="3" t="inlineStr">
        <is>
          <t>PKG-11</t>
        </is>
      </c>
      <c r="G270" s="3" t="n"/>
      <c r="H270" s="3" t="inlineStr">
        <is>
          <t>Operator Shelter - prefabricated weather shelter with HVAC lighting electrical panels</t>
        </is>
      </c>
      <c r="I270" s="22" t="n">
        <v>1</v>
      </c>
      <c r="J270" s="3" t="inlineStr">
        <is>
          <t>LS</t>
        </is>
      </c>
      <c r="K270" s="39" t="n">
        <v>75000</v>
      </c>
      <c r="L270" s="35" t="n">
        <v>75000</v>
      </c>
      <c r="M270" s="3" t="inlineStr">
        <is>
          <t>CAD</t>
        </is>
      </c>
      <c r="N270" s="3" t="inlineStr">
        <is>
          <t>ALLOWANCE</t>
        </is>
      </c>
      <c r="O270" s="3" t="inlineStr">
        <is>
          <t>A-005</t>
        </is>
      </c>
      <c r="P270" s="3" t="inlineStr">
        <is>
          <t>LOW</t>
        </is>
      </c>
      <c r="Q270" s="3" t="inlineStr">
        <is>
          <t>Typical 3m x 4m insulated shelter</t>
        </is>
      </c>
      <c r="R270" s="3">
        <f>VLOOKUP($F270,Inputs!$D$6:$E$41,2,FALSE)</f>
        <v/>
      </c>
      <c r="S270" s="36">
        <f>VLOOKUP($E270,Inputs!$A$6:$B$13,2,FALSE)*Inputs!$B$2</f>
        <v/>
      </c>
      <c r="T270" s="35">
        <f>$L270*$S270</f>
        <v/>
      </c>
      <c r="U270" s="35">
        <f>$L270+$T270</f>
        <v/>
      </c>
    </row>
    <row r="271">
      <c r="A271" s="3" t="inlineStr">
        <is>
          <t>PKG-11::L012</t>
        </is>
      </c>
      <c r="B271" s="3" t="inlineStr">
        <is>
          <t>PKG-11</t>
        </is>
      </c>
      <c r="C271" s="3" t="n"/>
      <c r="D271" s="3" t="inlineStr">
        <is>
          <t>L012</t>
        </is>
      </c>
      <c r="E271" s="3" t="inlineStr">
        <is>
          <t>MAT</t>
        </is>
      </c>
      <c r="F271" s="3" t="inlineStr">
        <is>
          <t>PKG-11</t>
        </is>
      </c>
      <c r="G271" s="3" t="n"/>
      <c r="H271" s="3" t="inlineStr">
        <is>
          <t>Nitrogen Connection Package - valves piping pressure regulation to Employer skid</t>
        </is>
      </c>
      <c r="I271" s="22" t="n">
        <v>1</v>
      </c>
      <c r="J271" s="3" t="inlineStr">
        <is>
          <t>LS</t>
        </is>
      </c>
      <c r="K271" s="39" t="n">
        <v>15000</v>
      </c>
      <c r="L271" s="35" t="n">
        <v>15000</v>
      </c>
      <c r="M271" s="3" t="inlineStr">
        <is>
          <t>CAD</t>
        </is>
      </c>
      <c r="N271" s="3" t="inlineStr">
        <is>
          <t>ALLOWANCE</t>
        </is>
      </c>
      <c r="O271" s="3" t="inlineStr">
        <is>
          <t>A-006</t>
        </is>
      </c>
      <c r="P271" s="3" t="inlineStr">
        <is>
          <t>LOW</t>
        </is>
      </c>
      <c r="Q271" s="3" t="inlineStr">
        <is>
          <t>Connection components only (skid by Employer per DEC-07)</t>
        </is>
      </c>
      <c r="R271" s="3">
        <f>VLOOKUP($F271,Inputs!$D$6:$E$41,2,FALSE)</f>
        <v/>
      </c>
      <c r="S271" s="36">
        <f>VLOOKUP($E271,Inputs!$A$6:$B$13,2,FALSE)*Inputs!$B$2</f>
        <v/>
      </c>
      <c r="T271" s="35">
        <f>$L271*$S271</f>
        <v/>
      </c>
      <c r="U271" s="35">
        <f>$L271+$T271</f>
        <v/>
      </c>
    </row>
    <row r="272">
      <c r="A272" s="3" t="inlineStr">
        <is>
          <t>PKG-11::L013</t>
        </is>
      </c>
      <c r="B272" s="3" t="inlineStr">
        <is>
          <t>PKG-11</t>
        </is>
      </c>
      <c r="C272" s="3" t="n"/>
      <c r="D272" s="3" t="inlineStr">
        <is>
          <t>L013</t>
        </is>
      </c>
      <c r="E272" s="3" t="inlineStr">
        <is>
          <t>MAT</t>
        </is>
      </c>
      <c r="F272" s="3" t="inlineStr">
        <is>
          <t>PKG-11</t>
        </is>
      </c>
      <c r="G272" s="3" t="n"/>
      <c r="H272" s="3" t="inlineStr">
        <is>
          <t>Pipe Supports and Expansion - double-walled pipe supports expansion loops/joints</t>
        </is>
      </c>
      <c r="I272" s="22" t="n">
        <v>1</v>
      </c>
      <c r="J272" s="3" t="inlineStr">
        <is>
          <t>LS</t>
        </is>
      </c>
      <c r="K272" s="39" t="n">
        <v>45000</v>
      </c>
      <c r="L272" s="35" t="n">
        <v>45000</v>
      </c>
      <c r="M272" s="3" t="inlineStr">
        <is>
          <t>CAD</t>
        </is>
      </c>
      <c r="N272" s="3" t="inlineStr">
        <is>
          <t>ALLOWANCE</t>
        </is>
      </c>
      <c r="O272" s="3" t="inlineStr">
        <is>
          <t>A-013</t>
        </is>
      </c>
      <c r="P272" s="3" t="inlineStr">
        <is>
          <t>LOW</t>
        </is>
      </c>
      <c r="Q272" s="3" t="inlineStr">
        <is>
          <t>~$300/lm for support steelwork</t>
        </is>
      </c>
      <c r="R272" s="3">
        <f>VLOOKUP($F272,Inputs!$D$6:$E$41,2,FALSE)</f>
        <v/>
      </c>
      <c r="S272" s="36">
        <f>VLOOKUP($E272,Inputs!$A$6:$B$13,2,FALSE)*Inputs!$B$2</f>
        <v/>
      </c>
      <c r="T272" s="35">
        <f>$L272*$S272</f>
        <v/>
      </c>
      <c r="U272" s="35">
        <f>$L272+$T272</f>
        <v/>
      </c>
    </row>
    <row r="273">
      <c r="A273" s="3" t="inlineStr">
        <is>
          <t>PKG-11::L014</t>
        </is>
      </c>
      <c r="B273" s="3" t="inlineStr">
        <is>
          <t>PKG-11</t>
        </is>
      </c>
      <c r="C273" s="3" t="n"/>
      <c r="D273" s="3" t="inlineStr">
        <is>
          <t>L014</t>
        </is>
      </c>
      <c r="E273" s="3" t="inlineStr">
        <is>
          <t>MAT</t>
        </is>
      </c>
      <c r="F273" s="3" t="inlineStr">
        <is>
          <t>PKG-11</t>
        </is>
      </c>
      <c r="G273" s="3" t="n"/>
      <c r="H273" s="3" t="inlineStr">
        <is>
          <t>Electrical and Instrumentation Materials - cables trays junction boxes terminations for PKG-11 scope</t>
        </is>
      </c>
      <c r="I273" s="22" t="n">
        <v>1</v>
      </c>
      <c r="J273" s="3" t="inlineStr">
        <is>
          <t>LS</t>
        </is>
      </c>
      <c r="K273" s="39" t="n">
        <v>65000</v>
      </c>
      <c r="L273" s="35" t="n">
        <v>65000</v>
      </c>
      <c r="M273" s="3" t="inlineStr">
        <is>
          <t>CAD</t>
        </is>
      </c>
      <c r="N273" s="3" t="inlineStr">
        <is>
          <t>ALLOWANCE</t>
        </is>
      </c>
      <c r="O273" s="3" t="inlineStr">
        <is>
          <t>A-014</t>
        </is>
      </c>
      <c r="P273" s="3" t="inlineStr">
        <is>
          <t>LOW</t>
        </is>
      </c>
      <c r="Q273" s="3" t="inlineStr">
        <is>
          <t>E&amp;I materials for loading arm and leak detection</t>
        </is>
      </c>
      <c r="R273" s="3">
        <f>VLOOKUP($F273,Inputs!$D$6:$E$41,2,FALSE)</f>
        <v/>
      </c>
      <c r="S273" s="36">
        <f>VLOOKUP($E273,Inputs!$A$6:$B$13,2,FALSE)*Inputs!$B$2</f>
        <v/>
      </c>
      <c r="T273" s="35">
        <f>$L273*$S273</f>
        <v/>
      </c>
      <c r="U273" s="35">
        <f>$L273+$T273</f>
        <v/>
      </c>
    </row>
    <row r="274">
      <c r="A274" s="3" t="inlineStr">
        <is>
          <t>PKG-11::L015</t>
        </is>
      </c>
      <c r="B274" s="3" t="inlineStr">
        <is>
          <t>PKG-11</t>
        </is>
      </c>
      <c r="C274" s="3" t="n"/>
      <c r="D274" s="3" t="inlineStr">
        <is>
          <t>L015</t>
        </is>
      </c>
      <c r="E274" s="3" t="inlineStr">
        <is>
          <t>CD</t>
        </is>
      </c>
      <c r="F274" s="3" t="inlineStr">
        <is>
          <t>PKG-11</t>
        </is>
      </c>
      <c r="G274" s="3" t="n"/>
      <c r="H274" s="3" t="inlineStr">
        <is>
          <t>Marine Loading Arm Installation - rigging setting alignment grouting hydraulic connection</t>
        </is>
      </c>
      <c r="I274" s="22" t="n">
        <v>1</v>
      </c>
      <c r="J274" s="3" t="inlineStr">
        <is>
          <t>LS</t>
        </is>
      </c>
      <c r="K274" s="39" t="n">
        <v>120000</v>
      </c>
      <c r="L274" s="35" t="n">
        <v>120000</v>
      </c>
      <c r="M274" s="3" t="inlineStr">
        <is>
          <t>CAD</t>
        </is>
      </c>
      <c r="N274" s="3" t="inlineStr">
        <is>
          <t>ALLOWANCE</t>
        </is>
      </c>
      <c r="O274" s="3" t="inlineStr">
        <is>
          <t>A-001</t>
        </is>
      </c>
      <c r="P274" s="3" t="inlineStr">
        <is>
          <t>LOW</t>
        </is>
      </c>
      <c r="Q274" s="3" t="inlineStr">
        <is>
          <t>Heavy lift marine installation; crane barge may be required</t>
        </is>
      </c>
      <c r="R274" s="3">
        <f>VLOOKUP($F274,Inputs!$D$6:$E$41,2,FALSE)</f>
        <v/>
      </c>
      <c r="S274" s="36">
        <f>VLOOKUP($E274,Inputs!$A$6:$B$13,2,FALSE)*Inputs!$B$2</f>
        <v/>
      </c>
      <c r="T274" s="35">
        <f>$L274*$S274</f>
        <v/>
      </c>
      <c r="U274" s="35">
        <f>$L274+$T274</f>
        <v/>
      </c>
    </row>
    <row r="275">
      <c r="A275" s="3" t="inlineStr">
        <is>
          <t>PKG-11::L016</t>
        </is>
      </c>
      <c r="B275" s="3" t="inlineStr">
        <is>
          <t>PKG-11</t>
        </is>
      </c>
      <c r="C275" s="3" t="n"/>
      <c r="D275" s="3" t="inlineStr">
        <is>
          <t>L016</t>
        </is>
      </c>
      <c r="E275" s="3" t="inlineStr">
        <is>
          <t>CD</t>
        </is>
      </c>
      <c r="F275" s="3" t="inlineStr">
        <is>
          <t>PKG-11</t>
        </is>
      </c>
      <c r="G275" s="3" t="n"/>
      <c r="H275" s="3" t="inlineStr">
        <is>
          <t>Double-Walled Pipe Installation - welding testing support installation (~150 lm)</t>
        </is>
      </c>
      <c r="I275" s="22" t="n">
        <v>1</v>
      </c>
      <c r="J275" s="3" t="inlineStr">
        <is>
          <t>LS</t>
        </is>
      </c>
      <c r="K275" s="39" t="n">
        <v>180000</v>
      </c>
      <c r="L275" s="35" t="n">
        <v>180000</v>
      </c>
      <c r="M275" s="3" t="inlineStr">
        <is>
          <t>CAD</t>
        </is>
      </c>
      <c r="N275" s="3" t="inlineStr">
        <is>
          <t>ALLOWANCE</t>
        </is>
      </c>
      <c r="O275" s="3" t="inlineStr">
        <is>
          <t>A-002</t>
        </is>
      </c>
      <c r="P275" s="3" t="inlineStr">
        <is>
          <t>LOW</t>
        </is>
      </c>
      <c r="Q275" s="3" t="inlineStr">
        <is>
          <t>~$1200/lm for double-wall fabrication and installation</t>
        </is>
      </c>
      <c r="R275" s="3">
        <f>VLOOKUP($F275,Inputs!$D$6:$E$41,2,FALSE)</f>
        <v/>
      </c>
      <c r="S275" s="36">
        <f>VLOOKUP($E275,Inputs!$A$6:$B$13,2,FALSE)*Inputs!$B$2</f>
        <v/>
      </c>
      <c r="T275" s="35">
        <f>$L275*$S275</f>
        <v/>
      </c>
      <c r="U275" s="35">
        <f>$L275+$T275</f>
        <v/>
      </c>
    </row>
    <row r="276">
      <c r="A276" s="3" t="inlineStr">
        <is>
          <t>PKG-11::L017</t>
        </is>
      </c>
      <c r="B276" s="3" t="inlineStr">
        <is>
          <t>PKG-11</t>
        </is>
      </c>
      <c r="C276" s="3" t="n"/>
      <c r="D276" s="3" t="inlineStr">
        <is>
          <t>L017</t>
        </is>
      </c>
      <c r="E276" s="3" t="inlineStr">
        <is>
          <t>CD</t>
        </is>
      </c>
      <c r="F276" s="3" t="inlineStr">
        <is>
          <t>PKG-11</t>
        </is>
      </c>
      <c r="G276" s="3" t="n"/>
      <c r="H276" s="3" t="inlineStr">
        <is>
          <t>Leak Detection System Installation - sensor mounting wiring testing calibration</t>
        </is>
      </c>
      <c r="I276" s="22" t="n">
        <v>1</v>
      </c>
      <c r="J276" s="3" t="inlineStr">
        <is>
          <t>LS</t>
        </is>
      </c>
      <c r="K276" s="39" t="n">
        <v>35000</v>
      </c>
      <c r="L276" s="35" t="n">
        <v>35000</v>
      </c>
      <c r="M276" s="3" t="inlineStr">
        <is>
          <t>CAD</t>
        </is>
      </c>
      <c r="N276" s="3" t="inlineStr">
        <is>
          <t>ALLOWANCE</t>
        </is>
      </c>
      <c r="O276" s="3" t="inlineStr">
        <is>
          <t>A-003</t>
        </is>
      </c>
      <c r="P276" s="3" t="inlineStr">
        <is>
          <t>LOW</t>
        </is>
      </c>
      <c r="Q276" s="3" t="inlineStr">
        <is>
          <t>3-zone system with ESD integration</t>
        </is>
      </c>
      <c r="R276" s="3">
        <f>VLOOKUP($F276,Inputs!$D$6:$E$41,2,FALSE)</f>
        <v/>
      </c>
      <c r="S276" s="36">
        <f>VLOOKUP($E276,Inputs!$A$6:$B$13,2,FALSE)*Inputs!$B$2</f>
        <v/>
      </c>
      <c r="T276" s="35">
        <f>$L276*$S276</f>
        <v/>
      </c>
      <c r="U276" s="35">
        <f>$L276+$T276</f>
        <v/>
      </c>
    </row>
    <row r="277">
      <c r="A277" s="3" t="inlineStr">
        <is>
          <t>PKG-11::L018</t>
        </is>
      </c>
      <c r="B277" s="3" t="inlineStr">
        <is>
          <t>PKG-11</t>
        </is>
      </c>
      <c r="C277" s="3" t="n"/>
      <c r="D277" s="3" t="inlineStr">
        <is>
          <t>L018</t>
        </is>
      </c>
      <c r="E277" s="3" t="inlineStr">
        <is>
          <t>CD</t>
        </is>
      </c>
      <c r="F277" s="3" t="inlineStr">
        <is>
          <t>PKG-11</t>
        </is>
      </c>
      <c r="G277" s="3" t="n"/>
      <c r="H277" s="3" t="inlineStr">
        <is>
          <t>Sump Construction - concrete sump liner pumping piping</t>
        </is>
      </c>
      <c r="I277" s="22" t="n">
        <v>1</v>
      </c>
      <c r="J277" s="3" t="inlineStr">
        <is>
          <t>LS</t>
        </is>
      </c>
      <c r="K277" s="39" t="n">
        <v>45000</v>
      </c>
      <c r="L277" s="35" t="n">
        <v>45000</v>
      </c>
      <c r="M277" s="3" t="inlineStr">
        <is>
          <t>CAD</t>
        </is>
      </c>
      <c r="N277" s="3" t="inlineStr">
        <is>
          <t>ALLOWANCE</t>
        </is>
      </c>
      <c r="O277" s="3" t="inlineStr">
        <is>
          <t>A-015</t>
        </is>
      </c>
      <c r="P277" s="3" t="inlineStr">
        <is>
          <t>LOW</t>
        </is>
      </c>
      <c r="Q277" s="3" t="inlineStr">
        <is>
          <t>Containment sump with liner</t>
        </is>
      </c>
      <c r="R277" s="3">
        <f>VLOOKUP($F277,Inputs!$D$6:$E$41,2,FALSE)</f>
        <v/>
      </c>
      <c r="S277" s="36">
        <f>VLOOKUP($E277,Inputs!$A$6:$B$13,2,FALSE)*Inputs!$B$2</f>
        <v/>
      </c>
      <c r="T277" s="35">
        <f>$L277*$S277</f>
        <v/>
      </c>
      <c r="U277" s="35">
        <f>$L277+$T277</f>
        <v/>
      </c>
    </row>
    <row r="278">
      <c r="A278" s="3" t="inlineStr">
        <is>
          <t>PKG-11::L019</t>
        </is>
      </c>
      <c r="B278" s="3" t="inlineStr">
        <is>
          <t>PKG-11</t>
        </is>
      </c>
      <c r="C278" s="3" t="n"/>
      <c r="D278" s="3" t="inlineStr">
        <is>
          <t>L019</t>
        </is>
      </c>
      <c r="E278" s="3" t="inlineStr">
        <is>
          <t>CD</t>
        </is>
      </c>
      <c r="F278" s="3" t="inlineStr">
        <is>
          <t>PKG-11</t>
        </is>
      </c>
      <c r="G278" s="3" t="n"/>
      <c r="H278" s="3" t="inlineStr">
        <is>
          <t>Operator Shelter Installation - foundation installation services connection</t>
        </is>
      </c>
      <c r="I278" s="22" t="n">
        <v>1</v>
      </c>
      <c r="J278" s="3" t="inlineStr">
        <is>
          <t>LS</t>
        </is>
      </c>
      <c r="K278" s="39" t="n">
        <v>25000</v>
      </c>
      <c r="L278" s="35" t="n">
        <v>25000</v>
      </c>
      <c r="M278" s="3" t="inlineStr">
        <is>
          <t>CAD</t>
        </is>
      </c>
      <c r="N278" s="3" t="inlineStr">
        <is>
          <t>ALLOWANCE</t>
        </is>
      </c>
      <c r="O278" s="3" t="inlineStr">
        <is>
          <t>A-005</t>
        </is>
      </c>
      <c r="P278" s="3" t="inlineStr">
        <is>
          <t>LOW</t>
        </is>
      </c>
      <c r="Q278" s="3" t="inlineStr">
        <is>
          <t>Prefab shelter installation</t>
        </is>
      </c>
      <c r="R278" s="3">
        <f>VLOOKUP($F278,Inputs!$D$6:$E$41,2,FALSE)</f>
        <v/>
      </c>
      <c r="S278" s="36">
        <f>VLOOKUP($E278,Inputs!$A$6:$B$13,2,FALSE)*Inputs!$B$2</f>
        <v/>
      </c>
      <c r="T278" s="35">
        <f>$L278*$S278</f>
        <v/>
      </c>
      <c r="U278" s="35">
        <f>$L278+$T278</f>
        <v/>
      </c>
    </row>
    <row r="279">
      <c r="A279" s="3" t="inlineStr">
        <is>
          <t>PKG-11::L020</t>
        </is>
      </c>
      <c r="B279" s="3" t="inlineStr">
        <is>
          <t>PKG-11</t>
        </is>
      </c>
      <c r="C279" s="3" t="n"/>
      <c r="D279" s="3" t="inlineStr">
        <is>
          <t>L020</t>
        </is>
      </c>
      <c r="E279" s="3" t="inlineStr">
        <is>
          <t>CD</t>
        </is>
      </c>
      <c r="F279" s="3" t="inlineStr">
        <is>
          <t>PKG-11</t>
        </is>
      </c>
      <c r="G279" s="3" t="n"/>
      <c r="H279" s="3" t="inlineStr">
        <is>
          <t>Nitrogen System Installation - piping valves connection to Employer skid</t>
        </is>
      </c>
      <c r="I279" s="22" t="n">
        <v>1</v>
      </c>
      <c r="J279" s="3" t="inlineStr">
        <is>
          <t>LS</t>
        </is>
      </c>
      <c r="K279" s="39" t="n">
        <v>15000</v>
      </c>
      <c r="L279" s="35" t="n">
        <v>15000</v>
      </c>
      <c r="M279" s="3" t="inlineStr">
        <is>
          <t>CAD</t>
        </is>
      </c>
      <c r="N279" s="3" t="inlineStr">
        <is>
          <t>ALLOWANCE</t>
        </is>
      </c>
      <c r="O279" s="3" t="inlineStr">
        <is>
          <t>A-006</t>
        </is>
      </c>
      <c r="P279" s="3" t="inlineStr">
        <is>
          <t>LOW</t>
        </is>
      </c>
      <c r="Q279" s="3" t="inlineStr">
        <is>
          <t>Connection scope only</t>
        </is>
      </c>
      <c r="R279" s="3">
        <f>VLOOKUP($F279,Inputs!$D$6:$E$41,2,FALSE)</f>
        <v/>
      </c>
      <c r="S279" s="36">
        <f>VLOOKUP($E279,Inputs!$A$6:$B$13,2,FALSE)*Inputs!$B$2</f>
        <v/>
      </c>
      <c r="T279" s="35">
        <f>$L279*$S279</f>
        <v/>
      </c>
      <c r="U279" s="35">
        <f>$L279+$T279</f>
        <v/>
      </c>
    </row>
    <row r="280">
      <c r="A280" s="3" t="inlineStr">
        <is>
          <t>PKG-11::L021</t>
        </is>
      </c>
      <c r="B280" s="3" t="inlineStr">
        <is>
          <t>PKG-11</t>
        </is>
      </c>
      <c r="C280" s="3" t="n"/>
      <c r="D280" s="3" t="inlineStr">
        <is>
          <t>L021</t>
        </is>
      </c>
      <c r="E280" s="3" t="inlineStr">
        <is>
          <t>CD</t>
        </is>
      </c>
      <c r="F280" s="3" t="inlineStr">
        <is>
          <t>PKG-11</t>
        </is>
      </c>
      <c r="G280" s="3" t="n"/>
      <c r="H280" s="3" t="inlineStr">
        <is>
          <t>Electrical Installation - power to loading arm shelter sump pump</t>
        </is>
      </c>
      <c r="I280" s="22" t="n">
        <v>1</v>
      </c>
      <c r="J280" s="3" t="inlineStr">
        <is>
          <t>LS</t>
        </is>
      </c>
      <c r="K280" s="39" t="n">
        <v>55000</v>
      </c>
      <c r="L280" s="35" t="n">
        <v>55000</v>
      </c>
      <c r="M280" s="3" t="inlineStr">
        <is>
          <t>CAD</t>
        </is>
      </c>
      <c r="N280" s="3" t="inlineStr">
        <is>
          <t>ALLOWANCE</t>
        </is>
      </c>
      <c r="O280" s="3" t="inlineStr">
        <is>
          <t>A-014</t>
        </is>
      </c>
      <c r="P280" s="3" t="inlineStr">
        <is>
          <t>LOW</t>
        </is>
      </c>
      <c r="Q280" s="3" t="inlineStr">
        <is>
          <t>Cable pulling termination testing</t>
        </is>
      </c>
      <c r="R280" s="3">
        <f>VLOOKUP($F280,Inputs!$D$6:$E$41,2,FALSE)</f>
        <v/>
      </c>
      <c r="S280" s="36">
        <f>VLOOKUP($E280,Inputs!$A$6:$B$13,2,FALSE)*Inputs!$B$2</f>
        <v/>
      </c>
      <c r="T280" s="35">
        <f>$L280*$S280</f>
        <v/>
      </c>
      <c r="U280" s="35">
        <f>$L280+$T280</f>
        <v/>
      </c>
    </row>
    <row r="281">
      <c r="A281" s="3" t="inlineStr">
        <is>
          <t>PKG-11::L022</t>
        </is>
      </c>
      <c r="B281" s="3" t="inlineStr">
        <is>
          <t>PKG-11</t>
        </is>
      </c>
      <c r="C281" s="3" t="n"/>
      <c r="D281" s="3" t="inlineStr">
        <is>
          <t>L022</t>
        </is>
      </c>
      <c r="E281" s="3" t="inlineStr">
        <is>
          <t>CD</t>
        </is>
      </c>
      <c r="F281" s="3" t="inlineStr">
        <is>
          <t>PKG-11</t>
        </is>
      </c>
      <c r="G281" s="3" t="n"/>
      <c r="H281" s="3" t="inlineStr">
        <is>
          <t>Instrumentation Installation - leak detection loop wiring signal testing ESD integration</t>
        </is>
      </c>
      <c r="I281" s="22" t="n">
        <v>1</v>
      </c>
      <c r="J281" s="3" t="inlineStr">
        <is>
          <t>LS</t>
        </is>
      </c>
      <c r="K281" s="39" t="n">
        <v>45000</v>
      </c>
      <c r="L281" s="35" t="n">
        <v>45000</v>
      </c>
      <c r="M281" s="3" t="inlineStr">
        <is>
          <t>CAD</t>
        </is>
      </c>
      <c r="N281" s="3" t="inlineStr">
        <is>
          <t>ALLOWANCE</t>
        </is>
      </c>
      <c r="O281" s="3" t="inlineStr">
        <is>
          <t>A-014</t>
        </is>
      </c>
      <c r="P281" s="3" t="inlineStr">
        <is>
          <t>LOW</t>
        </is>
      </c>
      <c r="Q281" s="3" t="inlineStr">
        <is>
          <t>I&amp;C installation and loop testing</t>
        </is>
      </c>
      <c r="R281" s="3">
        <f>VLOOKUP($F281,Inputs!$D$6:$E$41,2,FALSE)</f>
        <v/>
      </c>
      <c r="S281" s="36">
        <f>VLOOKUP($E281,Inputs!$A$6:$B$13,2,FALSE)*Inputs!$B$2</f>
        <v/>
      </c>
      <c r="T281" s="35">
        <f>$L281*$S281</f>
        <v/>
      </c>
      <c r="U281" s="35">
        <f>$L281+$T281</f>
        <v/>
      </c>
    </row>
    <row r="282">
      <c r="A282" s="3" t="inlineStr">
        <is>
          <t>PKG-11::L023</t>
        </is>
      </c>
      <c r="B282" s="3" t="inlineStr">
        <is>
          <t>PKG-11</t>
        </is>
      </c>
      <c r="C282" s="3" t="n"/>
      <c r="D282" s="3" t="inlineStr">
        <is>
          <t>L023</t>
        </is>
      </c>
      <c r="E282" s="3" t="inlineStr">
        <is>
          <t>CD</t>
        </is>
      </c>
      <c r="F282" s="3" t="inlineStr">
        <is>
          <t>PKG-11</t>
        </is>
      </c>
      <c r="G282" s="3" t="n"/>
      <c r="H282" s="3" t="inlineStr">
        <is>
          <t>Pipe Support Steelwork Installation - fabrication erection painting</t>
        </is>
      </c>
      <c r="I282" s="22" t="n">
        <v>1</v>
      </c>
      <c r="J282" s="3" t="inlineStr">
        <is>
          <t>LS</t>
        </is>
      </c>
      <c r="K282" s="39" t="n">
        <v>35000</v>
      </c>
      <c r="L282" s="35" t="n">
        <v>35000</v>
      </c>
      <c r="M282" s="3" t="inlineStr">
        <is>
          <t>CAD</t>
        </is>
      </c>
      <c r="N282" s="3" t="inlineStr">
        <is>
          <t>ALLOWANCE</t>
        </is>
      </c>
      <c r="O282" s="3" t="inlineStr">
        <is>
          <t>A-013</t>
        </is>
      </c>
      <c r="P282" s="3" t="inlineStr">
        <is>
          <t>LOW</t>
        </is>
      </c>
      <c r="Q282" s="3" t="inlineStr">
        <is>
          <t>Support steelwork installation</t>
        </is>
      </c>
      <c r="R282" s="3">
        <f>VLOOKUP($F282,Inputs!$D$6:$E$41,2,FALSE)</f>
        <v/>
      </c>
      <c r="S282" s="36">
        <f>VLOOKUP($E282,Inputs!$A$6:$B$13,2,FALSE)*Inputs!$B$2</f>
        <v/>
      </c>
      <c r="T282" s="35">
        <f>$L282*$S282</f>
        <v/>
      </c>
      <c r="U282" s="35">
        <f>$L282+$T282</f>
        <v/>
      </c>
    </row>
    <row r="283">
      <c r="A283" s="3" t="inlineStr">
        <is>
          <t>PKG-11::L024</t>
        </is>
      </c>
      <c r="B283" s="3" t="inlineStr">
        <is>
          <t>PKG-11</t>
        </is>
      </c>
      <c r="C283" s="3" t="n"/>
      <c r="D283" s="3" t="inlineStr">
        <is>
          <t>L024</t>
        </is>
      </c>
      <c r="E283" s="3" t="inlineStr">
        <is>
          <t>CD</t>
        </is>
      </c>
      <c r="F283" s="3" t="inlineStr">
        <is>
          <t>PKG-11</t>
        </is>
      </c>
      <c r="G283" s="3" t="n"/>
      <c r="H283" s="3" t="inlineStr">
        <is>
          <t>Testing and Inspection - pressure testing leak testing NDE welds</t>
        </is>
      </c>
      <c r="I283" s="22" t="n">
        <v>1</v>
      </c>
      <c r="J283" s="3" t="inlineStr">
        <is>
          <t>LS</t>
        </is>
      </c>
      <c r="K283" s="39" t="n">
        <v>40000</v>
      </c>
      <c r="L283" s="35" t="n">
        <v>40000</v>
      </c>
      <c r="M283" s="3" t="inlineStr">
        <is>
          <t>CAD</t>
        </is>
      </c>
      <c r="N283" s="3" t="inlineStr">
        <is>
          <t>ALLOWANCE</t>
        </is>
      </c>
      <c r="O283" s="3" t="inlineStr">
        <is>
          <t>A-016</t>
        </is>
      </c>
      <c r="P283" s="3" t="inlineStr">
        <is>
          <t>LOW</t>
        </is>
      </c>
      <c r="Q283" s="3" t="inlineStr">
        <is>
          <t>QC testing during construction</t>
        </is>
      </c>
      <c r="R283" s="3">
        <f>VLOOKUP($F283,Inputs!$D$6:$E$41,2,FALSE)</f>
        <v/>
      </c>
      <c r="S283" s="36">
        <f>VLOOKUP($E283,Inputs!$A$6:$B$13,2,FALSE)*Inputs!$B$2</f>
        <v/>
      </c>
      <c r="T283" s="35">
        <f>$L283*$S283</f>
        <v/>
      </c>
      <c r="U283" s="35">
        <f>$L283+$T283</f>
        <v/>
      </c>
    </row>
    <row r="284">
      <c r="A284" s="3" t="inlineStr">
        <is>
          <t>PKG-11::L025</t>
        </is>
      </c>
      <c r="B284" s="3" t="inlineStr">
        <is>
          <t>PKG-11</t>
        </is>
      </c>
      <c r="C284" s="3" t="n"/>
      <c r="D284" s="3" t="inlineStr">
        <is>
          <t>L025</t>
        </is>
      </c>
      <c r="E284" s="3" t="inlineStr">
        <is>
          <t>CI</t>
        </is>
      </c>
      <c r="F284" s="3" t="inlineStr">
        <is>
          <t>PKG-11</t>
        </is>
      </c>
      <c r="G284" s="3" t="n"/>
      <c r="H284" s="3" t="inlineStr">
        <is>
          <t>Construction Indirects - field supervision site overhead QA/QC marine coordination (factor-based)</t>
        </is>
      </c>
      <c r="I284" s="22" t="n">
        <v>1</v>
      </c>
      <c r="J284" s="3" t="inlineStr">
        <is>
          <t>LS</t>
        </is>
      </c>
      <c r="K284" s="39" t="n">
        <v>107000</v>
      </c>
      <c r="L284" s="35" t="n">
        <v>107000</v>
      </c>
      <c r="M284" s="3" t="inlineStr">
        <is>
          <t>CAD</t>
        </is>
      </c>
      <c r="N284" s="3" t="inlineStr">
        <is>
          <t>PARAMETRIC</t>
        </is>
      </c>
      <c r="O284" s="3" t="inlineStr">
        <is>
          <t>D-008</t>
        </is>
      </c>
      <c r="P284" s="3" t="inlineStr">
        <is>
          <t>LOW</t>
        </is>
      </c>
      <c r="Q284" s="3" t="inlineStr">
        <is>
          <t>18% of CD base ($595k × 0.18)</t>
        </is>
      </c>
      <c r="R284" s="3">
        <f>VLOOKUP($F284,Inputs!$D$6:$E$41,2,FALSE)</f>
        <v/>
      </c>
      <c r="S284" s="36">
        <f>VLOOKUP($E284,Inputs!$A$6:$B$13,2,FALSE)*Inputs!$B$2</f>
        <v/>
      </c>
      <c r="T284" s="35">
        <f>$L284*$S284</f>
        <v/>
      </c>
      <c r="U284" s="35">
        <f>$L284+$T284</f>
        <v/>
      </c>
    </row>
    <row r="285">
      <c r="A285" s="3" t="inlineStr">
        <is>
          <t>PKG-11::L026</t>
        </is>
      </c>
      <c r="B285" s="3" t="inlineStr">
        <is>
          <t>PKG-11</t>
        </is>
      </c>
      <c r="C285" s="3" t="n"/>
      <c r="D285" s="3" t="inlineStr">
        <is>
          <t>L026</t>
        </is>
      </c>
      <c r="E285" s="3" t="inlineStr">
        <is>
          <t>PM</t>
        </is>
      </c>
      <c r="F285" s="3" t="inlineStr">
        <is>
          <t>PKG-11</t>
        </is>
      </c>
      <c r="G285" s="3" t="n"/>
      <c r="H285" s="3" t="inlineStr">
        <is>
          <t>EPCM / Project Management - PKG-11 allocation (factor-based)</t>
        </is>
      </c>
      <c r="I285" s="22" t="n">
        <v>1</v>
      </c>
      <c r="J285" s="3" t="inlineStr">
        <is>
          <t>LS</t>
        </is>
      </c>
      <c r="K285" s="39" t="n">
        <v>119000</v>
      </c>
      <c r="L285" s="35" t="n">
        <v>119000</v>
      </c>
      <c r="M285" s="3" t="inlineStr">
        <is>
          <t>CAD</t>
        </is>
      </c>
      <c r="N285" s="3" t="inlineStr">
        <is>
          <t>PARAMETRIC</t>
        </is>
      </c>
      <c r="O285" s="3" t="inlineStr">
        <is>
          <t>D-008</t>
        </is>
      </c>
      <c r="P285" s="3" t="inlineStr">
        <is>
          <t>MED</t>
        </is>
      </c>
      <c r="Q285" s="3" t="inlineStr">
        <is>
          <t>6% of (CD+CI+MAT) base</t>
        </is>
      </c>
      <c r="R285" s="3">
        <f>VLOOKUP($F285,Inputs!$D$6:$E$41,2,FALSE)</f>
        <v/>
      </c>
      <c r="S285" s="36">
        <f>VLOOKUP($E285,Inputs!$A$6:$B$13,2,FALSE)*Inputs!$B$2</f>
        <v/>
      </c>
      <c r="T285" s="35">
        <f>$L285*$S285</f>
        <v/>
      </c>
      <c r="U285" s="35">
        <f>$L285+$T285</f>
        <v/>
      </c>
    </row>
    <row r="286">
      <c r="A286" s="3" t="inlineStr">
        <is>
          <t>PKG-11::L027</t>
        </is>
      </c>
      <c r="B286" s="3" t="inlineStr">
        <is>
          <t>PKG-11</t>
        </is>
      </c>
      <c r="C286" s="3" t="n"/>
      <c r="D286" s="3" t="inlineStr">
        <is>
          <t>L027</t>
        </is>
      </c>
      <c r="E286" s="3" t="inlineStr">
        <is>
          <t>P</t>
        </is>
      </c>
      <c r="F286" s="3" t="inlineStr">
        <is>
          <t>PKG-11</t>
        </is>
      </c>
      <c r="G286" s="3" t="n"/>
      <c r="H286" s="3" t="inlineStr">
        <is>
          <t>Procurement Services - vendor coordination expediting inspection (factor-based)</t>
        </is>
      </c>
      <c r="I286" s="22" t="n">
        <v>1</v>
      </c>
      <c r="J286" s="3" t="inlineStr">
        <is>
          <t>LS</t>
        </is>
      </c>
      <c r="K286" s="39" t="n">
        <v>30000</v>
      </c>
      <c r="L286" s="35" t="n">
        <v>30000</v>
      </c>
      <c r="M286" s="3" t="inlineStr">
        <is>
          <t>CAD</t>
        </is>
      </c>
      <c r="N286" s="3" t="inlineStr">
        <is>
          <t>PARAMETRIC</t>
        </is>
      </c>
      <c r="O286" s="3" t="inlineStr">
        <is>
          <t>D-008</t>
        </is>
      </c>
      <c r="P286" s="3" t="inlineStr">
        <is>
          <t>MED</t>
        </is>
      </c>
      <c r="Q286" s="3" t="inlineStr">
        <is>
          <t>2% of MAT ($1.485M × 0.02)</t>
        </is>
      </c>
      <c r="R286" s="3">
        <f>VLOOKUP($F286,Inputs!$D$6:$E$41,2,FALSE)</f>
        <v/>
      </c>
      <c r="S286" s="36">
        <f>VLOOKUP($E286,Inputs!$A$6:$B$13,2,FALSE)*Inputs!$B$2</f>
        <v/>
      </c>
      <c r="T286" s="35">
        <f>$L286*$S286</f>
        <v/>
      </c>
      <c r="U286" s="35">
        <f>$L286+$T286</f>
        <v/>
      </c>
    </row>
    <row r="287">
      <c r="A287" s="3" t="inlineStr">
        <is>
          <t>PKG-11::L028</t>
        </is>
      </c>
      <c r="B287" s="3" t="inlineStr">
        <is>
          <t>PKG-11</t>
        </is>
      </c>
      <c r="C287" s="3" t="n"/>
      <c r="D287" s="3" t="inlineStr">
        <is>
          <t>L028</t>
        </is>
      </c>
      <c r="E287" s="3" t="inlineStr">
        <is>
          <t>COM</t>
        </is>
      </c>
      <c r="F287" s="3" t="inlineStr">
        <is>
          <t>PKG-11</t>
        </is>
      </c>
      <c r="G287" s="3" t="n"/>
      <c r="H287" s="3" t="inlineStr">
        <is>
          <t>Commissioning - FAT witnessing functional testing ESD verification acceptance testing</t>
        </is>
      </c>
      <c r="I287" s="22" t="n">
        <v>1</v>
      </c>
      <c r="J287" s="3" t="inlineStr">
        <is>
          <t>LS</t>
        </is>
      </c>
      <c r="K287" s="39" t="n">
        <v>79000</v>
      </c>
      <c r="L287" s="35" t="n">
        <v>79000</v>
      </c>
      <c r="M287" s="3" t="inlineStr">
        <is>
          <t>CAD</t>
        </is>
      </c>
      <c r="N287" s="3" t="inlineStr">
        <is>
          <t>PARAMETRIC</t>
        </is>
      </c>
      <c r="O287" s="3" t="inlineStr">
        <is>
          <t>D-008</t>
        </is>
      </c>
      <c r="P287" s="3" t="inlineStr">
        <is>
          <t>LOW</t>
        </is>
      </c>
      <c r="Q287" s="3" t="inlineStr">
        <is>
          <t>4% of (CD+CI+MAT) base (elevated for marine loading complexity)</t>
        </is>
      </c>
      <c r="R287" s="3">
        <f>VLOOKUP($F287,Inputs!$D$6:$E$41,2,FALSE)</f>
        <v/>
      </c>
      <c r="S287" s="36">
        <f>VLOOKUP($E287,Inputs!$A$6:$B$13,2,FALSE)*Inputs!$B$2</f>
        <v/>
      </c>
      <c r="T287" s="35">
        <f>$L287*$S287</f>
        <v/>
      </c>
      <c r="U287" s="35">
        <f>$L287+$T287</f>
        <v/>
      </c>
    </row>
    <row r="288">
      <c r="A288" s="3" t="inlineStr">
        <is>
          <t>PKG-12::L-001</t>
        </is>
      </c>
      <c r="B288" s="3" t="inlineStr">
        <is>
          <t>PKG-12</t>
        </is>
      </c>
      <c r="C288" s="3" t="inlineStr">
        <is>
          <t>DEL-12.01</t>
        </is>
      </c>
      <c r="D288" s="3" t="inlineStr">
        <is>
          <t>L-001</t>
        </is>
      </c>
      <c r="E288" s="3" t="inlineStr">
        <is>
          <t>E</t>
        </is>
      </c>
      <c r="F288" s="3" t="inlineStr">
        <is>
          <t>PKG-12</t>
        </is>
      </c>
      <c r="G288" s="3" t="inlineStr">
        <is>
          <t>DEL-12.01</t>
        </is>
      </c>
      <c r="H288" s="3" t="inlineStr">
        <is>
          <t>Metering Design Drawing Set</t>
        </is>
      </c>
      <c r="I288" s="22" t="n">
        <v>1</v>
      </c>
      <c r="J288" s="3" t="inlineStr">
        <is>
          <t>LS</t>
        </is>
      </c>
      <c r="K288" s="39" t="n">
        <v>28000</v>
      </c>
      <c r="L288" s="35" t="n">
        <v>28000</v>
      </c>
      <c r="M288" s="3" t="inlineStr">
        <is>
          <t>CAD</t>
        </is>
      </c>
      <c r="N288" s="3" t="inlineStr">
        <is>
          <t>ALLOWANCE</t>
        </is>
      </c>
      <c r="O288" s="3" t="inlineStr">
        <is>
          <t>A-011</t>
        </is>
      </c>
      <c r="P288" s="3" t="inlineStr">
        <is>
          <t>LOW</t>
        </is>
      </c>
      <c r="Q288" s="3" t="inlineStr">
        <is>
          <t>Metering skid GAs + flow meter installation details + proving connection details (6-12 sheets estimated)</t>
        </is>
      </c>
      <c r="R288" s="3">
        <f>VLOOKUP($F288,Inputs!$D$6:$E$41,2,FALSE)</f>
        <v/>
      </c>
      <c r="S288" s="36">
        <f>VLOOKUP($E288,Inputs!$A$6:$B$13,2,FALSE)*Inputs!$B$2</f>
        <v/>
      </c>
      <c r="T288" s="35">
        <f>$L288*$S288</f>
        <v/>
      </c>
      <c r="U288" s="35">
        <f>$L288+$T288</f>
        <v/>
      </c>
    </row>
    <row r="289">
      <c r="A289" s="3" t="inlineStr">
        <is>
          <t>PKG-12::L-002</t>
        </is>
      </c>
      <c r="B289" s="3" t="inlineStr">
        <is>
          <t>PKG-12</t>
        </is>
      </c>
      <c r="C289" s="3" t="inlineStr">
        <is>
          <t>DEL-12.02</t>
        </is>
      </c>
      <c r="D289" s="3" t="inlineStr">
        <is>
          <t>L-002</t>
        </is>
      </c>
      <c r="E289" s="3" t="inlineStr">
        <is>
          <t>E</t>
        </is>
      </c>
      <c r="F289" s="3" t="inlineStr">
        <is>
          <t>PKG-12</t>
        </is>
      </c>
      <c r="G289" s="3" t="inlineStr">
        <is>
          <t>DEL-12.02</t>
        </is>
      </c>
      <c r="H289" s="3" t="inlineStr">
        <is>
          <t>Metering Technical Specification</t>
        </is>
      </c>
      <c r="I289" s="22" t="n">
        <v>1</v>
      </c>
      <c r="J289" s="3" t="inlineStr">
        <is>
          <t>LS</t>
        </is>
      </c>
      <c r="K289" s="39" t="n">
        <v>38000</v>
      </c>
      <c r="L289" s="35" t="n">
        <v>38000</v>
      </c>
      <c r="M289" s="3" t="inlineStr">
        <is>
          <t>CAD</t>
        </is>
      </c>
      <c r="N289" s="3" t="inlineStr">
        <is>
          <t>ALLOWANCE</t>
        </is>
      </c>
      <c r="O289" s="3" t="inlineStr">
        <is>
          <t>A-012</t>
        </is>
      </c>
      <c r="P289" s="3" t="inlineStr">
        <is>
          <t>LOW</t>
        </is>
      </c>
      <c r="Q289" s="3" t="inlineStr">
        <is>
          <t>Custody transfer flow meter spec + metering system spec (30-50 pages estimated)</t>
        </is>
      </c>
      <c r="R289" s="3">
        <f>VLOOKUP($F289,Inputs!$D$6:$E$41,2,FALSE)</f>
        <v/>
      </c>
      <c r="S289" s="36">
        <f>VLOOKUP($E289,Inputs!$A$6:$B$13,2,FALSE)*Inputs!$B$2</f>
        <v/>
      </c>
      <c r="T289" s="35">
        <f>$L289*$S289</f>
        <v/>
      </c>
      <c r="U289" s="35">
        <f>$L289+$T289</f>
        <v/>
      </c>
    </row>
    <row r="290">
      <c r="A290" s="3" t="inlineStr">
        <is>
          <t>PKG-12::L-003</t>
        </is>
      </c>
      <c r="B290" s="3" t="inlineStr">
        <is>
          <t>PKG-12</t>
        </is>
      </c>
      <c r="C290" s="3" t="inlineStr">
        <is>
          <t>DEL-12.03</t>
        </is>
      </c>
      <c r="D290" s="3" t="inlineStr">
        <is>
          <t>L-003</t>
        </is>
      </c>
      <c r="E290" s="3" t="inlineStr">
        <is>
          <t>E</t>
        </is>
      </c>
      <c r="F290" s="3" t="inlineStr">
        <is>
          <t>PKG-12</t>
        </is>
      </c>
      <c r="G290" s="3" t="inlineStr">
        <is>
          <t>DEL-12.03</t>
        </is>
      </c>
      <c r="H290" s="3" t="inlineStr">
        <is>
          <t>Metering Design Calculations</t>
        </is>
      </c>
      <c r="I290" s="22" t="n">
        <v>1</v>
      </c>
      <c r="J290" s="3" t="inlineStr">
        <is>
          <t>LS</t>
        </is>
      </c>
      <c r="K290" s="39" t="n">
        <v>42000</v>
      </c>
      <c r="L290" s="35" t="n">
        <v>42000</v>
      </c>
      <c r="M290" s="3" t="inlineStr">
        <is>
          <t>CAD</t>
        </is>
      </c>
      <c r="N290" s="3" t="inlineStr">
        <is>
          <t>ALLOWANCE</t>
        </is>
      </c>
      <c r="O290" s="3" t="inlineStr">
        <is>
          <t>A-013</t>
        </is>
      </c>
      <c r="P290" s="3" t="inlineStr">
        <is>
          <t>LOW</t>
        </is>
      </c>
      <c r="Q290" s="3" t="inlineStr">
        <is>
          <t>Flow meter sizing + accuracy/uncertainty analysis + proving calculations</t>
        </is>
      </c>
      <c r="R290" s="3">
        <f>VLOOKUP($F290,Inputs!$D$6:$E$41,2,FALSE)</f>
        <v/>
      </c>
      <c r="S290" s="36">
        <f>VLOOKUP($E290,Inputs!$A$6:$B$13,2,FALSE)*Inputs!$B$2</f>
        <v/>
      </c>
      <c r="T290" s="35">
        <f>$L290*$S290</f>
        <v/>
      </c>
      <c r="U290" s="35">
        <f>$L290+$T290</f>
        <v/>
      </c>
    </row>
    <row r="291">
      <c r="A291" s="3" t="inlineStr">
        <is>
          <t>PKG-12::L-004</t>
        </is>
      </c>
      <c r="B291" s="3" t="inlineStr">
        <is>
          <t>PKG-12</t>
        </is>
      </c>
      <c r="C291" s="3" t="inlineStr">
        <is>
          <t>DEL-12.04</t>
        </is>
      </c>
      <c r="D291" s="3" t="inlineStr">
        <is>
          <t>L-004</t>
        </is>
      </c>
      <c r="E291" s="3" t="inlineStr">
        <is>
          <t>E</t>
        </is>
      </c>
      <c r="F291" s="3" t="inlineStr">
        <is>
          <t>PKG-12</t>
        </is>
      </c>
      <c r="G291" s="3" t="inlineStr">
        <is>
          <t>DEL-12.04</t>
        </is>
      </c>
      <c r="H291" s="3" t="inlineStr">
        <is>
          <t>Metering Data Sheet Package</t>
        </is>
      </c>
      <c r="I291" s="22" t="n">
        <v>1</v>
      </c>
      <c r="J291" s="3" t="inlineStr">
        <is>
          <t>LS</t>
        </is>
      </c>
      <c r="K291" s="39" t="n">
        <v>18000</v>
      </c>
      <c r="L291" s="35" t="n">
        <v>18000</v>
      </c>
      <c r="M291" s="3" t="inlineStr">
        <is>
          <t>CAD</t>
        </is>
      </c>
      <c r="N291" s="3" t="inlineStr">
        <is>
          <t>ALLOWANCE</t>
        </is>
      </c>
      <c r="O291" s="3" t="inlineStr">
        <is>
          <t>A-014</t>
        </is>
      </c>
      <c r="P291" s="3" t="inlineStr">
        <is>
          <t>LOW</t>
        </is>
      </c>
      <c r="Q291" s="3" t="inlineStr">
        <is>
          <t>Flow meter data sheets (x2) + transmitter data sheets (4+ sheets)</t>
        </is>
      </c>
      <c r="R291" s="3">
        <f>VLOOKUP($F291,Inputs!$D$6:$E$41,2,FALSE)</f>
        <v/>
      </c>
      <c r="S291" s="36">
        <f>VLOOKUP($E291,Inputs!$A$6:$B$13,2,FALSE)*Inputs!$B$2</f>
        <v/>
      </c>
      <c r="T291" s="35">
        <f>$L291*$S291</f>
        <v/>
      </c>
      <c r="U291" s="35">
        <f>$L291+$T291</f>
        <v/>
      </c>
    </row>
    <row r="292">
      <c r="A292" s="3" t="inlineStr">
        <is>
          <t>PKG-12::L-005</t>
        </is>
      </c>
      <c r="B292" s="3" t="inlineStr">
        <is>
          <t>PKG-12</t>
        </is>
      </c>
      <c r="C292" s="3" t="inlineStr">
        <is>
          <t>DEL-12.05</t>
        </is>
      </c>
      <c r="D292" s="3" t="inlineStr">
        <is>
          <t>L-005</t>
        </is>
      </c>
      <c r="E292" s="3" t="inlineStr">
        <is>
          <t>E</t>
        </is>
      </c>
      <c r="F292" s="3" t="inlineStr">
        <is>
          <t>PKG-12</t>
        </is>
      </c>
      <c r="G292" s="3" t="inlineStr">
        <is>
          <t>DEL-12.05</t>
        </is>
      </c>
      <c r="H292" s="3" t="inlineStr">
        <is>
          <t>Metering Installation &amp; Test Records</t>
        </is>
      </c>
      <c r="I292" s="22" t="n">
        <v>1</v>
      </c>
      <c r="J292" s="3" t="inlineStr">
        <is>
          <t>LS</t>
        </is>
      </c>
      <c r="K292" s="39" t="n">
        <v>12000</v>
      </c>
      <c r="L292" s="35" t="n">
        <v>12000</v>
      </c>
      <c r="M292" s="3" t="inlineStr">
        <is>
          <t>CAD</t>
        </is>
      </c>
      <c r="N292" s="3" t="inlineStr">
        <is>
          <t>ALLOWANCE</t>
        </is>
      </c>
      <c r="O292" s="3" t="inlineStr">
        <is>
          <t>A-015</t>
        </is>
      </c>
      <c r="P292" s="3" t="inlineStr">
        <is>
          <t>LOW</t>
        </is>
      </c>
      <c r="Q292" s="3" t="inlineStr">
        <is>
          <t>Calibration certificates + proving records + FAT/SAT records</t>
        </is>
      </c>
      <c r="R292" s="3">
        <f>VLOOKUP($F292,Inputs!$D$6:$E$41,2,FALSE)</f>
        <v/>
      </c>
      <c r="S292" s="36">
        <f>VLOOKUP($E292,Inputs!$A$6:$B$13,2,FALSE)*Inputs!$B$2</f>
        <v/>
      </c>
      <c r="T292" s="35">
        <f>$L292*$S292</f>
        <v/>
      </c>
      <c r="U292" s="35">
        <f>$L292+$T292</f>
        <v/>
      </c>
    </row>
    <row r="293">
      <c r="A293" s="3" t="inlineStr">
        <is>
          <t>PKG-12::L-006</t>
        </is>
      </c>
      <c r="B293" s="3" t="inlineStr">
        <is>
          <t>PKG-12</t>
        </is>
      </c>
      <c r="C293" s="3" t="n"/>
      <c r="D293" s="3" t="inlineStr">
        <is>
          <t>L-006</t>
        </is>
      </c>
      <c r="E293" s="3" t="inlineStr">
        <is>
          <t>MAT</t>
        </is>
      </c>
      <c r="F293" s="3" t="inlineStr">
        <is>
          <t>PKG-12</t>
        </is>
      </c>
      <c r="G293" s="3" t="n"/>
      <c r="H293" s="3" t="inlineStr">
        <is>
          <t>Custody Transfer Flow Meter - Rail Unloading (6 inch Coriolis)</t>
        </is>
      </c>
      <c r="I293" s="22" t="n">
        <v>1</v>
      </c>
      <c r="J293" s="3" t="inlineStr">
        <is>
          <t>EA</t>
        </is>
      </c>
      <c r="K293" s="39" t="n">
        <v>180000</v>
      </c>
      <c r="L293" s="35" t="n">
        <v>180000</v>
      </c>
      <c r="M293" s="3" t="inlineStr">
        <is>
          <t>CAD</t>
        </is>
      </c>
      <c r="N293" s="3" t="inlineStr">
        <is>
          <t>ALLOWANCE</t>
        </is>
      </c>
      <c r="O293" s="3" t="inlineStr">
        <is>
          <t>A-016</t>
        </is>
      </c>
      <c r="P293" s="3" t="inlineStr">
        <is>
          <t>LOW</t>
        </is>
      </c>
      <c r="Q293" s="3" t="inlineStr">
        <is>
          <t>6 inch Coriolis mass flowmeter with integral density; custody transfer accuracy; HART/Modbus; Measurement Canada approval</t>
        </is>
      </c>
      <c r="R293" s="3">
        <f>VLOOKUP($F293,Inputs!$D$6:$E$41,2,FALSE)</f>
        <v/>
      </c>
      <c r="S293" s="36">
        <f>VLOOKUP($E293,Inputs!$A$6:$B$13,2,FALSE)*Inputs!$B$2</f>
        <v/>
      </c>
      <c r="T293" s="35">
        <f>$L293*$S293</f>
        <v/>
      </c>
      <c r="U293" s="35">
        <f>$L293+$T293</f>
        <v/>
      </c>
    </row>
    <row r="294">
      <c r="A294" s="3" t="inlineStr">
        <is>
          <t>PKG-12::L-007</t>
        </is>
      </c>
      <c r="B294" s="3" t="inlineStr">
        <is>
          <t>PKG-12</t>
        </is>
      </c>
      <c r="C294" s="3" t="n"/>
      <c r="D294" s="3" t="inlineStr">
        <is>
          <t>L-007</t>
        </is>
      </c>
      <c r="E294" s="3" t="inlineStr">
        <is>
          <t>MAT</t>
        </is>
      </c>
      <c r="F294" s="3" t="inlineStr">
        <is>
          <t>PKG-12</t>
        </is>
      </c>
      <c r="G294" s="3" t="n"/>
      <c r="H294" s="3" t="inlineStr">
        <is>
          <t>Custody Transfer Flow Meter - Marine Loading (10 inch Coriolis)</t>
        </is>
      </c>
      <c r="I294" s="22" t="n">
        <v>1</v>
      </c>
      <c r="J294" s="3" t="inlineStr">
        <is>
          <t>EA</t>
        </is>
      </c>
      <c r="K294" s="39" t="n">
        <v>230000</v>
      </c>
      <c r="L294" s="35" t="n">
        <v>230000</v>
      </c>
      <c r="M294" s="3" t="inlineStr">
        <is>
          <t>CAD</t>
        </is>
      </c>
      <c r="N294" s="3" t="inlineStr">
        <is>
          <t>ALLOWANCE</t>
        </is>
      </c>
      <c r="O294" s="3" t="inlineStr">
        <is>
          <t>A-017</t>
        </is>
      </c>
      <c r="P294" s="3" t="inlineStr">
        <is>
          <t>LOW</t>
        </is>
      </c>
      <c r="Q294" s="3" t="inlineStr">
        <is>
          <t>10 inch Coriolis mass flowmeter with integral density; custody transfer accuracy; HART/Modbus; range $200k-250k</t>
        </is>
      </c>
      <c r="R294" s="3">
        <f>VLOOKUP($F294,Inputs!$D$6:$E$41,2,FALSE)</f>
        <v/>
      </c>
      <c r="S294" s="36">
        <f>VLOOKUP($E294,Inputs!$A$6:$B$13,2,FALSE)*Inputs!$B$2</f>
        <v/>
      </c>
      <c r="T294" s="35">
        <f>$L294*$S294</f>
        <v/>
      </c>
      <c r="U294" s="35">
        <f>$L294+$T294</f>
        <v/>
      </c>
    </row>
    <row r="295">
      <c r="A295" s="3" t="inlineStr">
        <is>
          <t>PKG-12::L-008</t>
        </is>
      </c>
      <c r="B295" s="3" t="inlineStr">
        <is>
          <t>PKG-12</t>
        </is>
      </c>
      <c r="C295" s="3" t="n"/>
      <c r="D295" s="3" t="inlineStr">
        <is>
          <t>L-008</t>
        </is>
      </c>
      <c r="E295" s="3" t="inlineStr">
        <is>
          <t>MAT</t>
        </is>
      </c>
      <c r="F295" s="3" t="inlineStr">
        <is>
          <t>PKG-12</t>
        </is>
      </c>
      <c r="G295" s="3" t="n"/>
      <c r="H295" s="3" t="inlineStr">
        <is>
          <t>Temperature Transmitters (RTD Pt100)</t>
        </is>
      </c>
      <c r="I295" s="22" t="n">
        <v>4</v>
      </c>
      <c r="J295" s="3" t="inlineStr">
        <is>
          <t>EA</t>
        </is>
      </c>
      <c r="K295" s="39" t="n">
        <v>6000</v>
      </c>
      <c r="L295" s="35" t="n">
        <v>24000</v>
      </c>
      <c r="M295" s="3" t="inlineStr">
        <is>
          <t>CAD</t>
        </is>
      </c>
      <c r="N295" s="3" t="inlineStr">
        <is>
          <t>ALLOWANCE</t>
        </is>
      </c>
      <c r="O295" s="3" t="inlineStr">
        <is>
          <t>A-018</t>
        </is>
      </c>
      <c r="P295" s="3" t="inlineStr">
        <is>
          <t>MED</t>
        </is>
      </c>
      <c r="Q295" s="3" t="inlineStr">
        <is>
          <t>RTD Pt100 Class A with 4-20mA + HART; ±0.1°C accuracy for custody transfer compensation</t>
        </is>
      </c>
      <c r="R295" s="3">
        <f>VLOOKUP($F295,Inputs!$D$6:$E$41,2,FALSE)</f>
        <v/>
      </c>
      <c r="S295" s="36">
        <f>VLOOKUP($E295,Inputs!$A$6:$B$13,2,FALSE)*Inputs!$B$2</f>
        <v/>
      </c>
      <c r="T295" s="35">
        <f>$L295*$S295</f>
        <v/>
      </c>
      <c r="U295" s="35">
        <f>$L295+$T295</f>
        <v/>
      </c>
    </row>
    <row r="296">
      <c r="A296" s="3" t="inlineStr">
        <is>
          <t>PKG-12::L-009</t>
        </is>
      </c>
      <c r="B296" s="3" t="inlineStr">
        <is>
          <t>PKG-12</t>
        </is>
      </c>
      <c r="C296" s="3" t="n"/>
      <c r="D296" s="3" t="inlineStr">
        <is>
          <t>L-009</t>
        </is>
      </c>
      <c r="E296" s="3" t="inlineStr">
        <is>
          <t>MAT</t>
        </is>
      </c>
      <c r="F296" s="3" t="inlineStr">
        <is>
          <t>PKG-12</t>
        </is>
      </c>
      <c r="G296" s="3" t="n"/>
      <c r="H296" s="3" t="inlineStr">
        <is>
          <t>Pressure Transmitters</t>
        </is>
      </c>
      <c r="I296" s="22" t="n">
        <v>2</v>
      </c>
      <c r="J296" s="3" t="inlineStr">
        <is>
          <t>EA</t>
        </is>
      </c>
      <c r="K296" s="39" t="n">
        <v>5000</v>
      </c>
      <c r="L296" s="35" t="n">
        <v>10000</v>
      </c>
      <c r="M296" s="3" t="inlineStr">
        <is>
          <t>CAD</t>
        </is>
      </c>
      <c r="N296" s="3" t="inlineStr">
        <is>
          <t>ALLOWANCE</t>
        </is>
      </c>
      <c r="O296" s="3" t="inlineStr">
        <is>
          <t>A-019</t>
        </is>
      </c>
      <c r="P296" s="3" t="inlineStr">
        <is>
          <t>MED</t>
        </is>
      </c>
      <c r="Q296" s="3" t="inlineStr">
        <is>
          <t>Process pressure transmitters 0-10 bar; ±0.1% accuracy; 4-20mA + HART</t>
        </is>
      </c>
      <c r="R296" s="3">
        <f>VLOOKUP($F296,Inputs!$D$6:$E$41,2,FALSE)</f>
        <v/>
      </c>
      <c r="S296" s="36">
        <f>VLOOKUP($E296,Inputs!$A$6:$B$13,2,FALSE)*Inputs!$B$2</f>
        <v/>
      </c>
      <c r="T296" s="35">
        <f>$L296*$S296</f>
        <v/>
      </c>
      <c r="U296" s="35">
        <f>$L296+$T296</f>
        <v/>
      </c>
    </row>
    <row r="297">
      <c r="A297" s="3" t="inlineStr">
        <is>
          <t>PKG-12::L-010</t>
        </is>
      </c>
      <c r="B297" s="3" t="inlineStr">
        <is>
          <t>PKG-12</t>
        </is>
      </c>
      <c r="C297" s="3" t="n"/>
      <c r="D297" s="3" t="inlineStr">
        <is>
          <t>L-010</t>
        </is>
      </c>
      <c r="E297" s="3" t="inlineStr">
        <is>
          <t>MAT</t>
        </is>
      </c>
      <c r="F297" s="3" t="inlineStr">
        <is>
          <t>PKG-12</t>
        </is>
      </c>
      <c r="G297" s="3" t="n"/>
      <c r="H297" s="3" t="inlineStr">
        <is>
          <t>Portable Prover System</t>
        </is>
      </c>
      <c r="I297" s="22" t="n">
        <v>1</v>
      </c>
      <c r="J297" s="3" t="inlineStr">
        <is>
          <t>LS</t>
        </is>
      </c>
      <c r="K297" s="39" t="n">
        <v>120000</v>
      </c>
      <c r="L297" s="35" t="n">
        <v>120000</v>
      </c>
      <c r="M297" s="3" t="inlineStr">
        <is>
          <t>CAD</t>
        </is>
      </c>
      <c r="N297" s="3" t="inlineStr">
        <is>
          <t>ALLOWANCE</t>
        </is>
      </c>
      <c r="O297" s="3" t="inlineStr">
        <is>
          <t>A-020</t>
        </is>
      </c>
      <c r="P297" s="3" t="inlineStr">
        <is>
          <t>LOW</t>
        </is>
      </c>
      <c r="Q297" s="3" t="inlineStr">
        <is>
          <t>Portable prover with traceability and Measurement Canada certification; suitable for 6 inch and 10 inch meters</t>
        </is>
      </c>
      <c r="R297" s="3">
        <f>VLOOKUP($F297,Inputs!$D$6:$E$41,2,FALSE)</f>
        <v/>
      </c>
      <c r="S297" s="36">
        <f>VLOOKUP($E297,Inputs!$A$6:$B$13,2,FALSE)*Inputs!$B$2</f>
        <v/>
      </c>
      <c r="T297" s="35">
        <f>$L297*$S297</f>
        <v/>
      </c>
      <c r="U297" s="35">
        <f>$L297+$T297</f>
        <v/>
      </c>
    </row>
    <row r="298">
      <c r="A298" s="3" t="inlineStr">
        <is>
          <t>PKG-12::L-011</t>
        </is>
      </c>
      <c r="B298" s="3" t="inlineStr">
        <is>
          <t>PKG-12</t>
        </is>
      </c>
      <c r="C298" s="3" t="n"/>
      <c r="D298" s="3" t="inlineStr">
        <is>
          <t>L-011</t>
        </is>
      </c>
      <c r="E298" s="3" t="inlineStr">
        <is>
          <t>MAT</t>
        </is>
      </c>
      <c r="F298" s="3" t="inlineStr">
        <is>
          <t>PKG-12</t>
        </is>
      </c>
      <c r="G298" s="3" t="n"/>
      <c r="H298" s="3" t="inlineStr">
        <is>
          <t>Metering Skid Structural Steel</t>
        </is>
      </c>
      <c r="I298" s="22" t="n">
        <v>1</v>
      </c>
      <c r="J298" s="3" t="inlineStr">
        <is>
          <t>LS</t>
        </is>
      </c>
      <c r="K298" s="39" t="n">
        <v>55000</v>
      </c>
      <c r="L298" s="35" t="n">
        <v>55000</v>
      </c>
      <c r="M298" s="3" t="inlineStr">
        <is>
          <t>CAD</t>
        </is>
      </c>
      <c r="N298" s="3" t="inlineStr">
        <is>
          <t>ALLOWANCE</t>
        </is>
      </c>
      <c r="O298" s="3" t="inlineStr">
        <is>
          <t>A-021</t>
        </is>
      </c>
      <c r="P298" s="3" t="inlineStr">
        <is>
          <t>LOW</t>
        </is>
      </c>
      <c r="Q298" s="3" t="inlineStr">
        <is>
          <t>Structural steel for metering skids (rail and marine) with access platforms; 8-12 tonnes estimated; coordinate with PKG-06</t>
        </is>
      </c>
      <c r="R298" s="3">
        <f>VLOOKUP($F298,Inputs!$D$6:$E$41,2,FALSE)</f>
        <v/>
      </c>
      <c r="S298" s="36">
        <f>VLOOKUP($E298,Inputs!$A$6:$B$13,2,FALSE)*Inputs!$B$2</f>
        <v/>
      </c>
      <c r="T298" s="35">
        <f>$L298*$S298</f>
        <v/>
      </c>
      <c r="U298" s="35">
        <f>$L298+$T298</f>
        <v/>
      </c>
    </row>
    <row r="299">
      <c r="A299" s="3" t="inlineStr">
        <is>
          <t>PKG-12::L-012</t>
        </is>
      </c>
      <c r="B299" s="3" t="inlineStr">
        <is>
          <t>PKG-12</t>
        </is>
      </c>
      <c r="C299" s="3" t="n"/>
      <c r="D299" s="3" t="inlineStr">
        <is>
          <t>L-012</t>
        </is>
      </c>
      <c r="E299" s="3" t="inlineStr">
        <is>
          <t>MAT</t>
        </is>
      </c>
      <c r="F299" s="3" t="inlineStr">
        <is>
          <t>PKG-12</t>
        </is>
      </c>
      <c r="G299" s="3" t="n"/>
      <c r="H299" s="3" t="inlineStr">
        <is>
          <t>Meter Run Piping (Stainless Steel)</t>
        </is>
      </c>
      <c r="I299" s="22" t="n">
        <v>1</v>
      </c>
      <c r="J299" s="3" t="inlineStr">
        <is>
          <t>LS</t>
        </is>
      </c>
      <c r="K299" s="39" t="n">
        <v>35000</v>
      </c>
      <c r="L299" s="35" t="n">
        <v>35000</v>
      </c>
      <c r="M299" s="3" t="inlineStr">
        <is>
          <t>CAD</t>
        </is>
      </c>
      <c r="N299" s="3" t="inlineStr">
        <is>
          <t>ALLOWANCE</t>
        </is>
      </c>
      <c r="O299" s="3" t="inlineStr">
        <is>
          <t>A-022</t>
        </is>
      </c>
      <c r="P299" s="3" t="inlineStr">
        <is>
          <t>MED</t>
        </is>
      </c>
      <c r="Q299" s="3" t="inlineStr">
        <is>
          <t>SS316L piping for meter runs with straight-run sections (10D upstream 5D downstream typical); includes flanges and supports</t>
        </is>
      </c>
      <c r="R299" s="3">
        <f>VLOOKUP($F299,Inputs!$D$6:$E$41,2,FALSE)</f>
        <v/>
      </c>
      <c r="S299" s="36">
        <f>VLOOKUP($E299,Inputs!$A$6:$B$13,2,FALSE)*Inputs!$B$2</f>
        <v/>
      </c>
      <c r="T299" s="35">
        <f>$L299*$S299</f>
        <v/>
      </c>
      <c r="U299" s="35">
        <f>$L299+$T299</f>
        <v/>
      </c>
    </row>
    <row r="300">
      <c r="A300" s="3" t="inlineStr">
        <is>
          <t>PKG-12::L-013</t>
        </is>
      </c>
      <c r="B300" s="3" t="inlineStr">
        <is>
          <t>PKG-12</t>
        </is>
      </c>
      <c r="C300" s="3" t="n"/>
      <c r="D300" s="3" t="inlineStr">
        <is>
          <t>L-013</t>
        </is>
      </c>
      <c r="E300" s="3" t="inlineStr">
        <is>
          <t>MAT</t>
        </is>
      </c>
      <c r="F300" s="3" t="inlineStr">
        <is>
          <t>PKG-12</t>
        </is>
      </c>
      <c r="G300" s="3" t="n"/>
      <c r="H300" s="3" t="inlineStr">
        <is>
          <t>Metering System Installation Consumables</t>
        </is>
      </c>
      <c r="I300" s="22" t="n">
        <v>1</v>
      </c>
      <c r="J300" s="3" t="inlineStr">
        <is>
          <t>LS</t>
        </is>
      </c>
      <c r="K300" s="39" t="n">
        <v>15000</v>
      </c>
      <c r="L300" s="35" t="n">
        <v>15000</v>
      </c>
      <c r="M300" s="3" t="inlineStr">
        <is>
          <t>CAD</t>
        </is>
      </c>
      <c r="N300" s="3" t="inlineStr">
        <is>
          <t>ALLOWANCE</t>
        </is>
      </c>
      <c r="O300" s="3" t="inlineStr">
        <is>
          <t>A-023</t>
        </is>
      </c>
      <c r="P300" s="3" t="inlineStr">
        <is>
          <t>MED</t>
        </is>
      </c>
      <c r="Q300" s="3" t="inlineStr">
        <is>
          <t>Gaskets + fasteners + welding materials + sealants + calibration fluids</t>
        </is>
      </c>
      <c r="R300" s="3">
        <f>VLOOKUP($F300,Inputs!$D$6:$E$41,2,FALSE)</f>
        <v/>
      </c>
      <c r="S300" s="36">
        <f>VLOOKUP($E300,Inputs!$A$6:$B$13,2,FALSE)*Inputs!$B$2</f>
        <v/>
      </c>
      <c r="T300" s="35">
        <f>$L300*$S300</f>
        <v/>
      </c>
      <c r="U300" s="35">
        <f>$L300+$T300</f>
        <v/>
      </c>
    </row>
    <row r="301">
      <c r="A301" s="3" t="inlineStr">
        <is>
          <t>PKG-12::L-014</t>
        </is>
      </c>
      <c r="B301" s="3" t="inlineStr">
        <is>
          <t>PKG-12</t>
        </is>
      </c>
      <c r="C301" s="3" t="n"/>
      <c r="D301" s="3" t="inlineStr">
        <is>
          <t>L-014</t>
        </is>
      </c>
      <c r="E301" s="3" t="inlineStr">
        <is>
          <t>MAT</t>
        </is>
      </c>
      <c r="F301" s="3" t="inlineStr">
        <is>
          <t>PKG-12</t>
        </is>
      </c>
      <c r="G301" s="3" t="n"/>
      <c r="H301" s="3" t="inlineStr">
        <is>
          <t>Flow Computers / Totalizers</t>
        </is>
      </c>
      <c r="I301" s="22" t="n">
        <v>2</v>
      </c>
      <c r="J301" s="3" t="inlineStr">
        <is>
          <t>EA</t>
        </is>
      </c>
      <c r="K301" s="39" t="n">
        <v>18000</v>
      </c>
      <c r="L301" s="35" t="n">
        <v>36000</v>
      </c>
      <c r="M301" s="3" t="inlineStr">
        <is>
          <t>CAD</t>
        </is>
      </c>
      <c r="N301" s="3" t="inlineStr">
        <is>
          <t>ALLOWANCE</t>
        </is>
      </c>
      <c r="O301" s="3" t="inlineStr">
        <is>
          <t>A-031</t>
        </is>
      </c>
      <c r="P301" s="3" t="inlineStr">
        <is>
          <t>LOW</t>
        </is>
      </c>
      <c r="Q301" s="3" t="inlineStr">
        <is>
          <t>Flow computers for custody transfer totalizing (1 for rail 1 for marine); or integrated in control system (PKG-19); TBD</t>
        </is>
      </c>
      <c r="R301" s="3">
        <f>VLOOKUP($F301,Inputs!$D$6:$E$41,2,FALSE)</f>
        <v/>
      </c>
      <c r="S301" s="36">
        <f>VLOOKUP($E301,Inputs!$A$6:$B$13,2,FALSE)*Inputs!$B$2</f>
        <v/>
      </c>
      <c r="T301" s="35">
        <f>$L301*$S301</f>
        <v/>
      </c>
      <c r="U301" s="35">
        <f>$L301+$T301</f>
        <v/>
      </c>
    </row>
    <row r="302">
      <c r="A302" s="3" t="inlineStr">
        <is>
          <t>PKG-12::L-015</t>
        </is>
      </c>
      <c r="B302" s="3" t="inlineStr">
        <is>
          <t>PKG-12</t>
        </is>
      </c>
      <c r="C302" s="3" t="n"/>
      <c r="D302" s="3" t="inlineStr">
        <is>
          <t>L-015</t>
        </is>
      </c>
      <c r="E302" s="3" t="inlineStr">
        <is>
          <t>MAT</t>
        </is>
      </c>
      <c r="F302" s="3" t="inlineStr">
        <is>
          <t>PKG-12</t>
        </is>
      </c>
      <c r="G302" s="3" t="n"/>
      <c r="H302" s="3" t="inlineStr">
        <is>
          <t>Junction Boxes and Marshalling</t>
        </is>
      </c>
      <c r="I302" s="22" t="n">
        <v>1</v>
      </c>
      <c r="J302" s="3" t="inlineStr">
        <is>
          <t>LS</t>
        </is>
      </c>
      <c r="K302" s="39" t="n">
        <v>12000</v>
      </c>
      <c r="L302" s="35" t="n">
        <v>12000</v>
      </c>
      <c r="M302" s="3" t="inlineStr">
        <is>
          <t>CAD</t>
        </is>
      </c>
      <c r="N302" s="3" t="inlineStr">
        <is>
          <t>ALLOWANCE</t>
        </is>
      </c>
      <c r="O302" s="3" t="inlineStr">
        <is>
          <t>A-032</t>
        </is>
      </c>
      <c r="P302" s="3" t="inlineStr">
        <is>
          <t>MED</t>
        </is>
      </c>
      <c r="Q302" s="3" t="inlineStr">
        <is>
          <t>Junction boxes + instrument marshalling panels for metering system; coordinate with PKG-20</t>
        </is>
      </c>
      <c r="R302" s="3">
        <f>VLOOKUP($F302,Inputs!$D$6:$E$41,2,FALSE)</f>
        <v/>
      </c>
      <c r="S302" s="36">
        <f>VLOOKUP($E302,Inputs!$A$6:$B$13,2,FALSE)*Inputs!$B$2</f>
        <v/>
      </c>
      <c r="T302" s="35">
        <f>$L302*$S302</f>
        <v/>
      </c>
      <c r="U302" s="35">
        <f>$L302+$T302</f>
        <v/>
      </c>
    </row>
    <row r="303">
      <c r="A303" s="3" t="inlineStr">
        <is>
          <t>PKG-12::L-016</t>
        </is>
      </c>
      <c r="B303" s="3" t="inlineStr">
        <is>
          <t>PKG-12</t>
        </is>
      </c>
      <c r="C303" s="3" t="n"/>
      <c r="D303" s="3" t="inlineStr">
        <is>
          <t>L-016</t>
        </is>
      </c>
      <c r="E303" s="3" t="inlineStr">
        <is>
          <t>CD</t>
        </is>
      </c>
      <c r="F303" s="3" t="inlineStr">
        <is>
          <t>PKG-12</t>
        </is>
      </c>
      <c r="G303" s="3" t="n"/>
      <c r="H303" s="3" t="inlineStr">
        <is>
          <t>Metering System Installation Labor</t>
        </is>
      </c>
      <c r="I303" s="22" t="n">
        <v>2400</v>
      </c>
      <c r="J303" s="3" t="inlineStr">
        <is>
          <t>MH</t>
        </is>
      </c>
      <c r="K303" s="39" t="n">
        <v>120</v>
      </c>
      <c r="L303" s="35" t="n">
        <v>288000</v>
      </c>
      <c r="M303" s="3" t="inlineStr">
        <is>
          <t>CAD</t>
        </is>
      </c>
      <c r="N303" s="3" t="inlineStr">
        <is>
          <t>ALLOWANCE</t>
        </is>
      </c>
      <c r="O303" s="3" t="inlineStr">
        <is>
          <t>A-024</t>
        </is>
      </c>
      <c r="P303" s="3" t="inlineStr">
        <is>
          <t>LOW</t>
        </is>
      </c>
      <c r="Q303" s="3" t="inlineStr">
        <is>
          <t>Meter installation + piping + electrical/instrument connections; 2000-2800 hrs estimated at $120/hr all-in</t>
        </is>
      </c>
      <c r="R303" s="3">
        <f>VLOOKUP($F303,Inputs!$D$6:$E$41,2,FALSE)</f>
        <v/>
      </c>
      <c r="S303" s="36">
        <f>VLOOKUP($E303,Inputs!$A$6:$B$13,2,FALSE)*Inputs!$B$2</f>
        <v/>
      </c>
      <c r="T303" s="35">
        <f>$L303*$S303</f>
        <v/>
      </c>
      <c r="U303" s="35">
        <f>$L303+$T303</f>
        <v/>
      </c>
    </row>
    <row r="304">
      <c r="A304" s="3" t="inlineStr">
        <is>
          <t>PKG-12::L-017</t>
        </is>
      </c>
      <c r="B304" s="3" t="inlineStr">
        <is>
          <t>PKG-12</t>
        </is>
      </c>
      <c r="C304" s="3" t="n"/>
      <c r="D304" s="3" t="inlineStr">
        <is>
          <t>L-017</t>
        </is>
      </c>
      <c r="E304" s="3" t="inlineStr">
        <is>
          <t>CD</t>
        </is>
      </c>
      <c r="F304" s="3" t="inlineStr">
        <is>
          <t>PKG-12</t>
        </is>
      </c>
      <c r="G304" s="3" t="n"/>
      <c r="H304" s="3" t="inlineStr">
        <is>
          <t>Survey and Setting Out</t>
        </is>
      </c>
      <c r="I304" s="22" t="n">
        <v>40</v>
      </c>
      <c r="J304" s="3" t="inlineStr">
        <is>
          <t>MH</t>
        </is>
      </c>
      <c r="K304" s="39" t="n">
        <v>120</v>
      </c>
      <c r="L304" s="35" t="n">
        <v>5000</v>
      </c>
      <c r="M304" s="3" t="inlineStr">
        <is>
          <t>CAD</t>
        </is>
      </c>
      <c r="N304" s="3" t="inlineStr">
        <is>
          <t>ALLOWANCE</t>
        </is>
      </c>
      <c r="O304" s="3" t="inlineStr">
        <is>
          <t>A-025</t>
        </is>
      </c>
      <c r="P304" s="3" t="inlineStr">
        <is>
          <t>MED</t>
        </is>
      </c>
      <c r="Q304" s="3" t="inlineStr">
        <is>
          <t>Survey and setting out for metering skid installation</t>
        </is>
      </c>
      <c r="R304" s="3">
        <f>VLOOKUP($F304,Inputs!$D$6:$E$41,2,FALSE)</f>
        <v/>
      </c>
      <c r="S304" s="36">
        <f>VLOOKUP($E304,Inputs!$A$6:$B$13,2,FALSE)*Inputs!$B$2</f>
        <v/>
      </c>
      <c r="T304" s="35">
        <f>$L304*$S304</f>
        <v/>
      </c>
      <c r="U304" s="35">
        <f>$L304+$T304</f>
        <v/>
      </c>
    </row>
    <row r="305">
      <c r="A305" s="3" t="inlineStr">
        <is>
          <t>PKG-12::L-018</t>
        </is>
      </c>
      <c r="B305" s="3" t="inlineStr">
        <is>
          <t>PKG-12</t>
        </is>
      </c>
      <c r="C305" s="3" t="n"/>
      <c r="D305" s="3" t="inlineStr">
        <is>
          <t>L-018</t>
        </is>
      </c>
      <c r="E305" s="3" t="inlineStr">
        <is>
          <t>CD</t>
        </is>
      </c>
      <c r="F305" s="3" t="inlineStr">
        <is>
          <t>PKG-12</t>
        </is>
      </c>
      <c r="G305" s="3" t="n"/>
      <c r="H305" s="3" t="inlineStr">
        <is>
          <t>Specialist Installation Equipment</t>
        </is>
      </c>
      <c r="I305" s="22" t="n">
        <v>1</v>
      </c>
      <c r="J305" s="3" t="inlineStr">
        <is>
          <t>LS</t>
        </is>
      </c>
      <c r="K305" s="39" t="n">
        <v>18000</v>
      </c>
      <c r="L305" s="35" t="n">
        <v>18000</v>
      </c>
      <c r="M305" s="3" t="inlineStr">
        <is>
          <t>CAD</t>
        </is>
      </c>
      <c r="N305" s="3" t="inlineStr">
        <is>
          <t>ALLOWANCE</t>
        </is>
      </c>
      <c r="O305" s="3" t="inlineStr">
        <is>
          <t>A-026</t>
        </is>
      </c>
      <c r="P305" s="3" t="inlineStr">
        <is>
          <t>MED</t>
        </is>
      </c>
      <c r="Q305" s="3" t="inlineStr">
        <is>
          <t>Crane/hoist + alignment tools + torque tools + welding equipment for precision meter installation</t>
        </is>
      </c>
      <c r="R305" s="3">
        <f>VLOOKUP($F305,Inputs!$D$6:$E$41,2,FALSE)</f>
        <v/>
      </c>
      <c r="S305" s="36">
        <f>VLOOKUP($E305,Inputs!$A$6:$B$13,2,FALSE)*Inputs!$B$2</f>
        <v/>
      </c>
      <c r="T305" s="35">
        <f>$L305*$S305</f>
        <v/>
      </c>
      <c r="U305" s="35">
        <f>$L305+$T305</f>
        <v/>
      </c>
    </row>
    <row r="306">
      <c r="A306" s="3" t="inlineStr">
        <is>
          <t>PKG-12::L-019</t>
        </is>
      </c>
      <c r="B306" s="3" t="inlineStr">
        <is>
          <t>PKG-12</t>
        </is>
      </c>
      <c r="C306" s="3" t="n"/>
      <c r="D306" s="3" t="inlineStr">
        <is>
          <t>L-019</t>
        </is>
      </c>
      <c r="E306" s="3" t="inlineStr">
        <is>
          <t>CI</t>
        </is>
      </c>
      <c r="F306" s="3" t="inlineStr">
        <is>
          <t>PKG-12</t>
        </is>
      </c>
      <c r="G306" s="3" t="n"/>
      <c r="H306" s="3" t="inlineStr">
        <is>
          <t>Construction Indirects</t>
        </is>
      </c>
      <c r="I306" s="22" t="n">
        <v>1</v>
      </c>
      <c r="J306" s="3" t="inlineStr">
        <is>
          <t>LS</t>
        </is>
      </c>
      <c r="K306" s="39" t="n">
        <v>56000</v>
      </c>
      <c r="L306" s="35" t="n">
        <v>56000</v>
      </c>
      <c r="M306" s="3" t="inlineStr">
        <is>
          <t>CAD</t>
        </is>
      </c>
      <c r="N306" s="3" t="inlineStr">
        <is>
          <t>PARAMETRIC</t>
        </is>
      </c>
      <c r="O306" s="3" t="inlineStr">
        <is>
          <t>D-007 (18% factor on CD)</t>
        </is>
      </c>
      <c r="P306" s="3" t="inlineStr">
        <is>
          <t>MED</t>
        </is>
      </c>
      <c r="Q306" s="3" t="inlineStr">
        <is>
          <t>18% of CD base for supervision + temp facilities + HSE + QA/QC</t>
        </is>
      </c>
      <c r="R306" s="3">
        <f>VLOOKUP($F306,Inputs!$D$6:$E$41,2,FALSE)</f>
        <v/>
      </c>
      <c r="S306" s="36">
        <f>VLOOKUP($E306,Inputs!$A$6:$B$13,2,FALSE)*Inputs!$B$2</f>
        <v/>
      </c>
      <c r="T306" s="35">
        <f>$L306*$S306</f>
        <v/>
      </c>
      <c r="U306" s="35">
        <f>$L306+$T306</f>
        <v/>
      </c>
    </row>
    <row r="307">
      <c r="A307" s="3" t="inlineStr">
        <is>
          <t>PKG-12::L-020</t>
        </is>
      </c>
      <c r="B307" s="3" t="inlineStr">
        <is>
          <t>PKG-12</t>
        </is>
      </c>
      <c r="C307" s="3" t="n"/>
      <c r="D307" s="3" t="inlineStr">
        <is>
          <t>L-020</t>
        </is>
      </c>
      <c r="E307" s="3" t="inlineStr">
        <is>
          <t>P</t>
        </is>
      </c>
      <c r="F307" s="3" t="inlineStr">
        <is>
          <t>PKG-12</t>
        </is>
      </c>
      <c r="G307" s="3" t="n"/>
      <c r="H307" s="3" t="inlineStr">
        <is>
          <t>Procurement Services</t>
        </is>
      </c>
      <c r="I307" s="22" t="n">
        <v>1</v>
      </c>
      <c r="J307" s="3" t="inlineStr">
        <is>
          <t>LS</t>
        </is>
      </c>
      <c r="K307" s="39" t="n">
        <v>13000</v>
      </c>
      <c r="L307" s="35" t="n">
        <v>13000</v>
      </c>
      <c r="M307" s="3" t="inlineStr">
        <is>
          <t>CAD</t>
        </is>
      </c>
      <c r="N307" s="3" t="inlineStr">
        <is>
          <t>PARAMETRIC</t>
        </is>
      </c>
      <c r="O307" s="3" t="inlineStr">
        <is>
          <t>D-007 (2% factor on MAT)</t>
        </is>
      </c>
      <c r="P307" s="3" t="inlineStr">
        <is>
          <t>MED</t>
        </is>
      </c>
      <c r="Q307" s="3" t="inlineStr">
        <is>
          <t>2% of MAT for purchasing + expediting + inspection of custody transfer equipment</t>
        </is>
      </c>
      <c r="R307" s="3">
        <f>VLOOKUP($F307,Inputs!$D$6:$E$41,2,FALSE)</f>
        <v/>
      </c>
      <c r="S307" s="36">
        <f>VLOOKUP($E307,Inputs!$A$6:$B$13,2,FALSE)*Inputs!$B$2</f>
        <v/>
      </c>
      <c r="T307" s="35">
        <f>$L307*$S307</f>
        <v/>
      </c>
      <c r="U307" s="35">
        <f>$L307+$T307</f>
        <v/>
      </c>
    </row>
    <row r="308">
      <c r="A308" s="3" t="inlineStr">
        <is>
          <t>PKG-12::L-021</t>
        </is>
      </c>
      <c r="B308" s="3" t="inlineStr">
        <is>
          <t>PKG-12</t>
        </is>
      </c>
      <c r="C308" s="3" t="n"/>
      <c r="D308" s="3" t="inlineStr">
        <is>
          <t>L-021</t>
        </is>
      </c>
      <c r="E308" s="3" t="inlineStr">
        <is>
          <t>PM</t>
        </is>
      </c>
      <c r="F308" s="3" t="inlineStr">
        <is>
          <t>PKG-12</t>
        </is>
      </c>
      <c r="G308" s="3" t="n"/>
      <c r="H308" s="3" t="inlineStr">
        <is>
          <t>Project Management / EPCM</t>
        </is>
      </c>
      <c r="I308" s="22" t="n">
        <v>1</v>
      </c>
      <c r="J308" s="3" t="inlineStr">
        <is>
          <t>LS</t>
        </is>
      </c>
      <c r="K308" s="39" t="n">
        <v>71000</v>
      </c>
      <c r="L308" s="35" t="n">
        <v>71000</v>
      </c>
      <c r="M308" s="3" t="inlineStr">
        <is>
          <t>CAD</t>
        </is>
      </c>
      <c r="N308" s="3" t="inlineStr">
        <is>
          <t>PARAMETRIC</t>
        </is>
      </c>
      <c r="O308" s="3" t="inlineStr">
        <is>
          <t>D-007 (6% factor)</t>
        </is>
      </c>
      <c r="P308" s="3" t="inlineStr">
        <is>
          <t>MED</t>
        </is>
      </c>
      <c r="Q308" s="3" t="inlineStr">
        <is>
          <t>6% of (CD + CI + MAT) for project management + EPCM</t>
        </is>
      </c>
      <c r="R308" s="3">
        <f>VLOOKUP($F308,Inputs!$D$6:$E$41,2,FALSE)</f>
        <v/>
      </c>
      <c r="S308" s="36">
        <f>VLOOKUP($E308,Inputs!$A$6:$B$13,2,FALSE)*Inputs!$B$2</f>
        <v/>
      </c>
      <c r="T308" s="35">
        <f>$L308*$S308</f>
        <v/>
      </c>
      <c r="U308" s="35">
        <f>$L308+$T308</f>
        <v/>
      </c>
    </row>
    <row r="309">
      <c r="A309" s="3" t="inlineStr">
        <is>
          <t>PKG-12::L-022</t>
        </is>
      </c>
      <c r="B309" s="3" t="inlineStr">
        <is>
          <t>PKG-12</t>
        </is>
      </c>
      <c r="C309" s="3" t="n"/>
      <c r="D309" s="3" t="inlineStr">
        <is>
          <t>L-022</t>
        </is>
      </c>
      <c r="E309" s="3" t="inlineStr">
        <is>
          <t>COM</t>
        </is>
      </c>
      <c r="F309" s="3" t="inlineStr">
        <is>
          <t>PKG-12</t>
        </is>
      </c>
      <c r="G309" s="3" t="n"/>
      <c r="H309" s="3" t="inlineStr">
        <is>
          <t>Factory Acceptance Test (FAT) - Flow Meters</t>
        </is>
      </c>
      <c r="I309" s="22" t="n">
        <v>1</v>
      </c>
      <c r="J309" s="3" t="inlineStr">
        <is>
          <t>LS</t>
        </is>
      </c>
      <c r="K309" s="39" t="n">
        <v>32000</v>
      </c>
      <c r="L309" s="35" t="n">
        <v>32000</v>
      </c>
      <c r="M309" s="3" t="inlineStr">
        <is>
          <t>CAD</t>
        </is>
      </c>
      <c r="N309" s="3" t="inlineStr">
        <is>
          <t>ALLOWANCE</t>
        </is>
      </c>
      <c r="O309" s="3" t="inlineStr">
        <is>
          <t>A-027</t>
        </is>
      </c>
      <c r="P309" s="3" t="inlineStr">
        <is>
          <t>LOW</t>
        </is>
      </c>
      <c r="Q309" s="3" t="inlineStr">
        <is>
          <t>FAT for 2 custody transfer flow meters at vendor facility; includes witness travel</t>
        </is>
      </c>
      <c r="R309" s="3">
        <f>VLOOKUP($F309,Inputs!$D$6:$E$41,2,FALSE)</f>
        <v/>
      </c>
      <c r="S309" s="36">
        <f>VLOOKUP($E309,Inputs!$A$6:$B$13,2,FALSE)*Inputs!$B$2</f>
        <v/>
      </c>
      <c r="T309" s="35">
        <f>$L309*$S309</f>
        <v/>
      </c>
      <c r="U309" s="35">
        <f>$L309+$T309</f>
        <v/>
      </c>
    </row>
    <row r="310">
      <c r="A310" s="3" t="inlineStr">
        <is>
          <t>PKG-12::L-023</t>
        </is>
      </c>
      <c r="B310" s="3" t="inlineStr">
        <is>
          <t>PKG-12</t>
        </is>
      </c>
      <c r="C310" s="3" t="n"/>
      <c r="D310" s="3" t="inlineStr">
        <is>
          <t>L-023</t>
        </is>
      </c>
      <c r="E310" s="3" t="inlineStr">
        <is>
          <t>COM</t>
        </is>
      </c>
      <c r="F310" s="3" t="inlineStr">
        <is>
          <t>PKG-12</t>
        </is>
      </c>
      <c r="G310" s="3" t="n"/>
      <c r="H310" s="3" t="inlineStr">
        <is>
          <t>Site Acceptance Test (SAT) - Metering System</t>
        </is>
      </c>
      <c r="I310" s="22" t="n">
        <v>1</v>
      </c>
      <c r="J310" s="3" t="inlineStr">
        <is>
          <t>LS</t>
        </is>
      </c>
      <c r="K310" s="39" t="n">
        <v>28000</v>
      </c>
      <c r="L310" s="35" t="n">
        <v>28000</v>
      </c>
      <c r="M310" s="3" t="inlineStr">
        <is>
          <t>CAD</t>
        </is>
      </c>
      <c r="N310" s="3" t="inlineStr">
        <is>
          <t>ALLOWANCE</t>
        </is>
      </c>
      <c r="O310" s="3" t="inlineStr">
        <is>
          <t>A-028</t>
        </is>
      </c>
      <c r="P310" s="3" t="inlineStr">
        <is>
          <t>LOW</t>
        </is>
      </c>
      <c r="Q310" s="3" t="inlineStr">
        <is>
          <t>Functional testing of installed metering system (2 services); integration testing with control system</t>
        </is>
      </c>
      <c r="R310" s="3">
        <f>VLOOKUP($F310,Inputs!$D$6:$E$41,2,FALSE)</f>
        <v/>
      </c>
      <c r="S310" s="36">
        <f>VLOOKUP($E310,Inputs!$A$6:$B$13,2,FALSE)*Inputs!$B$2</f>
        <v/>
      </c>
      <c r="T310" s="35">
        <f>$L310*$S310</f>
        <v/>
      </c>
      <c r="U310" s="35">
        <f>$L310+$T310</f>
        <v/>
      </c>
    </row>
    <row r="311">
      <c r="A311" s="3" t="inlineStr">
        <is>
          <t>PKG-12::L-024</t>
        </is>
      </c>
      <c r="B311" s="3" t="inlineStr">
        <is>
          <t>PKG-12</t>
        </is>
      </c>
      <c r="C311" s="3" t="n"/>
      <c r="D311" s="3" t="inlineStr">
        <is>
          <t>L-024</t>
        </is>
      </c>
      <c r="E311" s="3" t="inlineStr">
        <is>
          <t>COM</t>
        </is>
      </c>
      <c r="F311" s="3" t="inlineStr">
        <is>
          <t>PKG-12</t>
        </is>
      </c>
      <c r="G311" s="3" t="n"/>
      <c r="H311" s="3" t="inlineStr">
        <is>
          <t>Initial Proving (Commissioning)</t>
        </is>
      </c>
      <c r="I311" s="22" t="n">
        <v>1</v>
      </c>
      <c r="J311" s="3" t="inlineStr">
        <is>
          <t>LS</t>
        </is>
      </c>
      <c r="K311" s="39" t="n">
        <v>48000</v>
      </c>
      <c r="L311" s="35" t="n">
        <v>48000</v>
      </c>
      <c r="M311" s="3" t="inlineStr">
        <is>
          <t>CAD</t>
        </is>
      </c>
      <c r="N311" s="3" t="inlineStr">
        <is>
          <t>ALLOWANCE</t>
        </is>
      </c>
      <c r="O311" s="3" t="inlineStr">
        <is>
          <t>A-029</t>
        </is>
      </c>
      <c r="P311" s="3" t="inlineStr">
        <is>
          <t>LOW</t>
        </is>
      </c>
      <c r="Q311" s="3" t="inlineStr">
        <is>
          <t>Initial proving for 2 meters to establish baseline meter factors; proving specialist + equipment mobilization</t>
        </is>
      </c>
      <c r="R311" s="3">
        <f>VLOOKUP($F311,Inputs!$D$6:$E$41,2,FALSE)</f>
        <v/>
      </c>
      <c r="S311" s="36">
        <f>VLOOKUP($E311,Inputs!$A$6:$B$13,2,FALSE)*Inputs!$B$2</f>
        <v/>
      </c>
      <c r="T311" s="35">
        <f>$L311*$S311</f>
        <v/>
      </c>
      <c r="U311" s="35">
        <f>$L311+$T311</f>
        <v/>
      </c>
    </row>
    <row r="312">
      <c r="A312" s="3" t="inlineStr">
        <is>
          <t>PKG-12::L-025</t>
        </is>
      </c>
      <c r="B312" s="3" t="inlineStr">
        <is>
          <t>PKG-12</t>
        </is>
      </c>
      <c r="C312" s="3" t="n"/>
      <c r="D312" s="3" t="inlineStr">
        <is>
          <t>L-025</t>
        </is>
      </c>
      <c r="E312" s="3" t="inlineStr">
        <is>
          <t>COM</t>
        </is>
      </c>
      <c r="F312" s="3" t="inlineStr">
        <is>
          <t>PKG-12</t>
        </is>
      </c>
      <c r="G312" s="3" t="n"/>
      <c r="H312" s="3" t="inlineStr">
        <is>
          <t>Calibration Verification and Record Compilation</t>
        </is>
      </c>
      <c r="I312" s="22" t="n">
        <v>1</v>
      </c>
      <c r="J312" s="3" t="inlineStr">
        <is>
          <t>LS</t>
        </is>
      </c>
      <c r="K312" s="39" t="n">
        <v>12000</v>
      </c>
      <c r="L312" s="35" t="n">
        <v>12000</v>
      </c>
      <c r="M312" s="3" t="inlineStr">
        <is>
          <t>CAD</t>
        </is>
      </c>
      <c r="N312" s="3" t="inlineStr">
        <is>
          <t>ALLOWANCE</t>
        </is>
      </c>
      <c r="O312" s="3" t="inlineStr">
        <is>
          <t>A-030</t>
        </is>
      </c>
      <c r="P312" s="3" t="inlineStr">
        <is>
          <t>MED</t>
        </is>
      </c>
      <c r="Q312" s="3" t="inlineStr">
        <is>
          <t>Final calibration verification + QA record package compilation per DEL-12.05</t>
        </is>
      </c>
      <c r="R312" s="3">
        <f>VLOOKUP($F312,Inputs!$D$6:$E$41,2,FALSE)</f>
        <v/>
      </c>
      <c r="S312" s="36">
        <f>VLOOKUP($E312,Inputs!$A$6:$B$13,2,FALSE)*Inputs!$B$2</f>
        <v/>
      </c>
      <c r="T312" s="35">
        <f>$L312*$S312</f>
        <v/>
      </c>
      <c r="U312" s="35">
        <f>$L312+$T312</f>
        <v/>
      </c>
    </row>
    <row r="313">
      <c r="A313" s="3" t="inlineStr">
        <is>
          <t>PKG-13::L001</t>
        </is>
      </c>
      <c r="B313" s="3" t="inlineStr">
        <is>
          <t>PKG-13</t>
        </is>
      </c>
      <c r="C313" s="3" t="inlineStr">
        <is>
          <t>DEL-13.01</t>
        </is>
      </c>
      <c r="D313" s="3" t="inlineStr">
        <is>
          <t>L001</t>
        </is>
      </c>
      <c r="E313" s="3" t="inlineStr">
        <is>
          <t>E</t>
        </is>
      </c>
      <c r="F313" s="3" t="inlineStr">
        <is>
          <t>PKG-13</t>
        </is>
      </c>
      <c r="G313" s="3" t="inlineStr">
        <is>
          <t>DEL-13.01</t>
        </is>
      </c>
      <c r="H313" s="3" t="inlineStr">
        <is>
          <t>Storage Tank Design Drawing Set - CAD drafting (3 tank GAs foundations nozzle schedules roof details agitator drawings)</t>
        </is>
      </c>
      <c r="I313" s="22" t="n">
        <v>1</v>
      </c>
      <c r="J313" s="3" t="inlineStr">
        <is>
          <t>LS</t>
        </is>
      </c>
      <c r="K313" s="39" t="n">
        <v>180000</v>
      </c>
      <c r="L313" s="35" t="n">
        <v>180000</v>
      </c>
      <c r="M313" s="3" t="inlineStr">
        <is>
          <t>CAD</t>
        </is>
      </c>
      <c r="N313" s="3" t="inlineStr">
        <is>
          <t>ALLOWANCE</t>
        </is>
      </c>
      <c r="O313" s="3" t="inlineStr">
        <is>
          <t>A-011</t>
        </is>
      </c>
      <c r="P313" s="3" t="inlineStr">
        <is>
          <t>LOW</t>
        </is>
      </c>
      <c r="Q313" s="3" t="inlineStr">
        <is>
          <t>~60 sheets at $3k/sheet average for mechanical</t>
        </is>
      </c>
      <c r="R313" s="3">
        <f>VLOOKUP($F313,Inputs!$D$6:$E$41,2,FALSE)</f>
        <v/>
      </c>
      <c r="S313" s="36">
        <f>VLOOKUP($E313,Inputs!$A$6:$B$13,2,FALSE)*Inputs!$B$2</f>
        <v/>
      </c>
      <c r="T313" s="35">
        <f>$L313*$S313</f>
        <v/>
      </c>
      <c r="U313" s="35">
        <f>$L313+$T313</f>
        <v/>
      </c>
    </row>
    <row r="314">
      <c r="A314" s="3" t="inlineStr">
        <is>
          <t>PKG-13::L002</t>
        </is>
      </c>
      <c r="B314" s="3" t="inlineStr">
        <is>
          <t>PKG-13</t>
        </is>
      </c>
      <c r="C314" s="3" t="inlineStr">
        <is>
          <t>DEL-13.02</t>
        </is>
      </c>
      <c r="D314" s="3" t="inlineStr">
        <is>
          <t>L002</t>
        </is>
      </c>
      <c r="E314" s="3" t="inlineStr">
        <is>
          <t>E</t>
        </is>
      </c>
      <c r="F314" s="3" t="inlineStr">
        <is>
          <t>PKG-13</t>
        </is>
      </c>
      <c r="G314" s="3" t="inlineStr">
        <is>
          <t>DEL-13.02</t>
        </is>
      </c>
      <c r="H314" s="3" t="inlineStr">
        <is>
          <t>Storage Tank Technical Specification - API 650 specification agitator specification appurtenance specification</t>
        </is>
      </c>
      <c r="I314" s="22" t="n">
        <v>1</v>
      </c>
      <c r="J314" s="3" t="inlineStr">
        <is>
          <t>LS</t>
        </is>
      </c>
      <c r="K314" s="39" t="n">
        <v>85000</v>
      </c>
      <c r="L314" s="35" t="n">
        <v>85000</v>
      </c>
      <c r="M314" s="3" t="inlineStr">
        <is>
          <t>CAD</t>
        </is>
      </c>
      <c r="N314" s="3" t="inlineStr">
        <is>
          <t>ALLOWANCE</t>
        </is>
      </c>
      <c r="O314" s="3" t="inlineStr">
        <is>
          <t>A-012</t>
        </is>
      </c>
      <c r="P314" s="3" t="inlineStr">
        <is>
          <t>LOW</t>
        </is>
      </c>
      <c r="Q314" s="3" t="inlineStr">
        <is>
          <t>~400 hours at $210/hr for mechanical/process specialist</t>
        </is>
      </c>
      <c r="R314" s="3">
        <f>VLOOKUP($F314,Inputs!$D$6:$E$41,2,FALSE)</f>
        <v/>
      </c>
      <c r="S314" s="36">
        <f>VLOOKUP($E314,Inputs!$A$6:$B$13,2,FALSE)*Inputs!$B$2</f>
        <v/>
      </c>
      <c r="T314" s="35">
        <f>$L314*$S314</f>
        <v/>
      </c>
      <c r="U314" s="35">
        <f>$L314+$T314</f>
        <v/>
      </c>
    </row>
    <row r="315">
      <c r="A315" s="3" t="inlineStr">
        <is>
          <t>PKG-13::L003</t>
        </is>
      </c>
      <c r="B315" s="3" t="inlineStr">
        <is>
          <t>PKG-13</t>
        </is>
      </c>
      <c r="C315" s="3" t="inlineStr">
        <is>
          <t>DEL-13.03</t>
        </is>
      </c>
      <c r="D315" s="3" t="inlineStr">
        <is>
          <t>L003</t>
        </is>
      </c>
      <c r="E315" s="3" t="inlineStr">
        <is>
          <t>E</t>
        </is>
      </c>
      <c r="F315" s="3" t="inlineStr">
        <is>
          <t>PKG-13</t>
        </is>
      </c>
      <c r="G315" s="3" t="inlineStr">
        <is>
          <t>DEL-13.03</t>
        </is>
      </c>
      <c r="H315" s="3" t="inlineStr">
        <is>
          <t>Storage Tank Design Calculations - API 650 tank design (3 sets) foundation calculations seismic calculations</t>
        </is>
      </c>
      <c r="I315" s="22" t="n">
        <v>1</v>
      </c>
      <c r="J315" s="3" t="inlineStr">
        <is>
          <t>LS</t>
        </is>
      </c>
      <c r="K315" s="39" t="n">
        <v>150000</v>
      </c>
      <c r="L315" s="35" t="n">
        <v>150000</v>
      </c>
      <c r="M315" s="3" t="inlineStr">
        <is>
          <t>CAD</t>
        </is>
      </c>
      <c r="N315" s="3" t="inlineStr">
        <is>
          <t>ALLOWANCE</t>
        </is>
      </c>
      <c r="O315" s="3" t="inlineStr">
        <is>
          <t>A-013</t>
        </is>
      </c>
      <c r="P315" s="3" t="inlineStr">
        <is>
          <t>LOW</t>
        </is>
      </c>
      <c r="Q315" s="3" t="inlineStr">
        <is>
          <t>~600 hours at $250/hr for structural/mechanical engineer</t>
        </is>
      </c>
      <c r="R315" s="3">
        <f>VLOOKUP($F315,Inputs!$D$6:$E$41,2,FALSE)</f>
        <v/>
      </c>
      <c r="S315" s="36">
        <f>VLOOKUP($E315,Inputs!$A$6:$B$13,2,FALSE)*Inputs!$B$2</f>
        <v/>
      </c>
      <c r="T315" s="35">
        <f>$L315*$S315</f>
        <v/>
      </c>
      <c r="U315" s="35">
        <f>$L315+$T315</f>
        <v/>
      </c>
    </row>
    <row r="316">
      <c r="A316" s="3" t="inlineStr">
        <is>
          <t>PKG-13::L004</t>
        </is>
      </c>
      <c r="B316" s="3" t="inlineStr">
        <is>
          <t>PKG-13</t>
        </is>
      </c>
      <c r="C316" s="3" t="inlineStr">
        <is>
          <t>DEL-13.04</t>
        </is>
      </c>
      <c r="D316" s="3" t="inlineStr">
        <is>
          <t>L004</t>
        </is>
      </c>
      <c r="E316" s="3" t="inlineStr">
        <is>
          <t>E</t>
        </is>
      </c>
      <c r="F316" s="3" t="inlineStr">
        <is>
          <t>PKG-13</t>
        </is>
      </c>
      <c r="G316" s="3" t="inlineStr">
        <is>
          <t>DEL-13.04</t>
        </is>
      </c>
      <c r="H316" s="3" t="inlineStr">
        <is>
          <t>Storage Tank Data Sheet Package - tank data sheets (3) agitator data sheets (3) overflow protection data sheets</t>
        </is>
      </c>
      <c r="I316" s="22" t="n">
        <v>1</v>
      </c>
      <c r="J316" s="3" t="inlineStr">
        <is>
          <t>LS</t>
        </is>
      </c>
      <c r="K316" s="39" t="n">
        <v>45000</v>
      </c>
      <c r="L316" s="35" t="n">
        <v>45000</v>
      </c>
      <c r="M316" s="3" t="inlineStr">
        <is>
          <t>CAD</t>
        </is>
      </c>
      <c r="N316" s="3" t="inlineStr">
        <is>
          <t>ALLOWANCE</t>
        </is>
      </c>
      <c r="O316" s="3" t="inlineStr">
        <is>
          <t>A-014</t>
        </is>
      </c>
      <c r="P316" s="3" t="inlineStr">
        <is>
          <t>LOW</t>
        </is>
      </c>
      <c r="Q316" s="3" t="inlineStr">
        <is>
          <t>~180 hours at $250/hr for equipment engineer</t>
        </is>
      </c>
      <c r="R316" s="3">
        <f>VLOOKUP($F316,Inputs!$D$6:$E$41,2,FALSE)</f>
        <v/>
      </c>
      <c r="S316" s="36">
        <f>VLOOKUP($E316,Inputs!$A$6:$B$13,2,FALSE)*Inputs!$B$2</f>
        <v/>
      </c>
      <c r="T316" s="35">
        <f>$L316*$S316</f>
        <v/>
      </c>
      <c r="U316" s="35">
        <f>$L316+$T316</f>
        <v/>
      </c>
    </row>
    <row r="317">
      <c r="A317" s="3" t="inlineStr">
        <is>
          <t>PKG-13::L005</t>
        </is>
      </c>
      <c r="B317" s="3" t="inlineStr">
        <is>
          <t>PKG-13</t>
        </is>
      </c>
      <c r="C317" s="3" t="inlineStr">
        <is>
          <t>DEL-13.05</t>
        </is>
      </c>
      <c r="D317" s="3" t="inlineStr">
        <is>
          <t>L005</t>
        </is>
      </c>
      <c r="E317" s="3" t="inlineStr">
        <is>
          <t>E</t>
        </is>
      </c>
      <c r="F317" s="3" t="inlineStr">
        <is>
          <t>PKG-13</t>
        </is>
      </c>
      <c r="G317" s="3" t="inlineStr">
        <is>
          <t>DEL-13.05</t>
        </is>
      </c>
      <c r="H317" s="3" t="inlineStr">
        <is>
          <t>Storage Tank Installation &amp; Test Records - test procedures hydrostatic test plans QC record compilation</t>
        </is>
      </c>
      <c r="I317" s="22" t="n">
        <v>1</v>
      </c>
      <c r="J317" s="3" t="inlineStr">
        <is>
          <t>LS</t>
        </is>
      </c>
      <c r="K317" s="39" t="n">
        <v>55000</v>
      </c>
      <c r="L317" s="35" t="n">
        <v>55000</v>
      </c>
      <c r="M317" s="3" t="inlineStr">
        <is>
          <t>CAD</t>
        </is>
      </c>
      <c r="N317" s="3" t="inlineStr">
        <is>
          <t>ALLOWANCE</t>
        </is>
      </c>
      <c r="O317" s="3" t="inlineStr">
        <is>
          <t>A-015</t>
        </is>
      </c>
      <c r="P317" s="3" t="inlineStr">
        <is>
          <t>LOW</t>
        </is>
      </c>
      <c r="Q317" s="3" t="inlineStr">
        <is>
          <t>~220 hours at $250/hr QA/QC engineer</t>
        </is>
      </c>
      <c r="R317" s="3">
        <f>VLOOKUP($F317,Inputs!$D$6:$E$41,2,FALSE)</f>
        <v/>
      </c>
      <c r="S317" s="36">
        <f>VLOOKUP($E317,Inputs!$A$6:$B$13,2,FALSE)*Inputs!$B$2</f>
        <v/>
      </c>
      <c r="T317" s="35">
        <f>$L317*$S317</f>
        <v/>
      </c>
      <c r="U317" s="35">
        <f>$L317+$T317</f>
        <v/>
      </c>
    </row>
    <row r="318">
      <c r="A318" s="3" t="inlineStr">
        <is>
          <t>PKG-13::L006</t>
        </is>
      </c>
      <c r="B318" s="3" t="inlineStr">
        <is>
          <t>PKG-13</t>
        </is>
      </c>
      <c r="C318" s="3" t="inlineStr">
        <is>
          <t>DEL-13.06</t>
        </is>
      </c>
      <c r="D318" s="3" t="inlineStr">
        <is>
          <t>L006</t>
        </is>
      </c>
      <c r="E318" s="3" t="inlineStr">
        <is>
          <t>E</t>
        </is>
      </c>
      <c r="F318" s="3" t="inlineStr">
        <is>
          <t>PKG-13</t>
        </is>
      </c>
      <c r="G318" s="3" t="inlineStr">
        <is>
          <t>DEL-13.06</t>
        </is>
      </c>
      <c r="H318" s="3" t="inlineStr">
        <is>
          <t>Storage Tank Fabrication Quality Documentation Package - ITP WPS PQR review MTR compilation weld map prep</t>
        </is>
      </c>
      <c r="I318" s="22" t="n">
        <v>1</v>
      </c>
      <c r="J318" s="3" t="inlineStr">
        <is>
          <t>LS</t>
        </is>
      </c>
      <c r="K318" s="39" t="n">
        <v>65000</v>
      </c>
      <c r="L318" s="35" t="n">
        <v>65000</v>
      </c>
      <c r="M318" s="3" t="inlineStr">
        <is>
          <t>CAD</t>
        </is>
      </c>
      <c r="N318" s="3" t="inlineStr">
        <is>
          <t>ALLOWANCE</t>
        </is>
      </c>
      <c r="O318" s="3" t="inlineStr">
        <is>
          <t>A-016</t>
        </is>
      </c>
      <c r="P318" s="3" t="inlineStr">
        <is>
          <t>LOW</t>
        </is>
      </c>
      <c r="Q318" s="3" t="inlineStr">
        <is>
          <t>~260 hours at $250/hr QA specialist</t>
        </is>
      </c>
      <c r="R318" s="3">
        <f>VLOOKUP($F318,Inputs!$D$6:$E$41,2,FALSE)</f>
        <v/>
      </c>
      <c r="S318" s="36">
        <f>VLOOKUP($E318,Inputs!$A$6:$B$13,2,FALSE)*Inputs!$B$2</f>
        <v/>
      </c>
      <c r="T318" s="35">
        <f>$L318*$S318</f>
        <v/>
      </c>
      <c r="U318" s="35">
        <f>$L318+$T318</f>
        <v/>
      </c>
    </row>
    <row r="319">
      <c r="A319" s="3" t="inlineStr">
        <is>
          <t>PKG-13::L007</t>
        </is>
      </c>
      <c r="B319" s="3" t="inlineStr">
        <is>
          <t>PKG-13</t>
        </is>
      </c>
      <c r="C319" s="3" t="n"/>
      <c r="D319" s="3" t="inlineStr">
        <is>
          <t>L007</t>
        </is>
      </c>
      <c r="E319" s="3" t="inlineStr">
        <is>
          <t>MAT</t>
        </is>
      </c>
      <c r="F319" s="3" t="inlineStr">
        <is>
          <t>PKG-13</t>
        </is>
      </c>
      <c r="G319" s="3" t="n"/>
      <c r="H319" s="3" t="inlineStr">
        <is>
          <t>API 650 Storage Tank No. 1 - supply (shell bottom roof structure appurtenances) ~420 tonnes steel 16300 m3</t>
        </is>
      </c>
      <c r="I319" s="22" t="n">
        <v>1</v>
      </c>
      <c r="J319" s="3" t="inlineStr">
        <is>
          <t>LS</t>
        </is>
      </c>
      <c r="K319" s="39" t="n">
        <v>3200000</v>
      </c>
      <c r="L319" s="35" t="n">
        <v>3200000</v>
      </c>
      <c r="M319" s="3" t="inlineStr">
        <is>
          <t>CAD</t>
        </is>
      </c>
      <c r="N319" s="3" t="inlineStr">
        <is>
          <t>ALLOWANCE</t>
        </is>
      </c>
      <c r="O319" s="3" t="inlineStr">
        <is>
          <t>A-001</t>
        </is>
      </c>
      <c r="P319" s="3" t="inlineStr">
        <is>
          <t>LOW</t>
        </is>
      </c>
      <c r="Q319" s="3" t="inlineStr">
        <is>
          <t>Typical mid-range API 650 tank supply ~$7600/tonne fabricated</t>
        </is>
      </c>
      <c r="R319" s="3">
        <f>VLOOKUP($F319,Inputs!$D$6:$E$41,2,FALSE)</f>
        <v/>
      </c>
      <c r="S319" s="36">
        <f>VLOOKUP($E319,Inputs!$A$6:$B$13,2,FALSE)*Inputs!$B$2</f>
        <v/>
      </c>
      <c r="T319" s="35">
        <f>$L319*$S319</f>
        <v/>
      </c>
      <c r="U319" s="35">
        <f>$L319+$T319</f>
        <v/>
      </c>
    </row>
    <row r="320">
      <c r="A320" s="3" t="inlineStr">
        <is>
          <t>PKG-13::L008</t>
        </is>
      </c>
      <c r="B320" s="3" t="inlineStr">
        <is>
          <t>PKG-13</t>
        </is>
      </c>
      <c r="C320" s="3" t="n"/>
      <c r="D320" s="3" t="inlineStr">
        <is>
          <t>L008</t>
        </is>
      </c>
      <c r="E320" s="3" t="inlineStr">
        <is>
          <t>MAT</t>
        </is>
      </c>
      <c r="F320" s="3" t="inlineStr">
        <is>
          <t>PKG-13</t>
        </is>
      </c>
      <c r="G320" s="3" t="n"/>
      <c r="H320" s="3" t="inlineStr">
        <is>
          <t>API 650 Storage Tank No. 2 - supply (shell bottom roof structure appurtenances) ~420 tonnes steel 16300 m3</t>
        </is>
      </c>
      <c r="I320" s="22" t="n">
        <v>1</v>
      </c>
      <c r="J320" s="3" t="inlineStr">
        <is>
          <t>LS</t>
        </is>
      </c>
      <c r="K320" s="39" t="n">
        <v>3200000</v>
      </c>
      <c r="L320" s="35" t="n">
        <v>3200000</v>
      </c>
      <c r="M320" s="3" t="inlineStr">
        <is>
          <t>CAD</t>
        </is>
      </c>
      <c r="N320" s="3" t="inlineStr">
        <is>
          <t>ALLOWANCE</t>
        </is>
      </c>
      <c r="O320" s="3" t="inlineStr">
        <is>
          <t>A-001</t>
        </is>
      </c>
      <c r="P320" s="3" t="inlineStr">
        <is>
          <t>LOW</t>
        </is>
      </c>
      <c r="Q320" s="3" t="inlineStr">
        <is>
          <t>Typical mid-range API 650 tank supply ~$7600/tonne fabricated</t>
        </is>
      </c>
      <c r="R320" s="3">
        <f>VLOOKUP($F320,Inputs!$D$6:$E$41,2,FALSE)</f>
        <v/>
      </c>
      <c r="S320" s="36">
        <f>VLOOKUP($E320,Inputs!$A$6:$B$13,2,FALSE)*Inputs!$B$2</f>
        <v/>
      </c>
      <c r="T320" s="35">
        <f>$L320*$S320</f>
        <v/>
      </c>
      <c r="U320" s="35">
        <f>$L320+$T320</f>
        <v/>
      </c>
    </row>
    <row r="321">
      <c r="A321" s="3" t="inlineStr">
        <is>
          <t>PKG-13::L009</t>
        </is>
      </c>
      <c r="B321" s="3" t="inlineStr">
        <is>
          <t>PKG-13</t>
        </is>
      </c>
      <c r="C321" s="3" t="n"/>
      <c r="D321" s="3" t="inlineStr">
        <is>
          <t>L009</t>
        </is>
      </c>
      <c r="E321" s="3" t="inlineStr">
        <is>
          <t>MAT</t>
        </is>
      </c>
      <c r="F321" s="3" t="inlineStr">
        <is>
          <t>PKG-13</t>
        </is>
      </c>
      <c r="G321" s="3" t="n"/>
      <c r="H321" s="3" t="inlineStr">
        <is>
          <t>API 650 Storage Tank No. 3 - supply (shell bottom roof structure appurtenances) ~420 tonnes steel 16300 m3</t>
        </is>
      </c>
      <c r="I321" s="22" t="n">
        <v>1</v>
      </c>
      <c r="J321" s="3" t="inlineStr">
        <is>
          <t>LS</t>
        </is>
      </c>
      <c r="K321" s="39" t="n">
        <v>3200000</v>
      </c>
      <c r="L321" s="35" t="n">
        <v>3200000</v>
      </c>
      <c r="M321" s="3" t="inlineStr">
        <is>
          <t>CAD</t>
        </is>
      </c>
      <c r="N321" s="3" t="inlineStr">
        <is>
          <t>ALLOWANCE</t>
        </is>
      </c>
      <c r="O321" s="3" t="inlineStr">
        <is>
          <t>A-001</t>
        </is>
      </c>
      <c r="P321" s="3" t="inlineStr">
        <is>
          <t>LOW</t>
        </is>
      </c>
      <c r="Q321" s="3" t="inlineStr">
        <is>
          <t>Typical mid-range API 650 tank supply ~$7600/tonne fabricated</t>
        </is>
      </c>
      <c r="R321" s="3">
        <f>VLOOKUP($F321,Inputs!$D$6:$E$41,2,FALSE)</f>
        <v/>
      </c>
      <c r="S321" s="36">
        <f>VLOOKUP($E321,Inputs!$A$6:$B$13,2,FALSE)*Inputs!$B$2</f>
        <v/>
      </c>
      <c r="T321" s="35">
        <f>$L321*$S321</f>
        <v/>
      </c>
      <c r="U321" s="35">
        <f>$L321+$T321</f>
        <v/>
      </c>
    </row>
    <row r="322">
      <c r="A322" s="3" t="inlineStr">
        <is>
          <t>PKG-13::L010</t>
        </is>
      </c>
      <c r="B322" s="3" t="inlineStr">
        <is>
          <t>PKG-13</t>
        </is>
      </c>
      <c r="C322" s="3" t="n"/>
      <c r="D322" s="3" t="inlineStr">
        <is>
          <t>L010</t>
        </is>
      </c>
      <c r="E322" s="3" t="inlineStr">
        <is>
          <t>MAT</t>
        </is>
      </c>
      <c r="F322" s="3" t="inlineStr">
        <is>
          <t>PKG-13</t>
        </is>
      </c>
      <c r="G322" s="3" t="n"/>
      <c r="H322" s="3" t="inlineStr">
        <is>
          <t>Agitator No. 1 - side-entry agitator 75 HP motor VFD seal assembly mounting</t>
        </is>
      </c>
      <c r="I322" s="22" t="n">
        <v>1</v>
      </c>
      <c r="J322" s="3" t="inlineStr">
        <is>
          <t>LS</t>
        </is>
      </c>
      <c r="K322" s="39" t="n">
        <v>125000</v>
      </c>
      <c r="L322" s="35" t="n">
        <v>125000</v>
      </c>
      <c r="M322" s="3" t="inlineStr">
        <is>
          <t>CAD</t>
        </is>
      </c>
      <c r="N322" s="3" t="inlineStr">
        <is>
          <t>ALLOWANCE</t>
        </is>
      </c>
      <c r="O322" s="3" t="inlineStr">
        <is>
          <t>A-006</t>
        </is>
      </c>
      <c r="P322" s="3" t="inlineStr">
        <is>
          <t>LOW</t>
        </is>
      </c>
      <c r="Q322" s="3" t="inlineStr">
        <is>
          <t>Typical side-entry agitator for large oil storage</t>
        </is>
      </c>
      <c r="R322" s="3">
        <f>VLOOKUP($F322,Inputs!$D$6:$E$41,2,FALSE)</f>
        <v/>
      </c>
      <c r="S322" s="36">
        <f>VLOOKUP($E322,Inputs!$A$6:$B$13,2,FALSE)*Inputs!$B$2</f>
        <v/>
      </c>
      <c r="T322" s="35">
        <f>$L322*$S322</f>
        <v/>
      </c>
      <c r="U322" s="35">
        <f>$L322+$T322</f>
        <v/>
      </c>
    </row>
    <row r="323">
      <c r="A323" s="3" t="inlineStr">
        <is>
          <t>PKG-13::L011</t>
        </is>
      </c>
      <c r="B323" s="3" t="inlineStr">
        <is>
          <t>PKG-13</t>
        </is>
      </c>
      <c r="C323" s="3" t="n"/>
      <c r="D323" s="3" t="inlineStr">
        <is>
          <t>L011</t>
        </is>
      </c>
      <c r="E323" s="3" t="inlineStr">
        <is>
          <t>MAT</t>
        </is>
      </c>
      <c r="F323" s="3" t="inlineStr">
        <is>
          <t>PKG-13</t>
        </is>
      </c>
      <c r="G323" s="3" t="n"/>
      <c r="H323" s="3" t="inlineStr">
        <is>
          <t>Agitator No. 2 - side-entry agitator 75 HP motor VFD seal assembly mounting</t>
        </is>
      </c>
      <c r="I323" s="22" t="n">
        <v>1</v>
      </c>
      <c r="J323" s="3" t="inlineStr">
        <is>
          <t>LS</t>
        </is>
      </c>
      <c r="K323" s="39" t="n">
        <v>125000</v>
      </c>
      <c r="L323" s="35" t="n">
        <v>125000</v>
      </c>
      <c r="M323" s="3" t="inlineStr">
        <is>
          <t>CAD</t>
        </is>
      </c>
      <c r="N323" s="3" t="inlineStr">
        <is>
          <t>ALLOWANCE</t>
        </is>
      </c>
      <c r="O323" s="3" t="inlineStr">
        <is>
          <t>A-006</t>
        </is>
      </c>
      <c r="P323" s="3" t="inlineStr">
        <is>
          <t>LOW</t>
        </is>
      </c>
      <c r="Q323" s="3" t="inlineStr">
        <is>
          <t>Typical side-entry agitator for large oil storage</t>
        </is>
      </c>
      <c r="R323" s="3">
        <f>VLOOKUP($F323,Inputs!$D$6:$E$41,2,FALSE)</f>
        <v/>
      </c>
      <c r="S323" s="36">
        <f>VLOOKUP($E323,Inputs!$A$6:$B$13,2,FALSE)*Inputs!$B$2</f>
        <v/>
      </c>
      <c r="T323" s="35">
        <f>$L323*$S323</f>
        <v/>
      </c>
      <c r="U323" s="35">
        <f>$L323+$T323</f>
        <v/>
      </c>
    </row>
    <row r="324">
      <c r="A324" s="3" t="inlineStr">
        <is>
          <t>PKG-13::L012</t>
        </is>
      </c>
      <c r="B324" s="3" t="inlineStr">
        <is>
          <t>PKG-13</t>
        </is>
      </c>
      <c r="C324" s="3" t="n"/>
      <c r="D324" s="3" t="inlineStr">
        <is>
          <t>L012</t>
        </is>
      </c>
      <c r="E324" s="3" t="inlineStr">
        <is>
          <t>MAT</t>
        </is>
      </c>
      <c r="F324" s="3" t="inlineStr">
        <is>
          <t>PKG-13</t>
        </is>
      </c>
      <c r="G324" s="3" t="n"/>
      <c r="H324" s="3" t="inlineStr">
        <is>
          <t>Agitator No. 3 - side-entry agitator 75 HP motor VFD seal assembly mounting</t>
        </is>
      </c>
      <c r="I324" s="22" t="n">
        <v>1</v>
      </c>
      <c r="J324" s="3" t="inlineStr">
        <is>
          <t>LS</t>
        </is>
      </c>
      <c r="K324" s="39" t="n">
        <v>125000</v>
      </c>
      <c r="L324" s="35" t="n">
        <v>125000</v>
      </c>
      <c r="M324" s="3" t="inlineStr">
        <is>
          <t>CAD</t>
        </is>
      </c>
      <c r="N324" s="3" t="inlineStr">
        <is>
          <t>ALLOWANCE</t>
        </is>
      </c>
      <c r="O324" s="3" t="inlineStr">
        <is>
          <t>A-006</t>
        </is>
      </c>
      <c r="P324" s="3" t="inlineStr">
        <is>
          <t>LOW</t>
        </is>
      </c>
      <c r="Q324" s="3" t="inlineStr">
        <is>
          <t>Typical side-entry agitator for large oil storage</t>
        </is>
      </c>
      <c r="R324" s="3">
        <f>VLOOKUP($F324,Inputs!$D$6:$E$41,2,FALSE)</f>
        <v/>
      </c>
      <c r="S324" s="36">
        <f>VLOOKUP($E324,Inputs!$A$6:$B$13,2,FALSE)*Inputs!$B$2</f>
        <v/>
      </c>
      <c r="T324" s="35">
        <f>$L324*$S324</f>
        <v/>
      </c>
      <c r="U324" s="35">
        <f>$L324+$T324</f>
        <v/>
      </c>
    </row>
    <row r="325">
      <c r="A325" s="3" t="inlineStr">
        <is>
          <t>PKG-13::L013</t>
        </is>
      </c>
      <c r="B325" s="3" t="inlineStr">
        <is>
          <t>PKG-13</t>
        </is>
      </c>
      <c r="C325" s="3" t="n"/>
      <c r="D325" s="3" t="inlineStr">
        <is>
          <t>L013</t>
        </is>
      </c>
      <c r="E325" s="3" t="inlineStr">
        <is>
          <t>MAT</t>
        </is>
      </c>
      <c r="F325" s="3" t="inlineStr">
        <is>
          <t>PKG-13</t>
        </is>
      </c>
      <c r="G325" s="3" t="n"/>
      <c r="H325" s="3" t="inlineStr">
        <is>
          <t>Overflow Protection System - high-level switches alarms piping for 3 tanks</t>
        </is>
      </c>
      <c r="I325" s="22" t="n">
        <v>1</v>
      </c>
      <c r="J325" s="3" t="inlineStr">
        <is>
          <t>LS</t>
        </is>
      </c>
      <c r="K325" s="39" t="n">
        <v>85000</v>
      </c>
      <c r="L325" s="35" t="n">
        <v>85000</v>
      </c>
      <c r="M325" s="3" t="inlineStr">
        <is>
          <t>CAD</t>
        </is>
      </c>
      <c r="N325" s="3" t="inlineStr">
        <is>
          <t>ALLOWANCE</t>
        </is>
      </c>
      <c r="O325" s="3" t="inlineStr">
        <is>
          <t>A-017</t>
        </is>
      </c>
      <c r="P325" s="3" t="inlineStr">
        <is>
          <t>LOW</t>
        </is>
      </c>
      <c r="Q325" s="3" t="inlineStr">
        <is>
          <t>Level instrumentation and overflow piping for 3 tanks</t>
        </is>
      </c>
      <c r="R325" s="3">
        <f>VLOOKUP($F325,Inputs!$D$6:$E$41,2,FALSE)</f>
        <v/>
      </c>
      <c r="S325" s="36">
        <f>VLOOKUP($E325,Inputs!$A$6:$B$13,2,FALSE)*Inputs!$B$2</f>
        <v/>
      </c>
      <c r="T325" s="35">
        <f>$L325*$S325</f>
        <v/>
      </c>
      <c r="U325" s="35">
        <f>$L325+$T325</f>
        <v/>
      </c>
    </row>
    <row r="326">
      <c r="A326" s="3" t="inlineStr">
        <is>
          <t>PKG-13::L014</t>
        </is>
      </c>
      <c r="B326" s="3" t="inlineStr">
        <is>
          <t>PKG-13</t>
        </is>
      </c>
      <c r="C326" s="3" t="n"/>
      <c r="D326" s="3" t="inlineStr">
        <is>
          <t>L014</t>
        </is>
      </c>
      <c r="E326" s="3" t="inlineStr">
        <is>
          <t>MAT</t>
        </is>
      </c>
      <c r="F326" s="3" t="inlineStr">
        <is>
          <t>PKG-13</t>
        </is>
      </c>
      <c r="G326" s="3" t="n"/>
      <c r="H326" s="3" t="inlineStr">
        <is>
          <t>Water Draw-off System - drain valves piping sampling for 3 tanks</t>
        </is>
      </c>
      <c r="I326" s="22" t="n">
        <v>1</v>
      </c>
      <c r="J326" s="3" t="inlineStr">
        <is>
          <t>LS</t>
        </is>
      </c>
      <c r="K326" s="39" t="n">
        <v>45000</v>
      </c>
      <c r="L326" s="35" t="n">
        <v>45000</v>
      </c>
      <c r="M326" s="3" t="inlineStr">
        <is>
          <t>CAD</t>
        </is>
      </c>
      <c r="N326" s="3" t="inlineStr">
        <is>
          <t>ALLOWANCE</t>
        </is>
      </c>
      <c r="O326" s="3" t="inlineStr">
        <is>
          <t>A-018</t>
        </is>
      </c>
      <c r="P326" s="3" t="inlineStr">
        <is>
          <t>LOW</t>
        </is>
      </c>
      <c r="Q326" s="3" t="inlineStr">
        <is>
          <t>Water draw-off system typical for edible oil tanks</t>
        </is>
      </c>
      <c r="R326" s="3">
        <f>VLOOKUP($F326,Inputs!$D$6:$E$41,2,FALSE)</f>
        <v/>
      </c>
      <c r="S326" s="36">
        <f>VLOOKUP($E326,Inputs!$A$6:$B$13,2,FALSE)*Inputs!$B$2</f>
        <v/>
      </c>
      <c r="T326" s="35">
        <f>$L326*$S326</f>
        <v/>
      </c>
      <c r="U326" s="35">
        <f>$L326+$T326</f>
        <v/>
      </c>
    </row>
    <row r="327">
      <c r="A327" s="3" t="inlineStr">
        <is>
          <t>PKG-13::L015</t>
        </is>
      </c>
      <c r="B327" s="3" t="inlineStr">
        <is>
          <t>PKG-13</t>
        </is>
      </c>
      <c r="C327" s="3" t="n"/>
      <c r="D327" s="3" t="inlineStr">
        <is>
          <t>L015</t>
        </is>
      </c>
      <c r="E327" s="3" t="inlineStr">
        <is>
          <t>MAT</t>
        </is>
      </c>
      <c r="F327" s="3" t="inlineStr">
        <is>
          <t>PKG-13</t>
        </is>
      </c>
      <c r="G327" s="3" t="n"/>
      <c r="H327" s="3" t="inlineStr">
        <is>
          <t>Internal Coating System - food-grade epoxy lining (~11000 m2 total 3 tanks)</t>
        </is>
      </c>
      <c r="I327" s="22" t="n">
        <v>1</v>
      </c>
      <c r="J327" s="3" t="inlineStr">
        <is>
          <t>LS</t>
        </is>
      </c>
      <c r="K327" s="39" t="n">
        <v>550000</v>
      </c>
      <c r="L327" s="35" t="n">
        <v>550000</v>
      </c>
      <c r="M327" s="3" t="inlineStr">
        <is>
          <t>CAD</t>
        </is>
      </c>
      <c r="N327" s="3" t="inlineStr">
        <is>
          <t>ALLOWANCE</t>
        </is>
      </c>
      <c r="O327" s="3" t="inlineStr">
        <is>
          <t>A-009</t>
        </is>
      </c>
      <c r="P327" s="3" t="inlineStr">
        <is>
          <t>LOW</t>
        </is>
      </c>
      <c r="Q327" s="3" t="inlineStr">
        <is>
          <t>~$50/m2 for food-grade coating supply and application</t>
        </is>
      </c>
      <c r="R327" s="3">
        <f>VLOOKUP($F327,Inputs!$D$6:$E$41,2,FALSE)</f>
        <v/>
      </c>
      <c r="S327" s="36">
        <f>VLOOKUP($E327,Inputs!$A$6:$B$13,2,FALSE)*Inputs!$B$2</f>
        <v/>
      </c>
      <c r="T327" s="35">
        <f>$L327*$S327</f>
        <v/>
      </c>
      <c r="U327" s="35">
        <f>$L327+$T327</f>
        <v/>
      </c>
    </row>
    <row r="328">
      <c r="A328" s="3" t="inlineStr">
        <is>
          <t>PKG-13::L016</t>
        </is>
      </c>
      <c r="B328" s="3" t="inlineStr">
        <is>
          <t>PKG-13</t>
        </is>
      </c>
      <c r="C328" s="3" t="n"/>
      <c r="D328" s="3" t="inlineStr">
        <is>
          <t>L016</t>
        </is>
      </c>
      <c r="E328" s="3" t="inlineStr">
        <is>
          <t>MAT</t>
        </is>
      </c>
      <c r="F328" s="3" t="inlineStr">
        <is>
          <t>PKG-13</t>
        </is>
      </c>
      <c r="G328" s="3" t="n"/>
      <c r="H328" s="3" t="inlineStr">
        <is>
          <t>External Coating System - primer and topcoat (~9000 m2 total 3 tanks)</t>
        </is>
      </c>
      <c r="I328" s="22" t="n">
        <v>1</v>
      </c>
      <c r="J328" s="3" t="inlineStr">
        <is>
          <t>LS</t>
        </is>
      </c>
      <c r="K328" s="39" t="n">
        <v>180000</v>
      </c>
      <c r="L328" s="35" t="n">
        <v>180000</v>
      </c>
      <c r="M328" s="3" t="inlineStr">
        <is>
          <t>CAD</t>
        </is>
      </c>
      <c r="N328" s="3" t="inlineStr">
        <is>
          <t>ALLOWANCE</t>
        </is>
      </c>
      <c r="O328" s="3" t="inlineStr">
        <is>
          <t>A-010</t>
        </is>
      </c>
      <c r="P328" s="3" t="inlineStr">
        <is>
          <t>LOW</t>
        </is>
      </c>
      <c r="Q328" s="3" t="inlineStr">
        <is>
          <t>~$20/m2 for external coating supply and application</t>
        </is>
      </c>
      <c r="R328" s="3">
        <f>VLOOKUP($F328,Inputs!$D$6:$E$41,2,FALSE)</f>
        <v/>
      </c>
      <c r="S328" s="36">
        <f>VLOOKUP($E328,Inputs!$A$6:$B$13,2,FALSE)*Inputs!$B$2</f>
        <v/>
      </c>
      <c r="T328" s="35">
        <f>$L328*$S328</f>
        <v/>
      </c>
      <c r="U328" s="35">
        <f>$L328+$T328</f>
        <v/>
      </c>
    </row>
    <row r="329">
      <c r="A329" s="3" t="inlineStr">
        <is>
          <t>PKG-13::L017</t>
        </is>
      </c>
      <c r="B329" s="3" t="inlineStr">
        <is>
          <t>PKG-13</t>
        </is>
      </c>
      <c r="C329" s="3" t="n"/>
      <c r="D329" s="3" t="inlineStr">
        <is>
          <t>L017</t>
        </is>
      </c>
      <c r="E329" s="3" t="inlineStr">
        <is>
          <t>MAT</t>
        </is>
      </c>
      <c r="F329" s="3" t="inlineStr">
        <is>
          <t>PKG-13</t>
        </is>
      </c>
      <c r="G329" s="3" t="n"/>
      <c r="H329" s="3" t="inlineStr">
        <is>
          <t>Tank Appurtenances - vents relief valves gauging hatches sampling nozzles for 3 tanks</t>
        </is>
      </c>
      <c r="I329" s="22" t="n">
        <v>1</v>
      </c>
      <c r="J329" s="3" t="inlineStr">
        <is>
          <t>LS</t>
        </is>
      </c>
      <c r="K329" s="39" t="n">
        <v>120000</v>
      </c>
      <c r="L329" s="35" t="n">
        <v>120000</v>
      </c>
      <c r="M329" s="3" t="inlineStr">
        <is>
          <t>CAD</t>
        </is>
      </c>
      <c r="N329" s="3" t="inlineStr">
        <is>
          <t>ALLOWANCE</t>
        </is>
      </c>
      <c r="O329" s="3" t="inlineStr">
        <is>
          <t>A-007</t>
        </is>
      </c>
      <c r="P329" s="3" t="inlineStr">
        <is>
          <t>LOW</t>
        </is>
      </c>
      <c r="Q329" s="3" t="inlineStr">
        <is>
          <t>Typical appurtenance package for API 650 tanks</t>
        </is>
      </c>
      <c r="R329" s="3">
        <f>VLOOKUP($F329,Inputs!$D$6:$E$41,2,FALSE)</f>
        <v/>
      </c>
      <c r="S329" s="36">
        <f>VLOOKUP($E329,Inputs!$A$6:$B$13,2,FALSE)*Inputs!$B$2</f>
        <v/>
      </c>
      <c r="T329" s="35">
        <f>$L329*$S329</f>
        <v/>
      </c>
      <c r="U329" s="35">
        <f>$L329+$T329</f>
        <v/>
      </c>
    </row>
    <row r="330">
      <c r="A330" s="3" t="inlineStr">
        <is>
          <t>PKG-13::L018</t>
        </is>
      </c>
      <c r="B330" s="3" t="inlineStr">
        <is>
          <t>PKG-13</t>
        </is>
      </c>
      <c r="C330" s="3" t="n"/>
      <c r="D330" s="3" t="inlineStr">
        <is>
          <t>L018</t>
        </is>
      </c>
      <c r="E330" s="3" t="inlineStr">
        <is>
          <t>MAT</t>
        </is>
      </c>
      <c r="F330" s="3" t="inlineStr">
        <is>
          <t>PKG-13</t>
        </is>
      </c>
      <c r="G330" s="3" t="n"/>
      <c r="H330" s="3" t="inlineStr">
        <is>
          <t>Access Equipment - ladders platforms handrails gauger platforms for 3 tanks</t>
        </is>
      </c>
      <c r="I330" s="22" t="n">
        <v>1</v>
      </c>
      <c r="J330" s="3" t="inlineStr">
        <is>
          <t>LS</t>
        </is>
      </c>
      <c r="K330" s="39" t="n">
        <v>180000</v>
      </c>
      <c r="L330" s="35" t="n">
        <v>180000</v>
      </c>
      <c r="M330" s="3" t="inlineStr">
        <is>
          <t>CAD</t>
        </is>
      </c>
      <c r="N330" s="3" t="inlineStr">
        <is>
          <t>ALLOWANCE</t>
        </is>
      </c>
      <c r="O330" s="3" t="inlineStr">
        <is>
          <t>A-019</t>
        </is>
      </c>
      <c r="P330" s="3" t="inlineStr">
        <is>
          <t>LOW</t>
        </is>
      </c>
      <c r="Q330" s="3" t="inlineStr">
        <is>
          <t>Access equipment for 3 large tanks</t>
        </is>
      </c>
      <c r="R330" s="3">
        <f>VLOOKUP($F330,Inputs!$D$6:$E$41,2,FALSE)</f>
        <v/>
      </c>
      <c r="S330" s="36">
        <f>VLOOKUP($E330,Inputs!$A$6:$B$13,2,FALSE)*Inputs!$B$2</f>
        <v/>
      </c>
      <c r="T330" s="35">
        <f>$L330*$S330</f>
        <v/>
      </c>
      <c r="U330" s="35">
        <f>$L330+$T330</f>
        <v/>
      </c>
    </row>
    <row r="331">
      <c r="A331" s="3" t="inlineStr">
        <is>
          <t>PKG-13::L019</t>
        </is>
      </c>
      <c r="B331" s="3" t="inlineStr">
        <is>
          <t>PKG-13</t>
        </is>
      </c>
      <c r="C331" s="3" t="n"/>
      <c r="D331" s="3" t="inlineStr">
        <is>
          <t>L019</t>
        </is>
      </c>
      <c r="E331" s="3" t="inlineStr">
        <is>
          <t>MAT</t>
        </is>
      </c>
      <c r="F331" s="3" t="inlineStr">
        <is>
          <t>PKG-13</t>
        </is>
      </c>
      <c r="G331" s="3" t="n"/>
      <c r="H331" s="3" t="inlineStr">
        <is>
          <t>Phase 2 Connection Provisions - blind flanges stubs reinforcement for future expansion</t>
        </is>
      </c>
      <c r="I331" s="22" t="n">
        <v>1</v>
      </c>
      <c r="J331" s="3" t="inlineStr">
        <is>
          <t>LS</t>
        </is>
      </c>
      <c r="K331" s="39" t="n">
        <v>45000</v>
      </c>
      <c r="L331" s="35" t="n">
        <v>45000</v>
      </c>
      <c r="M331" s="3" t="inlineStr">
        <is>
          <t>CAD</t>
        </is>
      </c>
      <c r="N331" s="3" t="inlineStr">
        <is>
          <t>ALLOWANCE</t>
        </is>
      </c>
      <c r="O331" s="3" t="inlineStr">
        <is>
          <t>A-020</t>
        </is>
      </c>
      <c r="P331" s="3" t="inlineStr">
        <is>
          <t>LOW</t>
        </is>
      </c>
      <c r="Q331" s="3" t="inlineStr">
        <is>
          <t>Phase 2 provisions per OBJ-8</t>
        </is>
      </c>
      <c r="R331" s="3">
        <f>VLOOKUP($F331,Inputs!$D$6:$E$41,2,FALSE)</f>
        <v/>
      </c>
      <c r="S331" s="36">
        <f>VLOOKUP($E331,Inputs!$A$6:$B$13,2,FALSE)*Inputs!$B$2</f>
        <v/>
      </c>
      <c r="T331" s="35">
        <f>$L331*$S331</f>
        <v/>
      </c>
      <c r="U331" s="35">
        <f>$L331+$T331</f>
        <v/>
      </c>
    </row>
    <row r="332">
      <c r="A332" s="3" t="inlineStr">
        <is>
          <t>PKG-13::L020</t>
        </is>
      </c>
      <c r="B332" s="3" t="inlineStr">
        <is>
          <t>PKG-13</t>
        </is>
      </c>
      <c r="C332" s="3" t="n"/>
      <c r="D332" s="3" t="inlineStr">
        <is>
          <t>L020</t>
        </is>
      </c>
      <c r="E332" s="3" t="inlineStr">
        <is>
          <t>CD</t>
        </is>
      </c>
      <c r="F332" s="3" t="inlineStr">
        <is>
          <t>PKG-13</t>
        </is>
      </c>
      <c r="G332" s="3" t="n"/>
      <c r="H332" s="3" t="inlineStr">
        <is>
          <t>Tank No. 1 Erection - field assembly welding rigging shell courses roof bottom (~420 tonnes)</t>
        </is>
      </c>
      <c r="I332" s="22" t="n">
        <v>1</v>
      </c>
      <c r="J332" s="3" t="inlineStr">
        <is>
          <t>LS</t>
        </is>
      </c>
      <c r="K332" s="39" t="n">
        <v>850000</v>
      </c>
      <c r="L332" s="35" t="n">
        <v>850000</v>
      </c>
      <c r="M332" s="3" t="inlineStr">
        <is>
          <t>CAD</t>
        </is>
      </c>
      <c r="N332" s="3" t="inlineStr">
        <is>
          <t>ALLOWANCE</t>
        </is>
      </c>
      <c r="O332" s="3" t="inlineStr">
        <is>
          <t>A-001</t>
        </is>
      </c>
      <c r="P332" s="3" t="inlineStr">
        <is>
          <t>LOW</t>
        </is>
      </c>
      <c r="Q332" s="3" t="inlineStr">
        <is>
          <t>Typical tank erection ~$2000/tonne installed</t>
        </is>
      </c>
      <c r="R332" s="3">
        <f>VLOOKUP($F332,Inputs!$D$6:$E$41,2,FALSE)</f>
        <v/>
      </c>
      <c r="S332" s="36">
        <f>VLOOKUP($E332,Inputs!$A$6:$B$13,2,FALSE)*Inputs!$B$2</f>
        <v/>
      </c>
      <c r="T332" s="35">
        <f>$L332*$S332</f>
        <v/>
      </c>
      <c r="U332" s="35">
        <f>$L332+$T332</f>
        <v/>
      </c>
    </row>
    <row r="333">
      <c r="A333" s="3" t="inlineStr">
        <is>
          <t>PKG-13::L021</t>
        </is>
      </c>
      <c r="B333" s="3" t="inlineStr">
        <is>
          <t>PKG-13</t>
        </is>
      </c>
      <c r="C333" s="3" t="n"/>
      <c r="D333" s="3" t="inlineStr">
        <is>
          <t>L021</t>
        </is>
      </c>
      <c r="E333" s="3" t="inlineStr">
        <is>
          <t>CD</t>
        </is>
      </c>
      <c r="F333" s="3" t="inlineStr">
        <is>
          <t>PKG-13</t>
        </is>
      </c>
      <c r="G333" s="3" t="n"/>
      <c r="H333" s="3" t="inlineStr">
        <is>
          <t>Tank No. 2 Erection - field assembly welding rigging shell courses roof bottom (~420 tonnes)</t>
        </is>
      </c>
      <c r="I333" s="22" t="n">
        <v>1</v>
      </c>
      <c r="J333" s="3" t="inlineStr">
        <is>
          <t>LS</t>
        </is>
      </c>
      <c r="K333" s="39" t="n">
        <v>850000</v>
      </c>
      <c r="L333" s="35" t="n">
        <v>850000</v>
      </c>
      <c r="M333" s="3" t="inlineStr">
        <is>
          <t>CAD</t>
        </is>
      </c>
      <c r="N333" s="3" t="inlineStr">
        <is>
          <t>ALLOWANCE</t>
        </is>
      </c>
      <c r="O333" s="3" t="inlineStr">
        <is>
          <t>A-001</t>
        </is>
      </c>
      <c r="P333" s="3" t="inlineStr">
        <is>
          <t>LOW</t>
        </is>
      </c>
      <c r="Q333" s="3" t="inlineStr">
        <is>
          <t>Typical tank erection ~$2000/tonne installed</t>
        </is>
      </c>
      <c r="R333" s="3">
        <f>VLOOKUP($F333,Inputs!$D$6:$E$41,2,FALSE)</f>
        <v/>
      </c>
      <c r="S333" s="36">
        <f>VLOOKUP($E333,Inputs!$A$6:$B$13,2,FALSE)*Inputs!$B$2</f>
        <v/>
      </c>
      <c r="T333" s="35">
        <f>$L333*$S333</f>
        <v/>
      </c>
      <c r="U333" s="35">
        <f>$L333+$T333</f>
        <v/>
      </c>
    </row>
    <row r="334">
      <c r="A334" s="3" t="inlineStr">
        <is>
          <t>PKG-13::L022</t>
        </is>
      </c>
      <c r="B334" s="3" t="inlineStr">
        <is>
          <t>PKG-13</t>
        </is>
      </c>
      <c r="C334" s="3" t="n"/>
      <c r="D334" s="3" t="inlineStr">
        <is>
          <t>L022</t>
        </is>
      </c>
      <c r="E334" s="3" t="inlineStr">
        <is>
          <t>CD</t>
        </is>
      </c>
      <c r="F334" s="3" t="inlineStr">
        <is>
          <t>PKG-13</t>
        </is>
      </c>
      <c r="G334" s="3" t="n"/>
      <c r="H334" s="3" t="inlineStr">
        <is>
          <t>Tank No. 3 Erection - field assembly welding rigging shell courses roof bottom (~420 tonnes)</t>
        </is>
      </c>
      <c r="I334" s="22" t="n">
        <v>1</v>
      </c>
      <c r="J334" s="3" t="inlineStr">
        <is>
          <t>LS</t>
        </is>
      </c>
      <c r="K334" s="39" t="n">
        <v>850000</v>
      </c>
      <c r="L334" s="35" t="n">
        <v>850000</v>
      </c>
      <c r="M334" s="3" t="inlineStr">
        <is>
          <t>CAD</t>
        </is>
      </c>
      <c r="N334" s="3" t="inlineStr">
        <is>
          <t>ALLOWANCE</t>
        </is>
      </c>
      <c r="O334" s="3" t="inlineStr">
        <is>
          <t>A-001</t>
        </is>
      </c>
      <c r="P334" s="3" t="inlineStr">
        <is>
          <t>LOW</t>
        </is>
      </c>
      <c r="Q334" s="3" t="inlineStr">
        <is>
          <t>Typical tank erection ~$2000/tonne installed</t>
        </is>
      </c>
      <c r="R334" s="3">
        <f>VLOOKUP($F334,Inputs!$D$6:$E$41,2,FALSE)</f>
        <v/>
      </c>
      <c r="S334" s="36">
        <f>VLOOKUP($E334,Inputs!$A$6:$B$13,2,FALSE)*Inputs!$B$2</f>
        <v/>
      </c>
      <c r="T334" s="35">
        <f>$L334*$S334</f>
        <v/>
      </c>
      <c r="U334" s="35">
        <f>$L334+$T334</f>
        <v/>
      </c>
    </row>
    <row r="335">
      <c r="A335" s="3" t="inlineStr">
        <is>
          <t>PKG-13::L023</t>
        </is>
      </c>
      <c r="B335" s="3" t="inlineStr">
        <is>
          <t>PKG-13</t>
        </is>
      </c>
      <c r="C335" s="3" t="n"/>
      <c r="D335" s="3" t="inlineStr">
        <is>
          <t>L023</t>
        </is>
      </c>
      <c r="E335" s="3" t="inlineStr">
        <is>
          <t>CD</t>
        </is>
      </c>
      <c r="F335" s="3" t="inlineStr">
        <is>
          <t>PKG-13</t>
        </is>
      </c>
      <c r="G335" s="3" t="n"/>
      <c r="H335" s="3" t="inlineStr">
        <is>
          <t>Tank No. 1 Hydrostatic Test - fill test hold drain including water supply and disposal</t>
        </is>
      </c>
      <c r="I335" s="22" t="n">
        <v>1</v>
      </c>
      <c r="J335" s="3" t="inlineStr">
        <is>
          <t>LS</t>
        </is>
      </c>
      <c r="K335" s="39" t="n">
        <v>65000</v>
      </c>
      <c r="L335" s="35" t="n">
        <v>65000</v>
      </c>
      <c r="M335" s="3" t="inlineStr">
        <is>
          <t>CAD</t>
        </is>
      </c>
      <c r="N335" s="3" t="inlineStr">
        <is>
          <t>ALLOWANCE</t>
        </is>
      </c>
      <c r="O335" s="3" t="inlineStr">
        <is>
          <t>A-021</t>
        </is>
      </c>
      <c r="P335" s="3" t="inlineStr">
        <is>
          <t>LOW</t>
        </is>
      </c>
      <c r="Q335" s="3" t="inlineStr">
        <is>
          <t>Hydrostatic test for ~16000 m3 tank</t>
        </is>
      </c>
      <c r="R335" s="3">
        <f>VLOOKUP($F335,Inputs!$D$6:$E$41,2,FALSE)</f>
        <v/>
      </c>
      <c r="S335" s="36">
        <f>VLOOKUP($E335,Inputs!$A$6:$B$13,2,FALSE)*Inputs!$B$2</f>
        <v/>
      </c>
      <c r="T335" s="35">
        <f>$L335*$S335</f>
        <v/>
      </c>
      <c r="U335" s="35">
        <f>$L335+$T335</f>
        <v/>
      </c>
    </row>
    <row r="336">
      <c r="A336" s="3" t="inlineStr">
        <is>
          <t>PKG-13::L024</t>
        </is>
      </c>
      <c r="B336" s="3" t="inlineStr">
        <is>
          <t>PKG-13</t>
        </is>
      </c>
      <c r="C336" s="3" t="n"/>
      <c r="D336" s="3" t="inlineStr">
        <is>
          <t>L024</t>
        </is>
      </c>
      <c r="E336" s="3" t="inlineStr">
        <is>
          <t>CD</t>
        </is>
      </c>
      <c r="F336" s="3" t="inlineStr">
        <is>
          <t>PKG-13</t>
        </is>
      </c>
      <c r="G336" s="3" t="n"/>
      <c r="H336" s="3" t="inlineStr">
        <is>
          <t>Tank No. 2 Hydrostatic Test - fill test hold drain including water supply and disposal</t>
        </is>
      </c>
      <c r="I336" s="22" t="n">
        <v>1</v>
      </c>
      <c r="J336" s="3" t="inlineStr">
        <is>
          <t>LS</t>
        </is>
      </c>
      <c r="K336" s="39" t="n">
        <v>65000</v>
      </c>
      <c r="L336" s="35" t="n">
        <v>65000</v>
      </c>
      <c r="M336" s="3" t="inlineStr">
        <is>
          <t>CAD</t>
        </is>
      </c>
      <c r="N336" s="3" t="inlineStr">
        <is>
          <t>ALLOWANCE</t>
        </is>
      </c>
      <c r="O336" s="3" t="inlineStr">
        <is>
          <t>A-021</t>
        </is>
      </c>
      <c r="P336" s="3" t="inlineStr">
        <is>
          <t>LOW</t>
        </is>
      </c>
      <c r="Q336" s="3" t="inlineStr">
        <is>
          <t>Hydrostatic test for ~16000 m3 tank</t>
        </is>
      </c>
      <c r="R336" s="3">
        <f>VLOOKUP($F336,Inputs!$D$6:$E$41,2,FALSE)</f>
        <v/>
      </c>
      <c r="S336" s="36">
        <f>VLOOKUP($E336,Inputs!$A$6:$B$13,2,FALSE)*Inputs!$B$2</f>
        <v/>
      </c>
      <c r="T336" s="35">
        <f>$L336*$S336</f>
        <v/>
      </c>
      <c r="U336" s="35">
        <f>$L336+$T336</f>
        <v/>
      </c>
    </row>
    <row r="337">
      <c r="A337" s="3" t="inlineStr">
        <is>
          <t>PKG-13::L025</t>
        </is>
      </c>
      <c r="B337" s="3" t="inlineStr">
        <is>
          <t>PKG-13</t>
        </is>
      </c>
      <c r="C337" s="3" t="n"/>
      <c r="D337" s="3" t="inlineStr">
        <is>
          <t>L025</t>
        </is>
      </c>
      <c r="E337" s="3" t="inlineStr">
        <is>
          <t>CD</t>
        </is>
      </c>
      <c r="F337" s="3" t="inlineStr">
        <is>
          <t>PKG-13</t>
        </is>
      </c>
      <c r="G337" s="3" t="n"/>
      <c r="H337" s="3" t="inlineStr">
        <is>
          <t>Tank No. 3 Hydrostatic Test - fill test hold drain including water supply and disposal</t>
        </is>
      </c>
      <c r="I337" s="22" t="n">
        <v>1</v>
      </c>
      <c r="J337" s="3" t="inlineStr">
        <is>
          <t>LS</t>
        </is>
      </c>
      <c r="K337" s="39" t="n">
        <v>65000</v>
      </c>
      <c r="L337" s="35" t="n">
        <v>65000</v>
      </c>
      <c r="M337" s="3" t="inlineStr">
        <is>
          <t>CAD</t>
        </is>
      </c>
      <c r="N337" s="3" t="inlineStr">
        <is>
          <t>ALLOWANCE</t>
        </is>
      </c>
      <c r="O337" s="3" t="inlineStr">
        <is>
          <t>A-021</t>
        </is>
      </c>
      <c r="P337" s="3" t="inlineStr">
        <is>
          <t>LOW</t>
        </is>
      </c>
      <c r="Q337" s="3" t="inlineStr">
        <is>
          <t>Hydrostatic test for ~16000 m3 tank</t>
        </is>
      </c>
      <c r="R337" s="3">
        <f>VLOOKUP($F337,Inputs!$D$6:$E$41,2,FALSE)</f>
        <v/>
      </c>
      <c r="S337" s="36">
        <f>VLOOKUP($E337,Inputs!$A$6:$B$13,2,FALSE)*Inputs!$B$2</f>
        <v/>
      </c>
      <c r="T337" s="35">
        <f>$L337*$S337</f>
        <v/>
      </c>
      <c r="U337" s="35">
        <f>$L337+$T337</f>
        <v/>
      </c>
    </row>
    <row r="338">
      <c r="A338" s="3" t="inlineStr">
        <is>
          <t>PKG-13::L026</t>
        </is>
      </c>
      <c r="B338" s="3" t="inlineStr">
        <is>
          <t>PKG-13</t>
        </is>
      </c>
      <c r="C338" s="3" t="n"/>
      <c r="D338" s="3" t="inlineStr">
        <is>
          <t>L026</t>
        </is>
      </c>
      <c r="E338" s="3" t="inlineStr">
        <is>
          <t>CD</t>
        </is>
      </c>
      <c r="F338" s="3" t="inlineStr">
        <is>
          <t>PKG-13</t>
        </is>
      </c>
      <c r="G338" s="3" t="n"/>
      <c r="H338" s="3" t="inlineStr">
        <is>
          <t>Agitator Installation (3 units) - rigging setting alignment coupling electrical connection</t>
        </is>
      </c>
      <c r="I338" s="22" t="n">
        <v>1</v>
      </c>
      <c r="J338" s="3" t="inlineStr">
        <is>
          <t>LS</t>
        </is>
      </c>
      <c r="K338" s="39" t="n">
        <v>95000</v>
      </c>
      <c r="L338" s="35" t="n">
        <v>95000</v>
      </c>
      <c r="M338" s="3" t="inlineStr">
        <is>
          <t>CAD</t>
        </is>
      </c>
      <c r="N338" s="3" t="inlineStr">
        <is>
          <t>ALLOWANCE</t>
        </is>
      </c>
      <c r="O338" s="3" t="inlineStr">
        <is>
          <t>A-006</t>
        </is>
      </c>
      <c r="P338" s="3" t="inlineStr">
        <is>
          <t>LOW</t>
        </is>
      </c>
      <c r="Q338" s="3" t="inlineStr">
        <is>
          <t>Installation of 3 side-entry agitators</t>
        </is>
      </c>
      <c r="R338" s="3">
        <f>VLOOKUP($F338,Inputs!$D$6:$E$41,2,FALSE)</f>
        <v/>
      </c>
      <c r="S338" s="36">
        <f>VLOOKUP($E338,Inputs!$A$6:$B$13,2,FALSE)*Inputs!$B$2</f>
        <v/>
      </c>
      <c r="T338" s="35">
        <f>$L338*$S338</f>
        <v/>
      </c>
      <c r="U338" s="35">
        <f>$L338+$T338</f>
        <v/>
      </c>
    </row>
    <row r="339">
      <c r="A339" s="3" t="inlineStr">
        <is>
          <t>PKG-13::L027</t>
        </is>
      </c>
      <c r="B339" s="3" t="inlineStr">
        <is>
          <t>PKG-13</t>
        </is>
      </c>
      <c r="C339" s="3" t="n"/>
      <c r="D339" s="3" t="inlineStr">
        <is>
          <t>L027</t>
        </is>
      </c>
      <c r="E339" s="3" t="inlineStr">
        <is>
          <t>CD</t>
        </is>
      </c>
      <c r="F339" s="3" t="inlineStr">
        <is>
          <t>PKG-13</t>
        </is>
      </c>
      <c r="G339" s="3" t="n"/>
      <c r="H339" s="3" t="inlineStr">
        <is>
          <t>NDE and Inspection - radiography UT MT PT weld inspection (3 tanks)</t>
        </is>
      </c>
      <c r="I339" s="22" t="n">
        <v>1</v>
      </c>
      <c r="J339" s="3" t="inlineStr">
        <is>
          <t>LS</t>
        </is>
      </c>
      <c r="K339" s="39" t="n">
        <v>280000</v>
      </c>
      <c r="L339" s="35" t="n">
        <v>280000</v>
      </c>
      <c r="M339" s="3" t="inlineStr">
        <is>
          <t>CAD</t>
        </is>
      </c>
      <c r="N339" s="3" t="inlineStr">
        <is>
          <t>ALLOWANCE</t>
        </is>
      </c>
      <c r="O339" s="3" t="inlineStr">
        <is>
          <t>A-022</t>
        </is>
      </c>
      <c r="P339" s="3" t="inlineStr">
        <is>
          <t>LOW</t>
        </is>
      </c>
      <c r="Q339" s="3" t="inlineStr">
        <is>
          <t>NDE for API 650 tank welds ~$67k per tank plus mobilization</t>
        </is>
      </c>
      <c r="R339" s="3">
        <f>VLOOKUP($F339,Inputs!$D$6:$E$41,2,FALSE)</f>
        <v/>
      </c>
      <c r="S339" s="36">
        <f>VLOOKUP($E339,Inputs!$A$6:$B$13,2,FALSE)*Inputs!$B$2</f>
        <v/>
      </c>
      <c r="T339" s="35">
        <f>$L339*$S339</f>
        <v/>
      </c>
      <c r="U339" s="35">
        <f>$L339+$T339</f>
        <v/>
      </c>
    </row>
    <row r="340">
      <c r="A340" s="3" t="inlineStr">
        <is>
          <t>PKG-13::L028</t>
        </is>
      </c>
      <c r="B340" s="3" t="inlineStr">
        <is>
          <t>PKG-13</t>
        </is>
      </c>
      <c r="C340" s="3" t="n"/>
      <c r="D340" s="3" t="inlineStr">
        <is>
          <t>L028</t>
        </is>
      </c>
      <c r="E340" s="3" t="inlineStr">
        <is>
          <t>CD</t>
        </is>
      </c>
      <c r="F340" s="3" t="inlineStr">
        <is>
          <t>PKG-13</t>
        </is>
      </c>
      <c r="G340" s="3" t="n"/>
      <c r="H340" s="3" t="inlineStr">
        <is>
          <t>Appurtenance Installation - nozzles manholes vents relief devices gauging for 3 tanks</t>
        </is>
      </c>
      <c r="I340" s="22" t="n">
        <v>1</v>
      </c>
      <c r="J340" s="3" t="inlineStr">
        <is>
          <t>LS</t>
        </is>
      </c>
      <c r="K340" s="39" t="n">
        <v>120000</v>
      </c>
      <c r="L340" s="35" t="n">
        <v>120000</v>
      </c>
      <c r="M340" s="3" t="inlineStr">
        <is>
          <t>CAD</t>
        </is>
      </c>
      <c r="N340" s="3" t="inlineStr">
        <is>
          <t>ALLOWANCE</t>
        </is>
      </c>
      <c r="O340" s="3" t="inlineStr">
        <is>
          <t>A-007</t>
        </is>
      </c>
      <c r="P340" s="3" t="inlineStr">
        <is>
          <t>LOW</t>
        </is>
      </c>
      <c r="Q340" s="3" t="inlineStr">
        <is>
          <t>Installation of tank appurtenances</t>
        </is>
      </c>
      <c r="R340" s="3">
        <f>VLOOKUP($F340,Inputs!$D$6:$E$41,2,FALSE)</f>
        <v/>
      </c>
      <c r="S340" s="36">
        <f>VLOOKUP($E340,Inputs!$A$6:$B$13,2,FALSE)*Inputs!$B$2</f>
        <v/>
      </c>
      <c r="T340" s="35">
        <f>$L340*$S340</f>
        <v/>
      </c>
      <c r="U340" s="35">
        <f>$L340+$T340</f>
        <v/>
      </c>
    </row>
    <row r="341">
      <c r="A341" s="3" t="inlineStr">
        <is>
          <t>PKG-13::L029</t>
        </is>
      </c>
      <c r="B341" s="3" t="inlineStr">
        <is>
          <t>PKG-13</t>
        </is>
      </c>
      <c r="C341" s="3" t="n"/>
      <c r="D341" s="3" t="inlineStr">
        <is>
          <t>L029</t>
        </is>
      </c>
      <c r="E341" s="3" t="inlineStr">
        <is>
          <t>CD</t>
        </is>
      </c>
      <c r="F341" s="3" t="inlineStr">
        <is>
          <t>PKG-13</t>
        </is>
      </c>
      <c r="G341" s="3" t="n"/>
      <c r="H341" s="3" t="inlineStr">
        <is>
          <t>Access Equipment Installation - ladders platforms handrails gauger platforms for 3 tanks</t>
        </is>
      </c>
      <c r="I341" s="22" t="n">
        <v>1</v>
      </c>
      <c r="J341" s="3" t="inlineStr">
        <is>
          <t>LS</t>
        </is>
      </c>
      <c r="K341" s="39" t="n">
        <v>85000</v>
      </c>
      <c r="L341" s="35" t="n">
        <v>85000</v>
      </c>
      <c r="M341" s="3" t="inlineStr">
        <is>
          <t>CAD</t>
        </is>
      </c>
      <c r="N341" s="3" t="inlineStr">
        <is>
          <t>ALLOWANCE</t>
        </is>
      </c>
      <c r="O341" s="3" t="inlineStr">
        <is>
          <t>A-019</t>
        </is>
      </c>
      <c r="P341" s="3" t="inlineStr">
        <is>
          <t>LOW</t>
        </is>
      </c>
      <c r="Q341" s="3" t="inlineStr">
        <is>
          <t>Installation of access equipment</t>
        </is>
      </c>
      <c r="R341" s="3">
        <f>VLOOKUP($F341,Inputs!$D$6:$E$41,2,FALSE)</f>
        <v/>
      </c>
      <c r="S341" s="36">
        <f>VLOOKUP($E341,Inputs!$A$6:$B$13,2,FALSE)*Inputs!$B$2</f>
        <v/>
      </c>
      <c r="T341" s="35">
        <f>$L341*$S341</f>
        <v/>
      </c>
      <c r="U341" s="35">
        <f>$L341+$T341</f>
        <v/>
      </c>
    </row>
    <row r="342">
      <c r="A342" s="3" t="inlineStr">
        <is>
          <t>PKG-13::L030</t>
        </is>
      </c>
      <c r="B342" s="3" t="inlineStr">
        <is>
          <t>PKG-13</t>
        </is>
      </c>
      <c r="C342" s="3" t="n"/>
      <c r="D342" s="3" t="inlineStr">
        <is>
          <t>L030</t>
        </is>
      </c>
      <c r="E342" s="3" t="inlineStr">
        <is>
          <t>CD</t>
        </is>
      </c>
      <c r="F342" s="3" t="inlineStr">
        <is>
          <t>PKG-13</t>
        </is>
      </c>
      <c r="G342" s="3" t="n"/>
      <c r="H342" s="3" t="inlineStr">
        <is>
          <t>Overflow and Water Draw-off Installation - piping valves instrumentation connections</t>
        </is>
      </c>
      <c r="I342" s="22" t="n">
        <v>1</v>
      </c>
      <c r="J342" s="3" t="inlineStr">
        <is>
          <t>LS</t>
        </is>
      </c>
      <c r="K342" s="39" t="n">
        <v>65000</v>
      </c>
      <c r="L342" s="35" t="n">
        <v>65000</v>
      </c>
      <c r="M342" s="3" t="inlineStr">
        <is>
          <t>CAD</t>
        </is>
      </c>
      <c r="N342" s="3" t="inlineStr">
        <is>
          <t>ALLOWANCE</t>
        </is>
      </c>
      <c r="O342" s="3" t="inlineStr">
        <is>
          <t>A-018</t>
        </is>
      </c>
      <c r="P342" s="3" t="inlineStr">
        <is>
          <t>LOW</t>
        </is>
      </c>
      <c r="Q342" s="3" t="inlineStr">
        <is>
          <t>Installation of overflow and drain systems</t>
        </is>
      </c>
      <c r="R342" s="3">
        <f>VLOOKUP($F342,Inputs!$D$6:$E$41,2,FALSE)</f>
        <v/>
      </c>
      <c r="S342" s="36">
        <f>VLOOKUP($E342,Inputs!$A$6:$B$13,2,FALSE)*Inputs!$B$2</f>
        <v/>
      </c>
      <c r="T342" s="35">
        <f>$L342*$S342</f>
        <v/>
      </c>
      <c r="U342" s="35">
        <f>$L342+$T342</f>
        <v/>
      </c>
    </row>
    <row r="343">
      <c r="A343" s="3" t="inlineStr">
        <is>
          <t>PKG-13::L031</t>
        </is>
      </c>
      <c r="B343" s="3" t="inlineStr">
        <is>
          <t>PKG-13</t>
        </is>
      </c>
      <c r="C343" s="3" t="n"/>
      <c r="D343" s="3" t="inlineStr">
        <is>
          <t>L031</t>
        </is>
      </c>
      <c r="E343" s="3" t="inlineStr">
        <is>
          <t>CD</t>
        </is>
      </c>
      <c r="F343" s="3" t="inlineStr">
        <is>
          <t>PKG-13</t>
        </is>
      </c>
      <c r="G343" s="3" t="n"/>
      <c r="H343" s="3" t="inlineStr">
        <is>
          <t>Electrical Installation - power to agitators area lighting junction boxes</t>
        </is>
      </c>
      <c r="I343" s="22" t="n">
        <v>1</v>
      </c>
      <c r="J343" s="3" t="inlineStr">
        <is>
          <t>LS</t>
        </is>
      </c>
      <c r="K343" s="39" t="n">
        <v>145000</v>
      </c>
      <c r="L343" s="35" t="n">
        <v>145000</v>
      </c>
      <c r="M343" s="3" t="inlineStr">
        <is>
          <t>CAD</t>
        </is>
      </c>
      <c r="N343" s="3" t="inlineStr">
        <is>
          <t>ALLOWANCE</t>
        </is>
      </c>
      <c r="O343" s="3" t="inlineStr">
        <is>
          <t>A-023</t>
        </is>
      </c>
      <c r="P343" s="3" t="inlineStr">
        <is>
          <t>LOW</t>
        </is>
      </c>
      <c r="Q343" s="3" t="inlineStr">
        <is>
          <t>Electrical installation for 3 agitator motors</t>
        </is>
      </c>
      <c r="R343" s="3">
        <f>VLOOKUP($F343,Inputs!$D$6:$E$41,2,FALSE)</f>
        <v/>
      </c>
      <c r="S343" s="36">
        <f>VLOOKUP($E343,Inputs!$A$6:$B$13,2,FALSE)*Inputs!$B$2</f>
        <v/>
      </c>
      <c r="T343" s="35">
        <f>$L343*$S343</f>
        <v/>
      </c>
      <c r="U343" s="35">
        <f>$L343+$T343</f>
        <v/>
      </c>
    </row>
    <row r="344">
      <c r="A344" s="3" t="inlineStr">
        <is>
          <t>PKG-13::L032</t>
        </is>
      </c>
      <c r="B344" s="3" t="inlineStr">
        <is>
          <t>PKG-13</t>
        </is>
      </c>
      <c r="C344" s="3" t="n"/>
      <c r="D344" s="3" t="inlineStr">
        <is>
          <t>L032</t>
        </is>
      </c>
      <c r="E344" s="3" t="inlineStr">
        <is>
          <t>CD</t>
        </is>
      </c>
      <c r="F344" s="3" t="inlineStr">
        <is>
          <t>PKG-13</t>
        </is>
      </c>
      <c r="G344" s="3" t="n"/>
      <c r="H344" s="3" t="inlineStr">
        <is>
          <t>Instrumentation Installation - level temperature gauging calibration loop testing</t>
        </is>
      </c>
      <c r="I344" s="22" t="n">
        <v>1</v>
      </c>
      <c r="J344" s="3" t="inlineStr">
        <is>
          <t>LS</t>
        </is>
      </c>
      <c r="K344" s="39" t="n">
        <v>85000</v>
      </c>
      <c r="L344" s="35" t="n">
        <v>85000</v>
      </c>
      <c r="M344" s="3" t="inlineStr">
        <is>
          <t>CAD</t>
        </is>
      </c>
      <c r="N344" s="3" t="inlineStr">
        <is>
          <t>ALLOWANCE</t>
        </is>
      </c>
      <c r="O344" s="3" t="inlineStr">
        <is>
          <t>A-024</t>
        </is>
      </c>
      <c r="P344" s="3" t="inlineStr">
        <is>
          <t>LOW</t>
        </is>
      </c>
      <c r="Q344" s="3" t="inlineStr">
        <is>
          <t>I&amp;C installation for 3 tanks</t>
        </is>
      </c>
      <c r="R344" s="3">
        <f>VLOOKUP($F344,Inputs!$D$6:$E$41,2,FALSE)</f>
        <v/>
      </c>
      <c r="S344" s="36">
        <f>VLOOKUP($E344,Inputs!$A$6:$B$13,2,FALSE)*Inputs!$B$2</f>
        <v/>
      </c>
      <c r="T344" s="35">
        <f>$L344*$S344</f>
        <v/>
      </c>
      <c r="U344" s="35">
        <f>$L344+$T344</f>
        <v/>
      </c>
    </row>
    <row r="345">
      <c r="A345" s="3" t="inlineStr">
        <is>
          <t>PKG-13::L033</t>
        </is>
      </c>
      <c r="B345" s="3" t="inlineStr">
        <is>
          <t>PKG-13</t>
        </is>
      </c>
      <c r="C345" s="3" t="n"/>
      <c r="D345" s="3" t="inlineStr">
        <is>
          <t>L033</t>
        </is>
      </c>
      <c r="E345" s="3" t="inlineStr">
        <is>
          <t>CD</t>
        </is>
      </c>
      <c r="F345" s="3" t="inlineStr">
        <is>
          <t>PKG-13</t>
        </is>
      </c>
      <c r="G345" s="3" t="n"/>
      <c r="H345" s="3" t="inlineStr">
        <is>
          <t>Crane and Heavy Equipment - crawler crane rental for tank erection (200+ ton class)</t>
        </is>
      </c>
      <c r="I345" s="22" t="n">
        <v>1</v>
      </c>
      <c r="J345" s="3" t="inlineStr">
        <is>
          <t>LS</t>
        </is>
      </c>
      <c r="K345" s="39" t="n">
        <v>420000</v>
      </c>
      <c r="L345" s="35" t="n">
        <v>420000</v>
      </c>
      <c r="M345" s="3" t="inlineStr">
        <is>
          <t>CAD</t>
        </is>
      </c>
      <c r="N345" s="3" t="inlineStr">
        <is>
          <t>ALLOWANCE</t>
        </is>
      </c>
      <c r="O345" s="3" t="inlineStr">
        <is>
          <t>A-025</t>
        </is>
      </c>
      <c r="P345" s="3" t="inlineStr">
        <is>
          <t>LOW</t>
        </is>
      </c>
      <c r="Q345" s="3" t="inlineStr">
        <is>
          <t>Large crane mobilization and rental for 3 tank erections</t>
        </is>
      </c>
      <c r="R345" s="3">
        <f>VLOOKUP($F345,Inputs!$D$6:$E$41,2,FALSE)</f>
        <v/>
      </c>
      <c r="S345" s="36">
        <f>VLOOKUP($E345,Inputs!$A$6:$B$13,2,FALSE)*Inputs!$B$2</f>
        <v/>
      </c>
      <c r="T345" s="35">
        <f>$L345*$S345</f>
        <v/>
      </c>
      <c r="U345" s="35">
        <f>$L345+$T345</f>
        <v/>
      </c>
    </row>
    <row r="346">
      <c r="A346" s="3" t="inlineStr">
        <is>
          <t>PKG-13::L034</t>
        </is>
      </c>
      <c r="B346" s="3" t="inlineStr">
        <is>
          <t>PKG-13</t>
        </is>
      </c>
      <c r="C346" s="3" t="n"/>
      <c r="D346" s="3" t="inlineStr">
        <is>
          <t>L034</t>
        </is>
      </c>
      <c r="E346" s="3" t="inlineStr">
        <is>
          <t>CI</t>
        </is>
      </c>
      <c r="F346" s="3" t="inlineStr">
        <is>
          <t>PKG-13</t>
        </is>
      </c>
      <c r="G346" s="3" t="n"/>
      <c r="H346" s="3" t="inlineStr">
        <is>
          <t>Construction Indirects - field supervision site overhead QA/QC scaffolding temporary works (factor-based)</t>
        </is>
      </c>
      <c r="I346" s="22" t="n">
        <v>1</v>
      </c>
      <c r="J346" s="3" t="inlineStr">
        <is>
          <t>LS</t>
        </is>
      </c>
      <c r="K346" s="39" t="n">
        <v>918000</v>
      </c>
      <c r="L346" s="35" t="n">
        <v>918000</v>
      </c>
      <c r="M346" s="3" t="inlineStr">
        <is>
          <t>CAD</t>
        </is>
      </c>
      <c r="N346" s="3" t="inlineStr">
        <is>
          <t>PARAMETRIC</t>
        </is>
      </c>
      <c r="O346" s="3" t="inlineStr">
        <is>
          <t>D-010</t>
        </is>
      </c>
      <c r="P346" s="3" t="inlineStr">
        <is>
          <t>LOW</t>
        </is>
      </c>
      <c r="Q346" s="3" t="inlineStr">
        <is>
          <t>18% of CD base ($5.10M × 0.18)</t>
        </is>
      </c>
      <c r="R346" s="3">
        <f>VLOOKUP($F346,Inputs!$D$6:$E$41,2,FALSE)</f>
        <v/>
      </c>
      <c r="S346" s="36">
        <f>VLOOKUP($E346,Inputs!$A$6:$B$13,2,FALSE)*Inputs!$B$2</f>
        <v/>
      </c>
      <c r="T346" s="35">
        <f>$L346*$S346</f>
        <v/>
      </c>
      <c r="U346" s="35">
        <f>$L346+$T346</f>
        <v/>
      </c>
    </row>
    <row r="347">
      <c r="A347" s="3" t="inlineStr">
        <is>
          <t>PKG-13::L035</t>
        </is>
      </c>
      <c r="B347" s="3" t="inlineStr">
        <is>
          <t>PKG-13</t>
        </is>
      </c>
      <c r="C347" s="3" t="n"/>
      <c r="D347" s="3" t="inlineStr">
        <is>
          <t>L035</t>
        </is>
      </c>
      <c r="E347" s="3" t="inlineStr">
        <is>
          <t>PM</t>
        </is>
      </c>
      <c r="F347" s="3" t="inlineStr">
        <is>
          <t>PKG-13</t>
        </is>
      </c>
      <c r="G347" s="3" t="n"/>
      <c r="H347" s="3" t="inlineStr">
        <is>
          <t>EPCM / Project Management - PKG-13 allocation (factor-based)</t>
        </is>
      </c>
      <c r="I347" s="22" t="n">
        <v>1</v>
      </c>
      <c r="J347" s="3" t="inlineStr">
        <is>
          <t>LS</t>
        </is>
      </c>
      <c r="K347" s="39" t="n">
        <v>1020000</v>
      </c>
      <c r="L347" s="35" t="n">
        <v>1020000</v>
      </c>
      <c r="M347" s="3" t="inlineStr">
        <is>
          <t>CAD</t>
        </is>
      </c>
      <c r="N347" s="3" t="inlineStr">
        <is>
          <t>PARAMETRIC</t>
        </is>
      </c>
      <c r="O347" s="3" t="inlineStr">
        <is>
          <t>D-010</t>
        </is>
      </c>
      <c r="P347" s="3" t="inlineStr">
        <is>
          <t>MED</t>
        </is>
      </c>
      <c r="Q347" s="3" t="inlineStr">
        <is>
          <t>6% of (CD+CI+MAT) base</t>
        </is>
      </c>
      <c r="R347" s="3">
        <f>VLOOKUP($F347,Inputs!$D$6:$E$41,2,FALSE)</f>
        <v/>
      </c>
      <c r="S347" s="36">
        <f>VLOOKUP($E347,Inputs!$A$6:$B$13,2,FALSE)*Inputs!$B$2</f>
        <v/>
      </c>
      <c r="T347" s="35">
        <f>$L347*$S347</f>
        <v/>
      </c>
      <c r="U347" s="35">
        <f>$L347+$T347</f>
        <v/>
      </c>
    </row>
    <row r="348">
      <c r="A348" s="3" t="inlineStr">
        <is>
          <t>PKG-13::L036</t>
        </is>
      </c>
      <c r="B348" s="3" t="inlineStr">
        <is>
          <t>PKG-13</t>
        </is>
      </c>
      <c r="C348" s="3" t="n"/>
      <c r="D348" s="3" t="inlineStr">
        <is>
          <t>L036</t>
        </is>
      </c>
      <c r="E348" s="3" t="inlineStr">
        <is>
          <t>P</t>
        </is>
      </c>
      <c r="F348" s="3" t="inlineStr">
        <is>
          <t>PKG-13</t>
        </is>
      </c>
      <c r="G348" s="3" t="n"/>
      <c r="H348" s="3" t="inlineStr">
        <is>
          <t>Procurement Services - tank vendor qualification expediting shop inspection (factor-based)</t>
        </is>
      </c>
      <c r="I348" s="22" t="n">
        <v>1</v>
      </c>
      <c r="J348" s="3" t="inlineStr">
        <is>
          <t>LS</t>
        </is>
      </c>
      <c r="K348" s="39" t="n">
        <v>237000</v>
      </c>
      <c r="L348" s="35" t="n">
        <v>237000</v>
      </c>
      <c r="M348" s="3" t="inlineStr">
        <is>
          <t>CAD</t>
        </is>
      </c>
      <c r="N348" s="3" t="inlineStr">
        <is>
          <t>PARAMETRIC</t>
        </is>
      </c>
      <c r="O348" s="3" t="inlineStr">
        <is>
          <t>D-010</t>
        </is>
      </c>
      <c r="P348" s="3" t="inlineStr">
        <is>
          <t>MED</t>
        </is>
      </c>
      <c r="Q348" s="3" t="inlineStr">
        <is>
          <t>2% of MAT ($11.85M × 0.02)</t>
        </is>
      </c>
      <c r="R348" s="3">
        <f>VLOOKUP($F348,Inputs!$D$6:$E$41,2,FALSE)</f>
        <v/>
      </c>
      <c r="S348" s="36">
        <f>VLOOKUP($E348,Inputs!$A$6:$B$13,2,FALSE)*Inputs!$B$2</f>
        <v/>
      </c>
      <c r="T348" s="35">
        <f>$L348*$S348</f>
        <v/>
      </c>
      <c r="U348" s="35">
        <f>$L348+$T348</f>
        <v/>
      </c>
    </row>
    <row r="349">
      <c r="A349" s="3" t="inlineStr">
        <is>
          <t>PKG-13::L037</t>
        </is>
      </c>
      <c r="B349" s="3" t="inlineStr">
        <is>
          <t>PKG-13</t>
        </is>
      </c>
      <c r="C349" s="3" t="n"/>
      <c r="D349" s="3" t="inlineStr">
        <is>
          <t>L037</t>
        </is>
      </c>
      <c r="E349" s="3" t="inlineStr">
        <is>
          <t>COM</t>
        </is>
      </c>
      <c r="F349" s="3" t="inlineStr">
        <is>
          <t>PKG-13</t>
        </is>
      </c>
      <c r="G349" s="3" t="n"/>
      <c r="H349" s="3" t="inlineStr">
        <is>
          <t>Commissioning - agitator FAT tank cleaning drying acceptance testing pre-operational checks</t>
        </is>
      </c>
      <c r="I349" s="22" t="n">
        <v>1</v>
      </c>
      <c r="J349" s="3" t="inlineStr">
        <is>
          <t>LS</t>
        </is>
      </c>
      <c r="K349" s="39" t="n">
        <v>535000</v>
      </c>
      <c r="L349" s="35" t="n">
        <v>535000</v>
      </c>
      <c r="M349" s="3" t="inlineStr">
        <is>
          <t>CAD</t>
        </is>
      </c>
      <c r="N349" s="3" t="inlineStr">
        <is>
          <t>PARAMETRIC</t>
        </is>
      </c>
      <c r="O349" s="3" t="inlineStr">
        <is>
          <t>D-010</t>
        </is>
      </c>
      <c r="P349" s="3" t="inlineStr">
        <is>
          <t>LOW</t>
        </is>
      </c>
      <c r="Q349" s="3" t="inlineStr">
        <is>
          <t>3% of (CD+CI+MAT) base</t>
        </is>
      </c>
      <c r="R349" s="3">
        <f>VLOOKUP($F349,Inputs!$D$6:$E$41,2,FALSE)</f>
        <v/>
      </c>
      <c r="S349" s="36">
        <f>VLOOKUP($E349,Inputs!$A$6:$B$13,2,FALSE)*Inputs!$B$2</f>
        <v/>
      </c>
      <c r="T349" s="35">
        <f>$L349*$S349</f>
        <v/>
      </c>
      <c r="U349" s="35">
        <f>$L349+$T349</f>
        <v/>
      </c>
    </row>
    <row r="350">
      <c r="A350" s="3" t="inlineStr">
        <is>
          <t>PKG-14::L001</t>
        </is>
      </c>
      <c r="B350" s="3" t="inlineStr">
        <is>
          <t>PKG-14</t>
        </is>
      </c>
      <c r="C350" s="3" t="inlineStr">
        <is>
          <t>DEL-14.01</t>
        </is>
      </c>
      <c r="D350" s="3" t="inlineStr">
        <is>
          <t>L001</t>
        </is>
      </c>
      <c r="E350" s="3" t="inlineStr">
        <is>
          <t>E</t>
        </is>
      </c>
      <c r="F350" s="3" t="inlineStr">
        <is>
          <t>PKG-14</t>
        </is>
      </c>
      <c r="G350" s="3" t="inlineStr">
        <is>
          <t>DEL-14.01</t>
        </is>
      </c>
      <c r="H350" s="3" t="inlineStr">
        <is>
          <t>Process Piping Design Drawing Set - P&amp;IDs piping GAs isometrics pipe support drawings Phase 2 connections</t>
        </is>
      </c>
      <c r="I350" s="22" t="n">
        <v>1</v>
      </c>
      <c r="J350" s="3" t="inlineStr">
        <is>
          <t>LS</t>
        </is>
      </c>
      <c r="K350" s="39" t="n">
        <v>185000</v>
      </c>
      <c r="L350" s="35" t="n">
        <v>185000</v>
      </c>
      <c r="M350" s="3" t="inlineStr">
        <is>
          <t>CAD</t>
        </is>
      </c>
      <c r="N350" s="3" t="inlineStr">
        <is>
          <t>ALLOWANCE</t>
        </is>
      </c>
      <c r="O350" s="3" t="inlineStr">
        <is>
          <t>A-009</t>
        </is>
      </c>
      <c r="P350" s="3" t="inlineStr">
        <is>
          <t>LOW</t>
        </is>
      </c>
      <c r="Q350" s="3" t="inlineStr">
        <is>
          <t>~50-60 sheets at $3k/sheet for complex piping package with multiple systems</t>
        </is>
      </c>
      <c r="R350" s="3">
        <f>VLOOKUP($F350,Inputs!$D$6:$E$41,2,FALSE)</f>
        <v/>
      </c>
      <c r="S350" s="36">
        <f>VLOOKUP($E350,Inputs!$A$6:$B$13,2,FALSE)*Inputs!$B$2</f>
        <v/>
      </c>
      <c r="T350" s="35">
        <f>$L350*$S350</f>
        <v/>
      </c>
      <c r="U350" s="35">
        <f>$L350+$T350</f>
        <v/>
      </c>
    </row>
    <row r="351">
      <c r="A351" s="3" t="inlineStr">
        <is>
          <t>PKG-14::L002</t>
        </is>
      </c>
      <c r="B351" s="3" t="inlineStr">
        <is>
          <t>PKG-14</t>
        </is>
      </c>
      <c r="C351" s="3" t="inlineStr">
        <is>
          <t>DEL-14.02</t>
        </is>
      </c>
      <c r="D351" s="3" t="inlineStr">
        <is>
          <t>L002</t>
        </is>
      </c>
      <c r="E351" s="3" t="inlineStr">
        <is>
          <t>E</t>
        </is>
      </c>
      <c r="F351" s="3" t="inlineStr">
        <is>
          <t>PKG-14</t>
        </is>
      </c>
      <c r="G351" s="3" t="inlineStr">
        <is>
          <t>DEL-14.02</t>
        </is>
      </c>
      <c r="H351" s="3" t="inlineStr">
        <is>
          <t>Process Piping Technical Specification - piping material spec pipe support spec insulation spec</t>
        </is>
      </c>
      <c r="I351" s="22" t="n">
        <v>1</v>
      </c>
      <c r="J351" s="3" t="inlineStr">
        <is>
          <t>LS</t>
        </is>
      </c>
      <c r="K351" s="39" t="n">
        <v>45000</v>
      </c>
      <c r="L351" s="35" t="n">
        <v>45000</v>
      </c>
      <c r="M351" s="3" t="inlineStr">
        <is>
          <t>CAD</t>
        </is>
      </c>
      <c r="N351" s="3" t="inlineStr">
        <is>
          <t>ALLOWANCE</t>
        </is>
      </c>
      <c r="O351" s="3" t="inlineStr">
        <is>
          <t>A-010</t>
        </is>
      </c>
      <c r="P351" s="3" t="inlineStr">
        <is>
          <t>LOW</t>
        </is>
      </c>
      <c r="Q351" s="3" t="inlineStr">
        <is>
          <t>~200 hours at $225/hr for mechanical/piping specialist</t>
        </is>
      </c>
      <c r="R351" s="3">
        <f>VLOOKUP($F351,Inputs!$D$6:$E$41,2,FALSE)</f>
        <v/>
      </c>
      <c r="S351" s="36">
        <f>VLOOKUP($E351,Inputs!$A$6:$B$13,2,FALSE)*Inputs!$B$2</f>
        <v/>
      </c>
      <c r="T351" s="35">
        <f>$L351*$S351</f>
        <v/>
      </c>
      <c r="U351" s="35">
        <f>$L351+$T351</f>
        <v/>
      </c>
    </row>
    <row r="352">
      <c r="A352" s="3" t="inlineStr">
        <is>
          <t>PKG-14::L003</t>
        </is>
      </c>
      <c r="B352" s="3" t="inlineStr">
        <is>
          <t>PKG-14</t>
        </is>
      </c>
      <c r="C352" s="3" t="inlineStr">
        <is>
          <t>DEL-14.03</t>
        </is>
      </c>
      <c r="D352" s="3" t="inlineStr">
        <is>
          <t>L003</t>
        </is>
      </c>
      <c r="E352" s="3" t="inlineStr">
        <is>
          <t>E</t>
        </is>
      </c>
      <c r="F352" s="3" t="inlineStr">
        <is>
          <t>PKG-14</t>
        </is>
      </c>
      <c r="G352" s="3" t="inlineStr">
        <is>
          <t>DEL-14.03</t>
        </is>
      </c>
      <c r="H352" s="3" t="inlineStr">
        <is>
          <t>Process Piping Design Calculations - pipe sizing stress analysis flexibility analysis</t>
        </is>
      </c>
      <c r="I352" s="22" t="n">
        <v>1</v>
      </c>
      <c r="J352" s="3" t="inlineStr">
        <is>
          <t>LS</t>
        </is>
      </c>
      <c r="K352" s="39" t="n">
        <v>85000</v>
      </c>
      <c r="L352" s="35" t="n">
        <v>85000</v>
      </c>
      <c r="M352" s="3" t="inlineStr">
        <is>
          <t>CAD</t>
        </is>
      </c>
      <c r="N352" s="3" t="inlineStr">
        <is>
          <t>ALLOWANCE</t>
        </is>
      </c>
      <c r="O352" s="3" t="inlineStr">
        <is>
          <t>A-011</t>
        </is>
      </c>
      <c r="P352" s="3" t="inlineStr">
        <is>
          <t>LOW</t>
        </is>
      </c>
      <c r="Q352" s="3" t="inlineStr">
        <is>
          <t>~340 hours at $250/hr for pipe stress engineer; Caesar II or similar modeling</t>
        </is>
      </c>
      <c r="R352" s="3">
        <f>VLOOKUP($F352,Inputs!$D$6:$E$41,2,FALSE)</f>
        <v/>
      </c>
      <c r="S352" s="36">
        <f>VLOOKUP($E352,Inputs!$A$6:$B$13,2,FALSE)*Inputs!$B$2</f>
        <v/>
      </c>
      <c r="T352" s="35">
        <f>$L352*$S352</f>
        <v/>
      </c>
      <c r="U352" s="35">
        <f>$L352+$T352</f>
        <v/>
      </c>
    </row>
    <row r="353">
      <c r="A353" s="3" t="inlineStr">
        <is>
          <t>PKG-14::L004</t>
        </is>
      </c>
      <c r="B353" s="3" t="inlineStr">
        <is>
          <t>PKG-14</t>
        </is>
      </c>
      <c r="C353" s="3" t="inlineStr">
        <is>
          <t>DEL-14.04</t>
        </is>
      </c>
      <c r="D353" s="3" t="inlineStr">
        <is>
          <t>L004</t>
        </is>
      </c>
      <c r="E353" s="3" t="inlineStr">
        <is>
          <t>E</t>
        </is>
      </c>
      <c r="F353" s="3" t="inlineStr">
        <is>
          <t>PKG-14</t>
        </is>
      </c>
      <c r="G353" s="3" t="inlineStr">
        <is>
          <t>DEL-14.04</t>
        </is>
      </c>
      <c r="H353" s="3" t="inlineStr">
        <is>
          <t>Process Piping Data Sheet Package - line list piping material data sheets</t>
        </is>
      </c>
      <c r="I353" s="22" t="n">
        <v>1</v>
      </c>
      <c r="J353" s="3" t="inlineStr">
        <is>
          <t>LS</t>
        </is>
      </c>
      <c r="K353" s="39" t="n">
        <v>25000</v>
      </c>
      <c r="L353" s="35" t="n">
        <v>25000</v>
      </c>
      <c r="M353" s="3" t="inlineStr">
        <is>
          <t>CAD</t>
        </is>
      </c>
      <c r="N353" s="3" t="inlineStr">
        <is>
          <t>ALLOWANCE</t>
        </is>
      </c>
      <c r="O353" s="3" t="inlineStr">
        <is>
          <t>A-012</t>
        </is>
      </c>
      <c r="P353" s="3" t="inlineStr">
        <is>
          <t>LOW</t>
        </is>
      </c>
      <c r="Q353" s="3" t="inlineStr">
        <is>
          <t>~100 hours at $250/hr; 50+ lines expected</t>
        </is>
      </c>
      <c r="R353" s="3">
        <f>VLOOKUP($F353,Inputs!$D$6:$E$41,2,FALSE)</f>
        <v/>
      </c>
      <c r="S353" s="36">
        <f>VLOOKUP($E353,Inputs!$A$6:$B$13,2,FALSE)*Inputs!$B$2</f>
        <v/>
      </c>
      <c r="T353" s="35">
        <f>$L353*$S353</f>
        <v/>
      </c>
      <c r="U353" s="35">
        <f>$L353+$T353</f>
        <v/>
      </c>
    </row>
    <row r="354">
      <c r="A354" s="3" t="inlineStr">
        <is>
          <t>PKG-14::L005</t>
        </is>
      </c>
      <c r="B354" s="3" t="inlineStr">
        <is>
          <t>PKG-14</t>
        </is>
      </c>
      <c r="C354" s="3" t="inlineStr">
        <is>
          <t>DEL-14.05</t>
        </is>
      </c>
      <c r="D354" s="3" t="inlineStr">
        <is>
          <t>L005</t>
        </is>
      </c>
      <c r="E354" s="3" t="inlineStr">
        <is>
          <t>E</t>
        </is>
      </c>
      <c r="F354" s="3" t="inlineStr">
        <is>
          <t>PKG-14</t>
        </is>
      </c>
      <c r="G354" s="3" t="inlineStr">
        <is>
          <t>DEL-14.05</t>
        </is>
      </c>
      <c r="H354" s="3" t="inlineStr">
        <is>
          <t>Process Piping Installation &amp; Test Records - material certs weld records hydro test records</t>
        </is>
      </c>
      <c r="I354" s="22" t="n">
        <v>1</v>
      </c>
      <c r="J354" s="3" t="inlineStr">
        <is>
          <t>LS</t>
        </is>
      </c>
      <c r="K354" s="39" t="n">
        <v>35000</v>
      </c>
      <c r="L354" s="35" t="n">
        <v>35000</v>
      </c>
      <c r="M354" s="3" t="inlineStr">
        <is>
          <t>CAD</t>
        </is>
      </c>
      <c r="N354" s="3" t="inlineStr">
        <is>
          <t>ALLOWANCE</t>
        </is>
      </c>
      <c r="O354" s="3" t="inlineStr">
        <is>
          <t>A-013</t>
        </is>
      </c>
      <c r="P354" s="3" t="inlineStr">
        <is>
          <t>LOW</t>
        </is>
      </c>
      <c r="Q354" s="3" t="inlineStr">
        <is>
          <t>~140 hours at $250/hr QA/QC for test pack compilation</t>
        </is>
      </c>
      <c r="R354" s="3">
        <f>VLOOKUP($F354,Inputs!$D$6:$E$41,2,FALSE)</f>
        <v/>
      </c>
      <c r="S354" s="36">
        <f>VLOOKUP($E354,Inputs!$A$6:$B$13,2,FALSE)*Inputs!$B$2</f>
        <v/>
      </c>
      <c r="T354" s="35">
        <f>$L354*$S354</f>
        <v/>
      </c>
      <c r="U354" s="35">
        <f>$L354+$T354</f>
        <v/>
      </c>
    </row>
    <row r="355">
      <c r="A355" s="3" t="inlineStr">
        <is>
          <t>PKG-14::L006</t>
        </is>
      </c>
      <c r="B355" s="3" t="inlineStr">
        <is>
          <t>PKG-14</t>
        </is>
      </c>
      <c r="C355" s="3" t="inlineStr">
        <is>
          <t>DEL-14.06</t>
        </is>
      </c>
      <c r="D355" s="3" t="inlineStr">
        <is>
          <t>L006</t>
        </is>
      </c>
      <c r="E355" s="3" t="inlineStr">
        <is>
          <t>E</t>
        </is>
      </c>
      <c r="F355" s="3" t="inlineStr">
        <is>
          <t>PKG-14</t>
        </is>
      </c>
      <c r="G355" s="3" t="inlineStr">
        <is>
          <t>DEL-14.06</t>
        </is>
      </c>
      <c r="H355" s="3" t="inlineStr">
        <is>
          <t>Transient Analysis Study Report - Railcar Unloading Line - surge modeling mitigation recommendations</t>
        </is>
      </c>
      <c r="I355" s="22" t="n">
        <v>1</v>
      </c>
      <c r="J355" s="3" t="inlineStr">
        <is>
          <t>LS</t>
        </is>
      </c>
      <c r="K355" s="39" t="n">
        <v>65000</v>
      </c>
      <c r="L355" s="35" t="n">
        <v>65000</v>
      </c>
      <c r="M355" s="3" t="inlineStr">
        <is>
          <t>CAD</t>
        </is>
      </c>
      <c r="N355" s="3" t="inlineStr">
        <is>
          <t>ALLOWANCE</t>
        </is>
      </c>
      <c r="O355" s="3" t="inlineStr">
        <is>
          <t>A-014</t>
        </is>
      </c>
      <c r="P355" s="3" t="inlineStr">
        <is>
          <t>LOW</t>
        </is>
      </c>
      <c r="Q355" s="3" t="inlineStr">
        <is>
          <t>Specialist transient analysis; ~200+ hours including model development</t>
        </is>
      </c>
      <c r="R355" s="3">
        <f>VLOOKUP($F355,Inputs!$D$6:$E$41,2,FALSE)</f>
        <v/>
      </c>
      <c r="S355" s="36">
        <f>VLOOKUP($E355,Inputs!$A$6:$B$13,2,FALSE)*Inputs!$B$2</f>
        <v/>
      </c>
      <c r="T355" s="35">
        <f>$L355*$S355</f>
        <v/>
      </c>
      <c r="U355" s="35">
        <f>$L355+$T355</f>
        <v/>
      </c>
    </row>
    <row r="356">
      <c r="A356" s="3" t="inlineStr">
        <is>
          <t>PKG-14::L007</t>
        </is>
      </c>
      <c r="B356" s="3" t="inlineStr">
        <is>
          <t>PKG-14</t>
        </is>
      </c>
      <c r="C356" s="3" t="inlineStr">
        <is>
          <t>DEL-14.07</t>
        </is>
      </c>
      <c r="D356" s="3" t="inlineStr">
        <is>
          <t>L007</t>
        </is>
      </c>
      <c r="E356" s="3" t="inlineStr">
        <is>
          <t>E</t>
        </is>
      </c>
      <c r="F356" s="3" t="inlineStr">
        <is>
          <t>PKG-14</t>
        </is>
      </c>
      <c r="G356" s="3" t="inlineStr">
        <is>
          <t>DEL-14.07</t>
        </is>
      </c>
      <c r="H356" s="3" t="inlineStr">
        <is>
          <t>Transient Analysis Study Report - Marine Loading Line - surge modeling mitigation recommendations</t>
        </is>
      </c>
      <c r="I356" s="22" t="n">
        <v>1</v>
      </c>
      <c r="J356" s="3" t="inlineStr">
        <is>
          <t>LS</t>
        </is>
      </c>
      <c r="K356" s="39" t="n">
        <v>55000</v>
      </c>
      <c r="L356" s="35" t="n">
        <v>55000</v>
      </c>
      <c r="M356" s="3" t="inlineStr">
        <is>
          <t>CAD</t>
        </is>
      </c>
      <c r="N356" s="3" t="inlineStr">
        <is>
          <t>ALLOWANCE</t>
        </is>
      </c>
      <c r="O356" s="3" t="inlineStr">
        <is>
          <t>A-015</t>
        </is>
      </c>
      <c r="P356" s="3" t="inlineStr">
        <is>
          <t>LOW</t>
        </is>
      </c>
      <c r="Q356" s="3" t="inlineStr">
        <is>
          <t>Specialist transient analysis; ~180 hours including model development</t>
        </is>
      </c>
      <c r="R356" s="3">
        <f>VLOOKUP($F356,Inputs!$D$6:$E$41,2,FALSE)</f>
        <v/>
      </c>
      <c r="S356" s="36">
        <f>VLOOKUP($E356,Inputs!$A$6:$B$13,2,FALSE)*Inputs!$B$2</f>
        <v/>
      </c>
      <c r="T356" s="35">
        <f>$L356*$S356</f>
        <v/>
      </c>
      <c r="U356" s="35">
        <f>$L356+$T356</f>
        <v/>
      </c>
    </row>
    <row r="357">
      <c r="A357" s="3" t="inlineStr">
        <is>
          <t>PKG-14::L008</t>
        </is>
      </c>
      <c r="B357" s="3" t="inlineStr">
        <is>
          <t>PKG-14</t>
        </is>
      </c>
      <c r="C357" s="3" t="inlineStr">
        <is>
          <t>DEL-14.08</t>
        </is>
      </c>
      <c r="D357" s="3" t="inlineStr">
        <is>
          <t>L008</t>
        </is>
      </c>
      <c r="E357" s="3" t="inlineStr">
        <is>
          <t>E</t>
        </is>
      </c>
      <c r="F357" s="3" t="inlineStr">
        <is>
          <t>PKG-14</t>
        </is>
      </c>
      <c r="G357" s="3" t="inlineStr">
        <is>
          <t>DEL-14.08</t>
        </is>
      </c>
      <c r="H357" s="3" t="inlineStr">
        <is>
          <t>Valve Closing Time Verification Summary - valve timing analysis compliance documentation</t>
        </is>
      </c>
      <c r="I357" s="22" t="n">
        <v>1</v>
      </c>
      <c r="J357" s="3" t="inlineStr">
        <is>
          <t>LS</t>
        </is>
      </c>
      <c r="K357" s="39" t="n">
        <v>20000</v>
      </c>
      <c r="L357" s="35" t="n">
        <v>20000</v>
      </c>
      <c r="M357" s="3" t="inlineStr">
        <is>
          <t>CAD</t>
        </is>
      </c>
      <c r="N357" s="3" t="inlineStr">
        <is>
          <t>ALLOWANCE</t>
        </is>
      </c>
      <c r="O357" s="3" t="inlineStr">
        <is>
          <t>A-016</t>
        </is>
      </c>
      <c r="P357" s="3" t="inlineStr">
        <is>
          <t>LOW</t>
        </is>
      </c>
      <c r="Q357" s="3" t="inlineStr">
        <is>
          <t>~80 hours at $250/hr linked to transient studies</t>
        </is>
      </c>
      <c r="R357" s="3">
        <f>VLOOKUP($F357,Inputs!$D$6:$E$41,2,FALSE)</f>
        <v/>
      </c>
      <c r="S357" s="36">
        <f>VLOOKUP($E357,Inputs!$A$6:$B$13,2,FALSE)*Inputs!$B$2</f>
        <v/>
      </c>
      <c r="T357" s="35">
        <f>$L357*$S357</f>
        <v/>
      </c>
      <c r="U357" s="35">
        <f>$L357+$T357</f>
        <v/>
      </c>
    </row>
    <row r="358">
      <c r="A358" s="3" t="inlineStr">
        <is>
          <t>PKG-14::L009</t>
        </is>
      </c>
      <c r="B358" s="3" t="inlineStr">
        <is>
          <t>PKG-14</t>
        </is>
      </c>
      <c r="C358" s="3" t="n"/>
      <c r="D358" s="3" t="inlineStr">
        <is>
          <t>L009</t>
        </is>
      </c>
      <c r="E358" s="3" t="inlineStr">
        <is>
          <t>MAT</t>
        </is>
      </c>
      <c r="F358" s="3" t="inlineStr">
        <is>
          <t>PKG-14</t>
        </is>
      </c>
      <c r="G358" s="3" t="n"/>
      <c r="H358" s="3" t="inlineStr">
        <is>
          <t>Rail Unloading Header Pipe Supply - 16-20 inch carbon steel ASME B31.3 (~250 lm)</t>
        </is>
      </c>
      <c r="I358" s="22" t="n">
        <v>1</v>
      </c>
      <c r="J358" s="3" t="inlineStr">
        <is>
          <t>LS</t>
        </is>
      </c>
      <c r="K358" s="39" t="n">
        <v>375000</v>
      </c>
      <c r="L358" s="35" t="n">
        <v>375000</v>
      </c>
      <c r="M358" s="3" t="inlineStr">
        <is>
          <t>CAD</t>
        </is>
      </c>
      <c r="N358" s="3" t="inlineStr">
        <is>
          <t>ALLOWANCE</t>
        </is>
      </c>
      <c r="O358" s="3" t="inlineStr">
        <is>
          <t>A-001</t>
        </is>
      </c>
      <c r="P358" s="3" t="inlineStr">
        <is>
          <t>LOW</t>
        </is>
      </c>
      <c r="Q358" s="3" t="inlineStr">
        <is>
          <t>~$1500/lm for large diameter CS pipe with fittings</t>
        </is>
      </c>
      <c r="R358" s="3">
        <f>VLOOKUP($F358,Inputs!$D$6:$E$41,2,FALSE)</f>
        <v/>
      </c>
      <c r="S358" s="36">
        <f>VLOOKUP($E358,Inputs!$A$6:$B$13,2,FALSE)*Inputs!$B$2</f>
        <v/>
      </c>
      <c r="T358" s="35">
        <f>$L358*$S358</f>
        <v/>
      </c>
      <c r="U358" s="35">
        <f>$L358+$T358</f>
        <v/>
      </c>
    </row>
    <row r="359">
      <c r="A359" s="3" t="inlineStr">
        <is>
          <t>PKG-14::L010</t>
        </is>
      </c>
      <c r="B359" s="3" t="inlineStr">
        <is>
          <t>PKG-14</t>
        </is>
      </c>
      <c r="C359" s="3" t="n"/>
      <c r="D359" s="3" t="inlineStr">
        <is>
          <t>L010</t>
        </is>
      </c>
      <c r="E359" s="3" t="inlineStr">
        <is>
          <t>MAT</t>
        </is>
      </c>
      <c r="F359" s="3" t="inlineStr">
        <is>
          <t>PKG-14</t>
        </is>
      </c>
      <c r="G359" s="3" t="n"/>
      <c r="H359" s="3" t="inlineStr">
        <is>
          <t>Header Lateral Pipe Supply - 8-10 inch carbon steel from unloading stations (~100 lm)</t>
        </is>
      </c>
      <c r="I359" s="22" t="n">
        <v>1</v>
      </c>
      <c r="J359" s="3" t="inlineStr">
        <is>
          <t>LS</t>
        </is>
      </c>
      <c r="K359" s="39" t="n">
        <v>80000</v>
      </c>
      <c r="L359" s="35" t="n">
        <v>80000</v>
      </c>
      <c r="M359" s="3" t="inlineStr">
        <is>
          <t>CAD</t>
        </is>
      </c>
      <c r="N359" s="3" t="inlineStr">
        <is>
          <t>ALLOWANCE</t>
        </is>
      </c>
      <c r="O359" s="3" t="inlineStr">
        <is>
          <t>A-001</t>
        </is>
      </c>
      <c r="P359" s="3" t="inlineStr">
        <is>
          <t>LOW</t>
        </is>
      </c>
      <c r="Q359" s="3" t="inlineStr">
        <is>
          <t>~$800/lm for medium diameter CS pipe with fittings</t>
        </is>
      </c>
      <c r="R359" s="3">
        <f>VLOOKUP($F359,Inputs!$D$6:$E$41,2,FALSE)</f>
        <v/>
      </c>
      <c r="S359" s="36">
        <f>VLOOKUP($E359,Inputs!$A$6:$B$13,2,FALSE)*Inputs!$B$2</f>
        <v/>
      </c>
      <c r="T359" s="35">
        <f>$L359*$S359</f>
        <v/>
      </c>
      <c r="U359" s="35">
        <f>$L359+$T359</f>
        <v/>
      </c>
    </row>
    <row r="360">
      <c r="A360" s="3" t="inlineStr">
        <is>
          <t>PKG-14::L011</t>
        </is>
      </c>
      <c r="B360" s="3" t="inlineStr">
        <is>
          <t>PKG-14</t>
        </is>
      </c>
      <c r="C360" s="3" t="n"/>
      <c r="D360" s="3" t="inlineStr">
        <is>
          <t>L011</t>
        </is>
      </c>
      <c r="E360" s="3" t="inlineStr">
        <is>
          <t>MAT</t>
        </is>
      </c>
      <c r="F360" s="3" t="inlineStr">
        <is>
          <t>PKG-14</t>
        </is>
      </c>
      <c r="G360" s="3" t="n"/>
      <c r="H360" s="3" t="inlineStr">
        <is>
          <t>Tank Inlet Header Pipe Supply - 16-20 inch carbon steel to tank farm (~150 lm)</t>
        </is>
      </c>
      <c r="I360" s="22" t="n">
        <v>1</v>
      </c>
      <c r="J360" s="3" t="inlineStr">
        <is>
          <t>LS</t>
        </is>
      </c>
      <c r="K360" s="39" t="n">
        <v>225000</v>
      </c>
      <c r="L360" s="35" t="n">
        <v>225000</v>
      </c>
      <c r="M360" s="3" t="inlineStr">
        <is>
          <t>CAD</t>
        </is>
      </c>
      <c r="N360" s="3" t="inlineStr">
        <is>
          <t>ALLOWANCE</t>
        </is>
      </c>
      <c r="O360" s="3" t="inlineStr">
        <is>
          <t>A-002</t>
        </is>
      </c>
      <c r="P360" s="3" t="inlineStr">
        <is>
          <t>LOW</t>
        </is>
      </c>
      <c r="Q360" s="3" t="inlineStr">
        <is>
          <t>~$1500/lm for large diameter CS pipe with fittings</t>
        </is>
      </c>
      <c r="R360" s="3">
        <f>VLOOKUP($F360,Inputs!$D$6:$E$41,2,FALSE)</f>
        <v/>
      </c>
      <c r="S360" s="36">
        <f>VLOOKUP($E360,Inputs!$A$6:$B$13,2,FALSE)*Inputs!$B$2</f>
        <v/>
      </c>
      <c r="T360" s="35">
        <f>$L360*$S360</f>
        <v/>
      </c>
      <c r="U360" s="35">
        <f>$L360+$T360</f>
        <v/>
      </c>
    </row>
    <row r="361">
      <c r="A361" s="3" t="inlineStr">
        <is>
          <t>PKG-14::L012</t>
        </is>
      </c>
      <c r="B361" s="3" t="inlineStr">
        <is>
          <t>PKG-14</t>
        </is>
      </c>
      <c r="C361" s="3" t="n"/>
      <c r="D361" s="3" t="inlineStr">
        <is>
          <t>L012</t>
        </is>
      </c>
      <c r="E361" s="3" t="inlineStr">
        <is>
          <t>MAT</t>
        </is>
      </c>
      <c r="F361" s="3" t="inlineStr">
        <is>
          <t>PKG-14</t>
        </is>
      </c>
      <c r="G361" s="3" t="n"/>
      <c r="H361" s="3" t="inlineStr">
        <is>
          <t>Tank Outlet Manifold Pipe Supply - 16-20 inch carbon steel from tanks (~100 lm)</t>
        </is>
      </c>
      <c r="I361" s="22" t="n">
        <v>1</v>
      </c>
      <c r="J361" s="3" t="inlineStr">
        <is>
          <t>LS</t>
        </is>
      </c>
      <c r="K361" s="39" t="n">
        <v>150000</v>
      </c>
      <c r="L361" s="35" t="n">
        <v>150000</v>
      </c>
      <c r="M361" s="3" t="inlineStr">
        <is>
          <t>CAD</t>
        </is>
      </c>
      <c r="N361" s="3" t="inlineStr">
        <is>
          <t>ALLOWANCE</t>
        </is>
      </c>
      <c r="O361" s="3" t="inlineStr">
        <is>
          <t>A-002</t>
        </is>
      </c>
      <c r="P361" s="3" t="inlineStr">
        <is>
          <t>LOW</t>
        </is>
      </c>
      <c r="Q361" s="3" t="inlineStr">
        <is>
          <t>~$1500/lm for large diameter CS pipe with fittings</t>
        </is>
      </c>
      <c r="R361" s="3">
        <f>VLOOKUP($F361,Inputs!$D$6:$E$41,2,FALSE)</f>
        <v/>
      </c>
      <c r="S361" s="36">
        <f>VLOOKUP($E361,Inputs!$A$6:$B$13,2,FALSE)*Inputs!$B$2</f>
        <v/>
      </c>
      <c r="T361" s="35">
        <f>$L361*$S361</f>
        <v/>
      </c>
      <c r="U361" s="35">
        <f>$L361+$T361</f>
        <v/>
      </c>
    </row>
    <row r="362">
      <c r="A362" s="3" t="inlineStr">
        <is>
          <t>PKG-14::L013</t>
        </is>
      </c>
      <c r="B362" s="3" t="inlineStr">
        <is>
          <t>PKG-14</t>
        </is>
      </c>
      <c r="C362" s="3" t="n"/>
      <c r="D362" s="3" t="inlineStr">
        <is>
          <t>L013</t>
        </is>
      </c>
      <c r="E362" s="3" t="inlineStr">
        <is>
          <t>MAT</t>
        </is>
      </c>
      <c r="F362" s="3" t="inlineStr">
        <is>
          <t>PKG-14</t>
        </is>
      </c>
      <c r="G362" s="3" t="n"/>
      <c r="H362" s="3" t="inlineStr">
        <is>
          <t>Export Piping Supply - 12-16 inch carbon steel to PKG-11 interface (~350 lm)</t>
        </is>
      </c>
      <c r="I362" s="22" t="n">
        <v>1</v>
      </c>
      <c r="J362" s="3" t="inlineStr">
        <is>
          <t>LS</t>
        </is>
      </c>
      <c r="K362" s="39" t="n">
        <v>420000</v>
      </c>
      <c r="L362" s="35" t="n">
        <v>420000</v>
      </c>
      <c r="M362" s="3" t="inlineStr">
        <is>
          <t>CAD</t>
        </is>
      </c>
      <c r="N362" s="3" t="inlineStr">
        <is>
          <t>ALLOWANCE</t>
        </is>
      </c>
      <c r="O362" s="3" t="inlineStr">
        <is>
          <t>A-003</t>
        </is>
      </c>
      <c r="P362" s="3" t="inlineStr">
        <is>
          <t>LOW</t>
        </is>
      </c>
      <c r="Q362" s="3" t="inlineStr">
        <is>
          <t>~$1200/lm for export line with fittings</t>
        </is>
      </c>
      <c r="R362" s="3">
        <f>VLOOKUP($F362,Inputs!$D$6:$E$41,2,FALSE)</f>
        <v/>
      </c>
      <c r="S362" s="36">
        <f>VLOOKUP($E362,Inputs!$A$6:$B$13,2,FALSE)*Inputs!$B$2</f>
        <v/>
      </c>
      <c r="T362" s="35">
        <f>$L362*$S362</f>
        <v/>
      </c>
      <c r="U362" s="35">
        <f>$L362+$T362</f>
        <v/>
      </c>
    </row>
    <row r="363">
      <c r="A363" s="3" t="inlineStr">
        <is>
          <t>PKG-14::L014</t>
        </is>
      </c>
      <c r="B363" s="3" t="inlineStr">
        <is>
          <t>PKG-14</t>
        </is>
      </c>
      <c r="C363" s="3" t="n"/>
      <c r="D363" s="3" t="inlineStr">
        <is>
          <t>L014</t>
        </is>
      </c>
      <c r="E363" s="3" t="inlineStr">
        <is>
          <t>MAT</t>
        </is>
      </c>
      <c r="F363" s="3" t="inlineStr">
        <is>
          <t>PKG-14</t>
        </is>
      </c>
      <c r="G363" s="3" t="n"/>
      <c r="H363" s="3" t="inlineStr">
        <is>
          <t>Recycle/Return Piping Supply - 8-12 inch carbon steel (~150 lm)</t>
        </is>
      </c>
      <c r="I363" s="22" t="n">
        <v>1</v>
      </c>
      <c r="J363" s="3" t="inlineStr">
        <is>
          <t>LS</t>
        </is>
      </c>
      <c r="K363" s="39" t="n">
        <v>120000</v>
      </c>
      <c r="L363" s="35" t="n">
        <v>120000</v>
      </c>
      <c r="M363" s="3" t="inlineStr">
        <is>
          <t>CAD</t>
        </is>
      </c>
      <c r="N363" s="3" t="inlineStr">
        <is>
          <t>ALLOWANCE</t>
        </is>
      </c>
      <c r="O363" s="3" t="inlineStr">
        <is>
          <t>A-004</t>
        </is>
      </c>
      <c r="P363" s="3" t="inlineStr">
        <is>
          <t>LOW</t>
        </is>
      </c>
      <c r="Q363" s="3" t="inlineStr">
        <is>
          <t>~$800/lm for recirculation piping</t>
        </is>
      </c>
      <c r="R363" s="3">
        <f>VLOOKUP($F363,Inputs!$D$6:$E$41,2,FALSE)</f>
        <v/>
      </c>
      <c r="S363" s="36">
        <f>VLOOKUP($E363,Inputs!$A$6:$B$13,2,FALSE)*Inputs!$B$2</f>
        <v/>
      </c>
      <c r="T363" s="35">
        <f>$L363*$S363</f>
        <v/>
      </c>
      <c r="U363" s="35">
        <f>$L363+$T363</f>
        <v/>
      </c>
    </row>
    <row r="364">
      <c r="A364" s="3" t="inlineStr">
        <is>
          <t>PKG-14::L015</t>
        </is>
      </c>
      <c r="B364" s="3" t="inlineStr">
        <is>
          <t>PKG-14</t>
        </is>
      </c>
      <c r="C364" s="3" t="n"/>
      <c r="D364" s="3" t="inlineStr">
        <is>
          <t>L015</t>
        </is>
      </c>
      <c r="E364" s="3" t="inlineStr">
        <is>
          <t>MAT</t>
        </is>
      </c>
      <c r="F364" s="3" t="inlineStr">
        <is>
          <t>PKG-14</t>
        </is>
      </c>
      <c r="G364" s="3" t="n"/>
      <c r="H364" s="3" t="inlineStr">
        <is>
          <t>Nitrogen Distribution Piping Supply - 2-4 inch carbon steel (~400 lm)</t>
        </is>
      </c>
      <c r="I364" s="22" t="n">
        <v>1</v>
      </c>
      <c r="J364" s="3" t="inlineStr">
        <is>
          <t>LS</t>
        </is>
      </c>
      <c r="K364" s="39" t="n">
        <v>120000</v>
      </c>
      <c r="L364" s="35" t="n">
        <v>120000</v>
      </c>
      <c r="M364" s="3" t="inlineStr">
        <is>
          <t>CAD</t>
        </is>
      </c>
      <c r="N364" s="3" t="inlineStr">
        <is>
          <t>ALLOWANCE</t>
        </is>
      </c>
      <c r="O364" s="3" t="inlineStr">
        <is>
          <t>A-005</t>
        </is>
      </c>
      <c r="P364" s="3" t="inlineStr">
        <is>
          <t>LOW</t>
        </is>
      </c>
      <c r="Q364" s="3" t="inlineStr">
        <is>
          <t>~$300/lm for small bore N2 piping</t>
        </is>
      </c>
      <c r="R364" s="3">
        <f>VLOOKUP($F364,Inputs!$D$6:$E$41,2,FALSE)</f>
        <v/>
      </c>
      <c r="S364" s="36">
        <f>VLOOKUP($E364,Inputs!$A$6:$B$13,2,FALSE)*Inputs!$B$2</f>
        <v/>
      </c>
      <c r="T364" s="35">
        <f>$L364*$S364</f>
        <v/>
      </c>
      <c r="U364" s="35">
        <f>$L364+$T364</f>
        <v/>
      </c>
    </row>
    <row r="365">
      <c r="A365" s="3" t="inlineStr">
        <is>
          <t>PKG-14::L016</t>
        </is>
      </c>
      <c r="B365" s="3" t="inlineStr">
        <is>
          <t>PKG-14</t>
        </is>
      </c>
      <c r="C365" s="3" t="n"/>
      <c r="D365" s="3" t="inlineStr">
        <is>
          <t>L016</t>
        </is>
      </c>
      <c r="E365" s="3" t="inlineStr">
        <is>
          <t>MAT</t>
        </is>
      </c>
      <c r="F365" s="3" t="inlineStr">
        <is>
          <t>PKG-14</t>
        </is>
      </c>
      <c r="G365" s="3" t="n"/>
      <c r="H365" s="3" t="inlineStr">
        <is>
          <t>Small Bore Utility Piping Supply - 1-2 inch SS/CS drains vents samples (~200 lm)</t>
        </is>
      </c>
      <c r="I365" s="22" t="n">
        <v>1</v>
      </c>
      <c r="J365" s="3" t="inlineStr">
        <is>
          <t>LS</t>
        </is>
      </c>
      <c r="K365" s="39" t="n">
        <v>60000</v>
      </c>
      <c r="L365" s="35" t="n">
        <v>60000</v>
      </c>
      <c r="M365" s="3" t="inlineStr">
        <is>
          <t>CAD</t>
        </is>
      </c>
      <c r="N365" s="3" t="inlineStr">
        <is>
          <t>ALLOWANCE</t>
        </is>
      </c>
      <c r="O365" s="3" t="inlineStr">
        <is>
          <t>A-006</t>
        </is>
      </c>
      <c r="P365" s="3" t="inlineStr">
        <is>
          <t>LOW</t>
        </is>
      </c>
      <c r="Q365" s="3" t="inlineStr">
        <is>
          <t>~$300/lm for small bore utility piping</t>
        </is>
      </c>
      <c r="R365" s="3">
        <f>VLOOKUP($F365,Inputs!$D$6:$E$41,2,FALSE)</f>
        <v/>
      </c>
      <c r="S365" s="36">
        <f>VLOOKUP($E365,Inputs!$A$6:$B$13,2,FALSE)*Inputs!$B$2</f>
        <v/>
      </c>
      <c r="T365" s="35">
        <f>$L365*$S365</f>
        <v/>
      </c>
      <c r="U365" s="35">
        <f>$L365+$T365</f>
        <v/>
      </c>
    </row>
    <row r="366">
      <c r="A366" s="3" t="inlineStr">
        <is>
          <t>PKG-14::L017</t>
        </is>
      </c>
      <c r="B366" s="3" t="inlineStr">
        <is>
          <t>PKG-14</t>
        </is>
      </c>
      <c r="C366" s="3" t="n"/>
      <c r="D366" s="3" t="inlineStr">
        <is>
          <t>L017</t>
        </is>
      </c>
      <c r="E366" s="3" t="inlineStr">
        <is>
          <t>MAT</t>
        </is>
      </c>
      <c r="F366" s="3" t="inlineStr">
        <is>
          <t>PKG-14</t>
        </is>
      </c>
      <c r="G366" s="3" t="n"/>
      <c r="H366" s="3" t="inlineStr">
        <is>
          <t>Pipe Support Steel Supply - structural supports guides anchors (~300 units)</t>
        </is>
      </c>
      <c r="I366" s="22" t="n">
        <v>1</v>
      </c>
      <c r="J366" s="3" t="inlineStr">
        <is>
          <t>LS</t>
        </is>
      </c>
      <c r="K366" s="39" t="n">
        <v>180000</v>
      </c>
      <c r="L366" s="35" t="n">
        <v>180000</v>
      </c>
      <c r="M366" s="3" t="inlineStr">
        <is>
          <t>CAD</t>
        </is>
      </c>
      <c r="N366" s="3" t="inlineStr">
        <is>
          <t>ALLOWANCE</t>
        </is>
      </c>
      <c r="O366" s="3" t="inlineStr">
        <is>
          <t>A-007</t>
        </is>
      </c>
      <c r="P366" s="3" t="inlineStr">
        <is>
          <t>LOW</t>
        </is>
      </c>
      <c r="Q366" s="3" t="inlineStr">
        <is>
          <t>~$600/unit average for support fabrications</t>
        </is>
      </c>
      <c r="R366" s="3">
        <f>VLOOKUP($F366,Inputs!$D$6:$E$41,2,FALSE)</f>
        <v/>
      </c>
      <c r="S366" s="36">
        <f>VLOOKUP($E366,Inputs!$A$6:$B$13,2,FALSE)*Inputs!$B$2</f>
        <v/>
      </c>
      <c r="T366" s="35">
        <f>$L366*$S366</f>
        <v/>
      </c>
      <c r="U366" s="35">
        <f>$L366+$T366</f>
        <v/>
      </c>
    </row>
    <row r="367">
      <c r="A367" s="3" t="inlineStr">
        <is>
          <t>PKG-14::L018</t>
        </is>
      </c>
      <c r="B367" s="3" t="inlineStr">
        <is>
          <t>PKG-14</t>
        </is>
      </c>
      <c r="C367" s="3" t="n"/>
      <c r="D367" s="3" t="inlineStr">
        <is>
          <t>L018</t>
        </is>
      </c>
      <c r="E367" s="3" t="inlineStr">
        <is>
          <t>MAT</t>
        </is>
      </c>
      <c r="F367" s="3" t="inlineStr">
        <is>
          <t>PKG-14</t>
        </is>
      </c>
      <c r="G367" s="3" t="n"/>
      <c r="H367" s="3" t="inlineStr">
        <is>
          <t>Pipe Insulation and Heat Tracing Supply - cold weather protection for product lines</t>
        </is>
      </c>
      <c r="I367" s="22" t="n">
        <v>1</v>
      </c>
      <c r="J367" s="3" t="inlineStr">
        <is>
          <t>LS</t>
        </is>
      </c>
      <c r="K367" s="39" t="n">
        <v>245000</v>
      </c>
      <c r="L367" s="35" t="n">
        <v>245000</v>
      </c>
      <c r="M367" s="3" t="inlineStr">
        <is>
          <t>CAD</t>
        </is>
      </c>
      <c r="N367" s="3" t="inlineStr">
        <is>
          <t>ALLOWANCE</t>
        </is>
      </c>
      <c r="O367" s="3" t="inlineStr">
        <is>
          <t>A-008</t>
        </is>
      </c>
      <c r="P367" s="3" t="inlineStr">
        <is>
          <t>LOW</t>
        </is>
      </c>
      <c r="Q367" s="3" t="inlineStr">
        <is>
          <t>~$200/lm for insulation + heat trace on ~1200 lm major lines</t>
        </is>
      </c>
      <c r="R367" s="3">
        <f>VLOOKUP($F367,Inputs!$D$6:$E$41,2,FALSE)</f>
        <v/>
      </c>
      <c r="S367" s="36">
        <f>VLOOKUP($E367,Inputs!$A$6:$B$13,2,FALSE)*Inputs!$B$2</f>
        <v/>
      </c>
      <c r="T367" s="35">
        <f>$L367*$S367</f>
        <v/>
      </c>
      <c r="U367" s="35">
        <f>$L367+$T367</f>
        <v/>
      </c>
    </row>
    <row r="368">
      <c r="A368" s="3" t="inlineStr">
        <is>
          <t>PKG-14::L019</t>
        </is>
      </c>
      <c r="B368" s="3" t="inlineStr">
        <is>
          <t>PKG-14</t>
        </is>
      </c>
      <c r="C368" s="3" t="n"/>
      <c r="D368" s="3" t="inlineStr">
        <is>
          <t>L019</t>
        </is>
      </c>
      <c r="E368" s="3" t="inlineStr">
        <is>
          <t>MAT</t>
        </is>
      </c>
      <c r="F368" s="3" t="inlineStr">
        <is>
          <t>PKG-14</t>
        </is>
      </c>
      <c r="G368" s="3" t="n"/>
      <c r="H368" s="3" t="inlineStr">
        <is>
          <t>Gaskets Bolting and Small Fittings - flange sets blind flanges specialty fittings</t>
        </is>
      </c>
      <c r="I368" s="22" t="n">
        <v>1</v>
      </c>
      <c r="J368" s="3" t="inlineStr">
        <is>
          <t>LS</t>
        </is>
      </c>
      <c r="K368" s="39" t="n">
        <v>85000</v>
      </c>
      <c r="L368" s="35" t="n">
        <v>85000</v>
      </c>
      <c r="M368" s="3" t="inlineStr">
        <is>
          <t>CAD</t>
        </is>
      </c>
      <c r="N368" s="3" t="inlineStr">
        <is>
          <t>ALLOWANCE</t>
        </is>
      </c>
      <c r="O368" s="3" t="inlineStr">
        <is>
          <t>A-017</t>
        </is>
      </c>
      <c r="P368" s="3" t="inlineStr">
        <is>
          <t>LOW</t>
        </is>
      </c>
      <c r="Q368" s="3" t="inlineStr">
        <is>
          <t>~5% of pipe material for gaskets bolts specialty items</t>
        </is>
      </c>
      <c r="R368" s="3">
        <f>VLOOKUP($F368,Inputs!$D$6:$E$41,2,FALSE)</f>
        <v/>
      </c>
      <c r="S368" s="36">
        <f>VLOOKUP($E368,Inputs!$A$6:$B$13,2,FALSE)*Inputs!$B$2</f>
        <v/>
      </c>
      <c r="T368" s="35">
        <f>$L368*$S368</f>
        <v/>
      </c>
      <c r="U368" s="35">
        <f>$L368+$T368</f>
        <v/>
      </c>
    </row>
    <row r="369">
      <c r="A369" s="3" t="inlineStr">
        <is>
          <t>PKG-14::L020</t>
        </is>
      </c>
      <c r="B369" s="3" t="inlineStr">
        <is>
          <t>PKG-14</t>
        </is>
      </c>
      <c r="C369" s="3" t="n"/>
      <c r="D369" s="3" t="inlineStr">
        <is>
          <t>L020</t>
        </is>
      </c>
      <c r="E369" s="3" t="inlineStr">
        <is>
          <t>MAT</t>
        </is>
      </c>
      <c r="F369" s="3" t="inlineStr">
        <is>
          <t>PKG-14</t>
        </is>
      </c>
      <c r="G369" s="3" t="n"/>
      <c r="H369" s="3" t="inlineStr">
        <is>
          <t>Expansion Joints and Loops - thermal expansion provisions per stress analysis</t>
        </is>
      </c>
      <c r="I369" s="22" t="n">
        <v>1</v>
      </c>
      <c r="J369" s="3" t="inlineStr">
        <is>
          <t>LS</t>
        </is>
      </c>
      <c r="K369" s="39" t="n">
        <v>65000</v>
      </c>
      <c r="L369" s="35" t="n">
        <v>65000</v>
      </c>
      <c r="M369" s="3" t="inlineStr">
        <is>
          <t>CAD</t>
        </is>
      </c>
      <c r="N369" s="3" t="inlineStr">
        <is>
          <t>ALLOWANCE</t>
        </is>
      </c>
      <c r="O369" s="3" t="inlineStr">
        <is>
          <t>A-018</t>
        </is>
      </c>
      <c r="P369" s="3" t="inlineStr">
        <is>
          <t>LOW</t>
        </is>
      </c>
      <c r="Q369" s="3" t="inlineStr">
        <is>
          <t>Allowance for expansion provisions; qty TBD from DEL-14.03</t>
        </is>
      </c>
      <c r="R369" s="3">
        <f>VLOOKUP($F369,Inputs!$D$6:$E$41,2,FALSE)</f>
        <v/>
      </c>
      <c r="S369" s="36">
        <f>VLOOKUP($E369,Inputs!$A$6:$B$13,2,FALSE)*Inputs!$B$2</f>
        <v/>
      </c>
      <c r="T369" s="35">
        <f>$L369*$S369</f>
        <v/>
      </c>
      <c r="U369" s="35">
        <f>$L369+$T369</f>
        <v/>
      </c>
    </row>
    <row r="370">
      <c r="A370" s="3" t="inlineStr">
        <is>
          <t>PKG-14::L021</t>
        </is>
      </c>
      <c r="B370" s="3" t="inlineStr">
        <is>
          <t>PKG-14</t>
        </is>
      </c>
      <c r="C370" s="3" t="n"/>
      <c r="D370" s="3" t="inlineStr">
        <is>
          <t>L021</t>
        </is>
      </c>
      <c r="E370" s="3" t="inlineStr">
        <is>
          <t>CD</t>
        </is>
      </c>
      <c r="F370" s="3" t="inlineStr">
        <is>
          <t>PKG-14</t>
        </is>
      </c>
      <c r="G370" s="3" t="n"/>
      <c r="H370" s="3" t="inlineStr">
        <is>
          <t>Rail Unloading Header Fabrication and Installation - shop prefab field assembly welding NDE</t>
        </is>
      </c>
      <c r="I370" s="22" t="n">
        <v>1</v>
      </c>
      <c r="J370" s="3" t="inlineStr">
        <is>
          <t>LS</t>
        </is>
      </c>
      <c r="K370" s="39" t="n">
        <v>280000</v>
      </c>
      <c r="L370" s="35" t="n">
        <v>280000</v>
      </c>
      <c r="M370" s="3" t="inlineStr">
        <is>
          <t>CAD</t>
        </is>
      </c>
      <c r="N370" s="3" t="inlineStr">
        <is>
          <t>ALLOWANCE</t>
        </is>
      </c>
      <c r="O370" s="3" t="inlineStr">
        <is>
          <t>A-001</t>
        </is>
      </c>
      <c r="P370" s="3" t="inlineStr">
        <is>
          <t>LOW</t>
        </is>
      </c>
      <c r="Q370" s="3" t="inlineStr">
        <is>
          <t>~250 lm × $1100/lm install + elevated work</t>
        </is>
      </c>
      <c r="R370" s="3">
        <f>VLOOKUP($F370,Inputs!$D$6:$E$41,2,FALSE)</f>
        <v/>
      </c>
      <c r="S370" s="36">
        <f>VLOOKUP($E370,Inputs!$A$6:$B$13,2,FALSE)*Inputs!$B$2</f>
        <v/>
      </c>
      <c r="T370" s="35">
        <f>$L370*$S370</f>
        <v/>
      </c>
      <c r="U370" s="35">
        <f>$L370+$T370</f>
        <v/>
      </c>
    </row>
    <row r="371">
      <c r="A371" s="3" t="inlineStr">
        <is>
          <t>PKG-14::L022</t>
        </is>
      </c>
      <c r="B371" s="3" t="inlineStr">
        <is>
          <t>PKG-14</t>
        </is>
      </c>
      <c r="C371" s="3" t="n"/>
      <c r="D371" s="3" t="inlineStr">
        <is>
          <t>L022</t>
        </is>
      </c>
      <c r="E371" s="3" t="inlineStr">
        <is>
          <t>CD</t>
        </is>
      </c>
      <c r="F371" s="3" t="inlineStr">
        <is>
          <t>PKG-14</t>
        </is>
      </c>
      <c r="G371" s="3" t="n"/>
      <c r="H371" s="3" t="inlineStr">
        <is>
          <t>Header Lateral Installation - field fit-up welding from unloading stations</t>
        </is>
      </c>
      <c r="I371" s="22" t="n">
        <v>1</v>
      </c>
      <c r="J371" s="3" t="inlineStr">
        <is>
          <t>LS</t>
        </is>
      </c>
      <c r="K371" s="39" t="n">
        <v>80000</v>
      </c>
      <c r="L371" s="35" t="n">
        <v>80000</v>
      </c>
      <c r="M371" s="3" t="inlineStr">
        <is>
          <t>CAD</t>
        </is>
      </c>
      <c r="N371" s="3" t="inlineStr">
        <is>
          <t>ALLOWANCE</t>
        </is>
      </c>
      <c r="O371" s="3" t="inlineStr">
        <is>
          <t>A-001</t>
        </is>
      </c>
      <c r="P371" s="3" t="inlineStr">
        <is>
          <t>LOW</t>
        </is>
      </c>
      <c r="Q371" s="3" t="inlineStr">
        <is>
          <t>~100 lm × $800/lm for smaller diameter laterals</t>
        </is>
      </c>
      <c r="R371" s="3">
        <f>VLOOKUP($F371,Inputs!$D$6:$E$41,2,FALSE)</f>
        <v/>
      </c>
      <c r="S371" s="36">
        <f>VLOOKUP($E371,Inputs!$A$6:$B$13,2,FALSE)*Inputs!$B$2</f>
        <v/>
      </c>
      <c r="T371" s="35">
        <f>$L371*$S371</f>
        <v/>
      </c>
      <c r="U371" s="35">
        <f>$L371+$T371</f>
        <v/>
      </c>
    </row>
    <row r="372">
      <c r="A372" s="3" t="inlineStr">
        <is>
          <t>PKG-14::L023</t>
        </is>
      </c>
      <c r="B372" s="3" t="inlineStr">
        <is>
          <t>PKG-14</t>
        </is>
      </c>
      <c r="C372" s="3" t="n"/>
      <c r="D372" s="3" t="inlineStr">
        <is>
          <t>L023</t>
        </is>
      </c>
      <c r="E372" s="3" t="inlineStr">
        <is>
          <t>CD</t>
        </is>
      </c>
      <c r="F372" s="3" t="inlineStr">
        <is>
          <t>PKG-14</t>
        </is>
      </c>
      <c r="G372" s="3" t="n"/>
      <c r="H372" s="3" t="inlineStr">
        <is>
          <t>Tank Farm Piping Installation - inlet headers outlet manifold (~250 lm total)</t>
        </is>
      </c>
      <c r="I372" s="22" t="n">
        <v>1</v>
      </c>
      <c r="J372" s="3" t="inlineStr">
        <is>
          <t>LS</t>
        </is>
      </c>
      <c r="K372" s="39" t="n">
        <v>275000</v>
      </c>
      <c r="L372" s="35" t="n">
        <v>275000</v>
      </c>
      <c r="M372" s="3" t="inlineStr">
        <is>
          <t>CAD</t>
        </is>
      </c>
      <c r="N372" s="3" t="inlineStr">
        <is>
          <t>ALLOWANCE</t>
        </is>
      </c>
      <c r="O372" s="3" t="inlineStr">
        <is>
          <t>A-002</t>
        </is>
      </c>
      <c r="P372" s="3" t="inlineStr">
        <is>
          <t>LOW</t>
        </is>
      </c>
      <c r="Q372" s="3" t="inlineStr">
        <is>
          <t>~$1100/lm for large diameter tank farm piping</t>
        </is>
      </c>
      <c r="R372" s="3">
        <f>VLOOKUP($F372,Inputs!$D$6:$E$41,2,FALSE)</f>
        <v/>
      </c>
      <c r="S372" s="36">
        <f>VLOOKUP($E372,Inputs!$A$6:$B$13,2,FALSE)*Inputs!$B$2</f>
        <v/>
      </c>
      <c r="T372" s="35">
        <f>$L372*$S372</f>
        <v/>
      </c>
      <c r="U372" s="35">
        <f>$L372+$T372</f>
        <v/>
      </c>
    </row>
    <row r="373">
      <c r="A373" s="3" t="inlineStr">
        <is>
          <t>PKG-14::L024</t>
        </is>
      </c>
      <c r="B373" s="3" t="inlineStr">
        <is>
          <t>PKG-14</t>
        </is>
      </c>
      <c r="C373" s="3" t="n"/>
      <c r="D373" s="3" t="inlineStr">
        <is>
          <t>L024</t>
        </is>
      </c>
      <c r="E373" s="3" t="inlineStr">
        <is>
          <t>CD</t>
        </is>
      </c>
      <c r="F373" s="3" t="inlineStr">
        <is>
          <t>PKG-14</t>
        </is>
      </c>
      <c r="G373" s="3" t="n"/>
      <c r="H373" s="3" t="inlineStr">
        <is>
          <t>Export Line Installation - welding testing support installation (~350 lm)</t>
        </is>
      </c>
      <c r="I373" s="22" t="n">
        <v>1</v>
      </c>
      <c r="J373" s="3" t="inlineStr">
        <is>
          <t>LS</t>
        </is>
      </c>
      <c r="K373" s="39" t="n">
        <v>350000</v>
      </c>
      <c r="L373" s="35" t="n">
        <v>350000</v>
      </c>
      <c r="M373" s="3" t="inlineStr">
        <is>
          <t>CAD</t>
        </is>
      </c>
      <c r="N373" s="3" t="inlineStr">
        <is>
          <t>ALLOWANCE</t>
        </is>
      </c>
      <c r="O373" s="3" t="inlineStr">
        <is>
          <t>A-003</t>
        </is>
      </c>
      <c r="P373" s="3" t="inlineStr">
        <is>
          <t>LOW</t>
        </is>
      </c>
      <c r="Q373" s="3" t="inlineStr">
        <is>
          <t>~$1000/lm for export piping installation</t>
        </is>
      </c>
      <c r="R373" s="3">
        <f>VLOOKUP($F373,Inputs!$D$6:$E$41,2,FALSE)</f>
        <v/>
      </c>
      <c r="S373" s="36">
        <f>VLOOKUP($E373,Inputs!$A$6:$B$13,2,FALSE)*Inputs!$B$2</f>
        <v/>
      </c>
      <c r="T373" s="35">
        <f>$L373*$S373</f>
        <v/>
      </c>
      <c r="U373" s="35">
        <f>$L373+$T373</f>
        <v/>
      </c>
    </row>
    <row r="374">
      <c r="A374" s="3" t="inlineStr">
        <is>
          <t>PKG-14::L025</t>
        </is>
      </c>
      <c r="B374" s="3" t="inlineStr">
        <is>
          <t>PKG-14</t>
        </is>
      </c>
      <c r="C374" s="3" t="n"/>
      <c r="D374" s="3" t="inlineStr">
        <is>
          <t>L025</t>
        </is>
      </c>
      <c r="E374" s="3" t="inlineStr">
        <is>
          <t>CD</t>
        </is>
      </c>
      <c r="F374" s="3" t="inlineStr">
        <is>
          <t>PKG-14</t>
        </is>
      </c>
      <c r="G374" s="3" t="n"/>
      <c r="H374" s="3" t="inlineStr">
        <is>
          <t>Recycle Piping Installation - fabrication welding testing (~150 lm)</t>
        </is>
      </c>
      <c r="I374" s="22" t="n">
        <v>1</v>
      </c>
      <c r="J374" s="3" t="inlineStr">
        <is>
          <t>LS</t>
        </is>
      </c>
      <c r="K374" s="39" t="n">
        <v>120000</v>
      </c>
      <c r="L374" s="35" t="n">
        <v>120000</v>
      </c>
      <c r="M374" s="3" t="inlineStr">
        <is>
          <t>CAD</t>
        </is>
      </c>
      <c r="N374" s="3" t="inlineStr">
        <is>
          <t>ALLOWANCE</t>
        </is>
      </c>
      <c r="O374" s="3" t="inlineStr">
        <is>
          <t>A-004</t>
        </is>
      </c>
      <c r="P374" s="3" t="inlineStr">
        <is>
          <t>LOW</t>
        </is>
      </c>
      <c r="Q374" s="3" t="inlineStr">
        <is>
          <t>~$800/lm for medium diameter piping</t>
        </is>
      </c>
      <c r="R374" s="3">
        <f>VLOOKUP($F374,Inputs!$D$6:$E$41,2,FALSE)</f>
        <v/>
      </c>
      <c r="S374" s="36">
        <f>VLOOKUP($E374,Inputs!$A$6:$B$13,2,FALSE)*Inputs!$B$2</f>
        <v/>
      </c>
      <c r="T374" s="35">
        <f>$L374*$S374</f>
        <v/>
      </c>
      <c r="U374" s="35">
        <f>$L374+$T374</f>
        <v/>
      </c>
    </row>
    <row r="375">
      <c r="A375" s="3" t="inlineStr">
        <is>
          <t>PKG-14::L026</t>
        </is>
      </c>
      <c r="B375" s="3" t="inlineStr">
        <is>
          <t>PKG-14</t>
        </is>
      </c>
      <c r="C375" s="3" t="n"/>
      <c r="D375" s="3" t="inlineStr">
        <is>
          <t>L026</t>
        </is>
      </c>
      <c r="E375" s="3" t="inlineStr">
        <is>
          <t>CD</t>
        </is>
      </c>
      <c r="F375" s="3" t="inlineStr">
        <is>
          <t>PKG-14</t>
        </is>
      </c>
      <c r="G375" s="3" t="n"/>
      <c r="H375" s="3" t="inlineStr">
        <is>
          <t>Nitrogen Distribution Installation - small bore piping threading welding (~400 lm)</t>
        </is>
      </c>
      <c r="I375" s="22" t="n">
        <v>1</v>
      </c>
      <c r="J375" s="3" t="inlineStr">
        <is>
          <t>LS</t>
        </is>
      </c>
      <c r="K375" s="39" t="n">
        <v>160000</v>
      </c>
      <c r="L375" s="35" t="n">
        <v>160000</v>
      </c>
      <c r="M375" s="3" t="inlineStr">
        <is>
          <t>CAD</t>
        </is>
      </c>
      <c r="N375" s="3" t="inlineStr">
        <is>
          <t>ALLOWANCE</t>
        </is>
      </c>
      <c r="O375" s="3" t="inlineStr">
        <is>
          <t>A-005</t>
        </is>
      </c>
      <c r="P375" s="3" t="inlineStr">
        <is>
          <t>LOW</t>
        </is>
      </c>
      <c r="Q375" s="3" t="inlineStr">
        <is>
          <t>~$400/lm for small bore N2 system</t>
        </is>
      </c>
      <c r="R375" s="3">
        <f>VLOOKUP($F375,Inputs!$D$6:$E$41,2,FALSE)</f>
        <v/>
      </c>
      <c r="S375" s="36">
        <f>VLOOKUP($E375,Inputs!$A$6:$B$13,2,FALSE)*Inputs!$B$2</f>
        <v/>
      </c>
      <c r="T375" s="35">
        <f>$L375*$S375</f>
        <v/>
      </c>
      <c r="U375" s="35">
        <f>$L375+$T375</f>
        <v/>
      </c>
    </row>
    <row r="376">
      <c r="A376" s="3" t="inlineStr">
        <is>
          <t>PKG-14::L027</t>
        </is>
      </c>
      <c r="B376" s="3" t="inlineStr">
        <is>
          <t>PKG-14</t>
        </is>
      </c>
      <c r="C376" s="3" t="n"/>
      <c r="D376" s="3" t="inlineStr">
        <is>
          <t>L027</t>
        </is>
      </c>
      <c r="E376" s="3" t="inlineStr">
        <is>
          <t>CD</t>
        </is>
      </c>
      <c r="F376" s="3" t="inlineStr">
        <is>
          <t>PKG-14</t>
        </is>
      </c>
      <c r="G376" s="3" t="n"/>
      <c r="H376" s="3" t="inlineStr">
        <is>
          <t>Small Bore Utility Installation - drains vents samples (~200 lm)</t>
        </is>
      </c>
      <c r="I376" s="22" t="n">
        <v>1</v>
      </c>
      <c r="J376" s="3" t="inlineStr">
        <is>
          <t>LS</t>
        </is>
      </c>
      <c r="K376" s="39" t="n">
        <v>80000</v>
      </c>
      <c r="L376" s="35" t="n">
        <v>80000</v>
      </c>
      <c r="M376" s="3" t="inlineStr">
        <is>
          <t>CAD</t>
        </is>
      </c>
      <c r="N376" s="3" t="inlineStr">
        <is>
          <t>ALLOWANCE</t>
        </is>
      </c>
      <c r="O376" s="3" t="inlineStr">
        <is>
          <t>A-006</t>
        </is>
      </c>
      <c r="P376" s="3" t="inlineStr">
        <is>
          <t>LOW</t>
        </is>
      </c>
      <c r="Q376" s="3" t="inlineStr">
        <is>
          <t>~$400/lm for utility piping</t>
        </is>
      </c>
      <c r="R376" s="3">
        <f>VLOOKUP($F376,Inputs!$D$6:$E$41,2,FALSE)</f>
        <v/>
      </c>
      <c r="S376" s="36">
        <f>VLOOKUP($E376,Inputs!$A$6:$B$13,2,FALSE)*Inputs!$B$2</f>
        <v/>
      </c>
      <c r="T376" s="35">
        <f>$L376*$S376</f>
        <v/>
      </c>
      <c r="U376" s="35">
        <f>$L376+$T376</f>
        <v/>
      </c>
    </row>
    <row r="377">
      <c r="A377" s="3" t="inlineStr">
        <is>
          <t>PKG-14::L028</t>
        </is>
      </c>
      <c r="B377" s="3" t="inlineStr">
        <is>
          <t>PKG-14</t>
        </is>
      </c>
      <c r="C377" s="3" t="n"/>
      <c r="D377" s="3" t="inlineStr">
        <is>
          <t>L028</t>
        </is>
      </c>
      <c r="E377" s="3" t="inlineStr">
        <is>
          <t>CD</t>
        </is>
      </c>
      <c r="F377" s="3" t="inlineStr">
        <is>
          <t>PKG-14</t>
        </is>
      </c>
      <c r="G377" s="3" t="n"/>
      <c r="H377" s="3" t="inlineStr">
        <is>
          <t>Pipe Support Installation - fabrication erection alignment (~300 units)</t>
        </is>
      </c>
      <c r="I377" s="22" t="n">
        <v>1</v>
      </c>
      <c r="J377" s="3" t="inlineStr">
        <is>
          <t>LS</t>
        </is>
      </c>
      <c r="K377" s="39" t="n">
        <v>180000</v>
      </c>
      <c r="L377" s="35" t="n">
        <v>180000</v>
      </c>
      <c r="M377" s="3" t="inlineStr">
        <is>
          <t>CAD</t>
        </is>
      </c>
      <c r="N377" s="3" t="inlineStr">
        <is>
          <t>ALLOWANCE</t>
        </is>
      </c>
      <c r="O377" s="3" t="inlineStr">
        <is>
          <t>A-007</t>
        </is>
      </c>
      <c r="P377" s="3" t="inlineStr">
        <is>
          <t>LOW</t>
        </is>
      </c>
      <c r="Q377" s="3" t="inlineStr">
        <is>
          <t>~$600/unit for support installation</t>
        </is>
      </c>
      <c r="R377" s="3">
        <f>VLOOKUP($F377,Inputs!$D$6:$E$41,2,FALSE)</f>
        <v/>
      </c>
      <c r="S377" s="36">
        <f>VLOOKUP($E377,Inputs!$A$6:$B$13,2,FALSE)*Inputs!$B$2</f>
        <v/>
      </c>
      <c r="T377" s="35">
        <f>$L377*$S377</f>
        <v/>
      </c>
      <c r="U377" s="35">
        <f>$L377+$T377</f>
        <v/>
      </c>
    </row>
    <row r="378">
      <c r="A378" s="3" t="inlineStr">
        <is>
          <t>PKG-14::L029</t>
        </is>
      </c>
      <c r="B378" s="3" t="inlineStr">
        <is>
          <t>PKG-14</t>
        </is>
      </c>
      <c r="C378" s="3" t="n"/>
      <c r="D378" s="3" t="inlineStr">
        <is>
          <t>L029</t>
        </is>
      </c>
      <c r="E378" s="3" t="inlineStr">
        <is>
          <t>CD</t>
        </is>
      </c>
      <c r="F378" s="3" t="inlineStr">
        <is>
          <t>PKG-14</t>
        </is>
      </c>
      <c r="G378" s="3" t="n"/>
      <c r="H378" s="3" t="inlineStr">
        <is>
          <t>Insulation and Heat Trace Installation - jacketing tracing testing</t>
        </is>
      </c>
      <c r="I378" s="22" t="n">
        <v>1</v>
      </c>
      <c r="J378" s="3" t="inlineStr">
        <is>
          <t>LS</t>
        </is>
      </c>
      <c r="K378" s="39" t="n">
        <v>185000</v>
      </c>
      <c r="L378" s="35" t="n">
        <v>185000</v>
      </c>
      <c r="M378" s="3" t="inlineStr">
        <is>
          <t>CAD</t>
        </is>
      </c>
      <c r="N378" s="3" t="inlineStr">
        <is>
          <t>ALLOWANCE</t>
        </is>
      </c>
      <c r="O378" s="3" t="inlineStr">
        <is>
          <t>A-008</t>
        </is>
      </c>
      <c r="P378" s="3" t="inlineStr">
        <is>
          <t>LOW</t>
        </is>
      </c>
      <c r="Q378" s="3" t="inlineStr">
        <is>
          <t>~$150/lm for insulation + heat trace install on ~1200 lm</t>
        </is>
      </c>
      <c r="R378" s="3">
        <f>VLOOKUP($F378,Inputs!$D$6:$E$41,2,FALSE)</f>
        <v/>
      </c>
      <c r="S378" s="36">
        <f>VLOOKUP($E378,Inputs!$A$6:$B$13,2,FALSE)*Inputs!$B$2</f>
        <v/>
      </c>
      <c r="T378" s="35">
        <f>$L378*$S378</f>
        <v/>
      </c>
      <c r="U378" s="35">
        <f>$L378+$T378</f>
        <v/>
      </c>
    </row>
    <row r="379">
      <c r="A379" s="3" t="inlineStr">
        <is>
          <t>PKG-14::L030</t>
        </is>
      </c>
      <c r="B379" s="3" t="inlineStr">
        <is>
          <t>PKG-14</t>
        </is>
      </c>
      <c r="C379" s="3" t="n"/>
      <c r="D379" s="3" t="inlineStr">
        <is>
          <t>L030</t>
        </is>
      </c>
      <c r="E379" s="3" t="inlineStr">
        <is>
          <t>CD</t>
        </is>
      </c>
      <c r="F379" s="3" t="inlineStr">
        <is>
          <t>PKG-14</t>
        </is>
      </c>
      <c r="G379" s="3" t="n"/>
      <c r="H379" s="3" t="inlineStr">
        <is>
          <t>Hydrostatic Testing - all process piping systems test and flush</t>
        </is>
      </c>
      <c r="I379" s="22" t="n">
        <v>1</v>
      </c>
      <c r="J379" s="3" t="inlineStr">
        <is>
          <t>LS</t>
        </is>
      </c>
      <c r="K379" s="39" t="n">
        <v>95000</v>
      </c>
      <c r="L379" s="35" t="n">
        <v>95000</v>
      </c>
      <c r="M379" s="3" t="inlineStr">
        <is>
          <t>CAD</t>
        </is>
      </c>
      <c r="N379" s="3" t="inlineStr">
        <is>
          <t>ALLOWANCE</t>
        </is>
      </c>
      <c r="O379" s="3" t="inlineStr">
        <is>
          <t>A-019</t>
        </is>
      </c>
      <c r="P379" s="3" t="inlineStr">
        <is>
          <t>LOW</t>
        </is>
      </c>
      <c r="Q379" s="3" t="inlineStr">
        <is>
          <t>Multi-system hydro testing; ~10-15 test packages</t>
        </is>
      </c>
      <c r="R379" s="3">
        <f>VLOOKUP($F379,Inputs!$D$6:$E$41,2,FALSE)</f>
        <v/>
      </c>
      <c r="S379" s="36">
        <f>VLOOKUP($E379,Inputs!$A$6:$B$13,2,FALSE)*Inputs!$B$2</f>
        <v/>
      </c>
      <c r="T379" s="35">
        <f>$L379*$S379</f>
        <v/>
      </c>
      <c r="U379" s="35">
        <f>$L379+$T379</f>
        <v/>
      </c>
    </row>
    <row r="380">
      <c r="A380" s="3" t="inlineStr">
        <is>
          <t>PKG-14::L031</t>
        </is>
      </c>
      <c r="B380" s="3" t="inlineStr">
        <is>
          <t>PKG-14</t>
        </is>
      </c>
      <c r="C380" s="3" t="n"/>
      <c r="D380" s="3" t="inlineStr">
        <is>
          <t>L031</t>
        </is>
      </c>
      <c r="E380" s="3" t="inlineStr">
        <is>
          <t>CD</t>
        </is>
      </c>
      <c r="F380" s="3" t="inlineStr">
        <is>
          <t>PKG-14</t>
        </is>
      </c>
      <c r="G380" s="3" t="n"/>
      <c r="H380" s="3" t="inlineStr">
        <is>
          <t>NDE and Weld Inspection - radiography UT visual per spec</t>
        </is>
      </c>
      <c r="I380" s="22" t="n">
        <v>1</v>
      </c>
      <c r="J380" s="3" t="inlineStr">
        <is>
          <t>LS</t>
        </is>
      </c>
      <c r="K380" s="39" t="n">
        <v>125000</v>
      </c>
      <c r="L380" s="35" t="n">
        <v>125000</v>
      </c>
      <c r="M380" s="3" t="inlineStr">
        <is>
          <t>CAD</t>
        </is>
      </c>
      <c r="N380" s="3" t="inlineStr">
        <is>
          <t>ALLOWANCE</t>
        </is>
      </c>
      <c r="O380" s="3" t="inlineStr">
        <is>
          <t>A-020</t>
        </is>
      </c>
      <c r="P380" s="3" t="inlineStr">
        <is>
          <t>LOW</t>
        </is>
      </c>
      <c r="Q380" s="3" t="inlineStr">
        <is>
          <t>~$250/weld average for 500+ welds</t>
        </is>
      </c>
      <c r="R380" s="3">
        <f>VLOOKUP($F380,Inputs!$D$6:$E$41,2,FALSE)</f>
        <v/>
      </c>
      <c r="S380" s="36">
        <f>VLOOKUP($E380,Inputs!$A$6:$B$13,2,FALSE)*Inputs!$B$2</f>
        <v/>
      </c>
      <c r="T380" s="35">
        <f>$L380*$S380</f>
        <v/>
      </c>
      <c r="U380" s="35">
        <f>$L380+$T380</f>
        <v/>
      </c>
    </row>
    <row r="381">
      <c r="A381" s="3" t="inlineStr">
        <is>
          <t>PKG-14::L032</t>
        </is>
      </c>
      <c r="B381" s="3" t="inlineStr">
        <is>
          <t>PKG-14</t>
        </is>
      </c>
      <c r="C381" s="3" t="n"/>
      <c r="D381" s="3" t="inlineStr">
        <is>
          <t>L032</t>
        </is>
      </c>
      <c r="E381" s="3" t="inlineStr">
        <is>
          <t>CD</t>
        </is>
      </c>
      <c r="F381" s="3" t="inlineStr">
        <is>
          <t>PKG-14</t>
        </is>
      </c>
      <c r="G381" s="3" t="n"/>
      <c r="H381" s="3" t="inlineStr">
        <is>
          <t>Piping Specialty Work - tie-ins to existing hot taps valve installation</t>
        </is>
      </c>
      <c r="I381" s="22" t="n">
        <v>1</v>
      </c>
      <c r="J381" s="3" t="inlineStr">
        <is>
          <t>LS</t>
        </is>
      </c>
      <c r="K381" s="39" t="n">
        <v>45000</v>
      </c>
      <c r="L381" s="35" t="n">
        <v>45000</v>
      </c>
      <c r="M381" s="3" t="inlineStr">
        <is>
          <t>CAD</t>
        </is>
      </c>
      <c r="N381" s="3" t="inlineStr">
        <is>
          <t>ALLOWANCE</t>
        </is>
      </c>
      <c r="O381" s="3" t="inlineStr">
        <is>
          <t>A-021</t>
        </is>
      </c>
      <c r="P381" s="3" t="inlineStr">
        <is>
          <t>LOW</t>
        </is>
      </c>
      <c r="Q381" s="3" t="inlineStr">
        <is>
          <t>Allowance for specialty piping connections</t>
        </is>
      </c>
      <c r="R381" s="3">
        <f>VLOOKUP($F381,Inputs!$D$6:$E$41,2,FALSE)</f>
        <v/>
      </c>
      <c r="S381" s="36">
        <f>VLOOKUP($E381,Inputs!$A$6:$B$13,2,FALSE)*Inputs!$B$2</f>
        <v/>
      </c>
      <c r="T381" s="35">
        <f>$L381*$S381</f>
        <v/>
      </c>
      <c r="U381" s="35">
        <f>$L381+$T381</f>
        <v/>
      </c>
    </row>
    <row r="382">
      <c r="A382" s="3" t="inlineStr">
        <is>
          <t>PKG-14::L033</t>
        </is>
      </c>
      <c r="B382" s="3" t="inlineStr">
        <is>
          <t>PKG-14</t>
        </is>
      </c>
      <c r="C382" s="3" t="n"/>
      <c r="D382" s="3" t="inlineStr">
        <is>
          <t>L033</t>
        </is>
      </c>
      <c r="E382" s="3" t="inlineStr">
        <is>
          <t>CI</t>
        </is>
      </c>
      <c r="F382" s="3" t="inlineStr">
        <is>
          <t>PKG-14</t>
        </is>
      </c>
      <c r="G382" s="3" t="n"/>
      <c r="H382" s="3" t="inlineStr">
        <is>
          <t>Construction Indirects - field supervision site overhead QA/QC piping coordinator (factor-based)</t>
        </is>
      </c>
      <c r="I382" s="22" t="n">
        <v>1</v>
      </c>
      <c r="J382" s="3" t="inlineStr">
        <is>
          <t>LS</t>
        </is>
      </c>
      <c r="K382" s="39" t="n">
        <v>359000</v>
      </c>
      <c r="L382" s="35" t="n">
        <v>359000</v>
      </c>
      <c r="M382" s="3" t="inlineStr">
        <is>
          <t>CAD</t>
        </is>
      </c>
      <c r="N382" s="3" t="inlineStr">
        <is>
          <t>PARAMETRIC</t>
        </is>
      </c>
      <c r="O382" s="3" t="inlineStr">
        <is>
          <t>D-010</t>
        </is>
      </c>
      <c r="P382" s="3" t="inlineStr">
        <is>
          <t>LOW</t>
        </is>
      </c>
      <c r="Q382" s="3" t="inlineStr">
        <is>
          <t>18% of CD base ($1.975M × 0.18)</t>
        </is>
      </c>
      <c r="R382" s="3">
        <f>VLOOKUP($F382,Inputs!$D$6:$E$41,2,FALSE)</f>
        <v/>
      </c>
      <c r="S382" s="36">
        <f>VLOOKUP($E382,Inputs!$A$6:$B$13,2,FALSE)*Inputs!$B$2</f>
        <v/>
      </c>
      <c r="T382" s="35">
        <f>$L382*$S382</f>
        <v/>
      </c>
      <c r="U382" s="35">
        <f>$L382+$T382</f>
        <v/>
      </c>
    </row>
    <row r="383">
      <c r="A383" s="3" t="inlineStr">
        <is>
          <t>PKG-14::L034</t>
        </is>
      </c>
      <c r="B383" s="3" t="inlineStr">
        <is>
          <t>PKG-14</t>
        </is>
      </c>
      <c r="C383" s="3" t="n"/>
      <c r="D383" s="3" t="inlineStr">
        <is>
          <t>L034</t>
        </is>
      </c>
      <c r="E383" s="3" t="inlineStr">
        <is>
          <t>PM</t>
        </is>
      </c>
      <c r="F383" s="3" t="inlineStr">
        <is>
          <t>PKG-14</t>
        </is>
      </c>
      <c r="G383" s="3" t="n"/>
      <c r="H383" s="3" t="inlineStr">
        <is>
          <t>EPCM / Project Management - PKG-14 allocation (factor-based)</t>
        </is>
      </c>
      <c r="I383" s="22" t="n">
        <v>1</v>
      </c>
      <c r="J383" s="3" t="inlineStr">
        <is>
          <t>LS</t>
        </is>
      </c>
      <c r="K383" s="39" t="n">
        <v>298000</v>
      </c>
      <c r="L383" s="35" t="n">
        <v>298000</v>
      </c>
      <c r="M383" s="3" t="inlineStr">
        <is>
          <t>CAD</t>
        </is>
      </c>
      <c r="N383" s="3" t="inlineStr">
        <is>
          <t>PARAMETRIC</t>
        </is>
      </c>
      <c r="O383" s="3" t="inlineStr">
        <is>
          <t>D-010</t>
        </is>
      </c>
      <c r="P383" s="3" t="inlineStr">
        <is>
          <t>MED</t>
        </is>
      </c>
      <c r="Q383" s="3" t="inlineStr">
        <is>
          <t>6% of (CD+CI+MAT) base</t>
        </is>
      </c>
      <c r="R383" s="3">
        <f>VLOOKUP($F383,Inputs!$D$6:$E$41,2,FALSE)</f>
        <v/>
      </c>
      <c r="S383" s="36">
        <f>VLOOKUP($E383,Inputs!$A$6:$B$13,2,FALSE)*Inputs!$B$2</f>
        <v/>
      </c>
      <c r="T383" s="35">
        <f>$L383*$S383</f>
        <v/>
      </c>
      <c r="U383" s="35">
        <f>$L383+$T383</f>
        <v/>
      </c>
    </row>
    <row r="384">
      <c r="A384" s="3" t="inlineStr">
        <is>
          <t>PKG-14::L035</t>
        </is>
      </c>
      <c r="B384" s="3" t="inlineStr">
        <is>
          <t>PKG-14</t>
        </is>
      </c>
      <c r="C384" s="3" t="n"/>
      <c r="D384" s="3" t="inlineStr">
        <is>
          <t>L035</t>
        </is>
      </c>
      <c r="E384" s="3" t="inlineStr">
        <is>
          <t>P</t>
        </is>
      </c>
      <c r="F384" s="3" t="inlineStr">
        <is>
          <t>PKG-14</t>
        </is>
      </c>
      <c r="G384" s="3" t="n"/>
      <c r="H384" s="3" t="inlineStr">
        <is>
          <t>Procurement Services - vendor coordination expediting inspection (factor-based)</t>
        </is>
      </c>
      <c r="I384" s="22" t="n">
        <v>1</v>
      </c>
      <c r="J384" s="3" t="inlineStr">
        <is>
          <t>LS</t>
        </is>
      </c>
      <c r="K384" s="39" t="n">
        <v>42000</v>
      </c>
      <c r="L384" s="35" t="n">
        <v>42000</v>
      </c>
      <c r="M384" s="3" t="inlineStr">
        <is>
          <t>CAD</t>
        </is>
      </c>
      <c r="N384" s="3" t="inlineStr">
        <is>
          <t>PARAMETRIC</t>
        </is>
      </c>
      <c r="O384" s="3" t="inlineStr">
        <is>
          <t>D-010</t>
        </is>
      </c>
      <c r="P384" s="3" t="inlineStr">
        <is>
          <t>MED</t>
        </is>
      </c>
      <c r="Q384" s="3" t="inlineStr">
        <is>
          <t>2% of MAT ($2.125M × 0.02)</t>
        </is>
      </c>
      <c r="R384" s="3">
        <f>VLOOKUP($F384,Inputs!$D$6:$E$41,2,FALSE)</f>
        <v/>
      </c>
      <c r="S384" s="36">
        <f>VLOOKUP($E384,Inputs!$A$6:$B$13,2,FALSE)*Inputs!$B$2</f>
        <v/>
      </c>
      <c r="T384" s="35">
        <f>$L384*$S384</f>
        <v/>
      </c>
      <c r="U384" s="35">
        <f>$L384+$T384</f>
        <v/>
      </c>
    </row>
    <row r="385">
      <c r="A385" s="3" t="inlineStr">
        <is>
          <t>PKG-14::L036</t>
        </is>
      </c>
      <c r="B385" s="3" t="inlineStr">
        <is>
          <t>PKG-14</t>
        </is>
      </c>
      <c r="C385" s="3" t="n"/>
      <c r="D385" s="3" t="inlineStr">
        <is>
          <t>L036</t>
        </is>
      </c>
      <c r="E385" s="3" t="inlineStr">
        <is>
          <t>COM</t>
        </is>
      </c>
      <c r="F385" s="3" t="inlineStr">
        <is>
          <t>PKG-14</t>
        </is>
      </c>
      <c r="G385" s="3" t="n"/>
      <c r="H385" s="3" t="inlineStr">
        <is>
          <t>Commissioning - piping flushing cleaning drying system turnover</t>
        </is>
      </c>
      <c r="I385" s="22" t="n">
        <v>1</v>
      </c>
      <c r="J385" s="3" t="inlineStr">
        <is>
          <t>LS</t>
        </is>
      </c>
      <c r="K385" s="39" t="n">
        <v>136000</v>
      </c>
      <c r="L385" s="35" t="n">
        <v>136000</v>
      </c>
      <c r="M385" s="3" t="inlineStr">
        <is>
          <t>CAD</t>
        </is>
      </c>
      <c r="N385" s="3" t="inlineStr">
        <is>
          <t>PARAMETRIC</t>
        </is>
      </c>
      <c r="O385" s="3" t="inlineStr">
        <is>
          <t>D-010</t>
        </is>
      </c>
      <c r="P385" s="3" t="inlineStr">
        <is>
          <t>LOW</t>
        </is>
      </c>
      <c r="Q385" s="3" t="inlineStr">
        <is>
          <t>3% of (CD+CI+MAT) base for piping commissioning</t>
        </is>
      </c>
      <c r="R385" s="3">
        <f>VLOOKUP($F385,Inputs!$D$6:$E$41,2,FALSE)</f>
        <v/>
      </c>
      <c r="S385" s="36">
        <f>VLOOKUP($E385,Inputs!$A$6:$B$13,2,FALSE)*Inputs!$B$2</f>
        <v/>
      </c>
      <c r="T385" s="35">
        <f>$L385*$S385</f>
        <v/>
      </c>
      <c r="U385" s="35">
        <f>$L385+$T385</f>
        <v/>
      </c>
    </row>
    <row r="386">
      <c r="A386" s="3" t="inlineStr">
        <is>
          <t>PKG-15::L-001</t>
        </is>
      </c>
      <c r="B386" s="3" t="inlineStr">
        <is>
          <t>PKG-15</t>
        </is>
      </c>
      <c r="C386" s="3" t="inlineStr">
        <is>
          <t>DEL-15.01</t>
        </is>
      </c>
      <c r="D386" s="3" t="inlineStr">
        <is>
          <t>L-001</t>
        </is>
      </c>
      <c r="E386" s="3" t="inlineStr">
        <is>
          <t>E</t>
        </is>
      </c>
      <c r="F386" s="3" t="inlineStr">
        <is>
          <t>PKG-15</t>
        </is>
      </c>
      <c r="G386" s="3" t="inlineStr">
        <is>
          <t>DEL-15.01</t>
        </is>
      </c>
      <c r="H386" s="3" t="inlineStr">
        <is>
          <t>Pump arrangement drawings and installation design</t>
        </is>
      </c>
      <c r="I386" s="22" t="n">
        <v>192</v>
      </c>
      <c r="J386" s="3" t="inlineStr">
        <is>
          <t>hr</t>
        </is>
      </c>
      <c r="K386" s="39" t="n">
        <v>208</v>
      </c>
      <c r="L386" s="35" t="n">
        <v>39936</v>
      </c>
      <c r="M386" s="3" t="inlineStr">
        <is>
          <t>CAD</t>
        </is>
      </c>
      <c r="N386" s="3" t="inlineStr">
        <is>
          <t>PARAMETRIC</t>
        </is>
      </c>
      <c r="O386" s="3" t="inlineStr">
        <is>
          <t>A-010 (Engineering hours distribution)</t>
        </is>
      </c>
      <c r="P386" s="3" t="inlineStr">
        <is>
          <t>MEDIUM</t>
        </is>
      </c>
      <c r="Q386" s="3" t="inlineStr">
        <is>
          <t>40% of total engineering effort; includes pump layout GA drawings foundation interface piping interface</t>
        </is>
      </c>
      <c r="R386" s="3">
        <f>VLOOKUP($F386,Inputs!$D$6:$E$41,2,FALSE)</f>
        <v/>
      </c>
      <c r="S386" s="36">
        <f>VLOOKUP($E386,Inputs!$A$6:$B$13,2,FALSE)*Inputs!$B$2</f>
        <v/>
      </c>
      <c r="T386" s="35">
        <f>$L386*$S386</f>
        <v/>
      </c>
      <c r="U386" s="35">
        <f>$L386+$T386</f>
        <v/>
      </c>
    </row>
    <row r="387">
      <c r="A387" s="3" t="inlineStr">
        <is>
          <t>PKG-15::L-002</t>
        </is>
      </c>
      <c r="B387" s="3" t="inlineStr">
        <is>
          <t>PKG-15</t>
        </is>
      </c>
      <c r="C387" s="3" t="inlineStr">
        <is>
          <t>DEL-15.02</t>
        </is>
      </c>
      <c r="D387" s="3" t="inlineStr">
        <is>
          <t>L-002</t>
        </is>
      </c>
      <c r="E387" s="3" t="inlineStr">
        <is>
          <t>E</t>
        </is>
      </c>
      <c r="F387" s="3" t="inlineStr">
        <is>
          <t>PKG-15</t>
        </is>
      </c>
      <c r="G387" s="3" t="inlineStr">
        <is>
          <t>DEL-15.02</t>
        </is>
      </c>
      <c r="H387" s="3" t="inlineStr">
        <is>
          <t>Pump technical specifications development</t>
        </is>
      </c>
      <c r="I387" s="22" t="n">
        <v>120</v>
      </c>
      <c r="J387" s="3" t="inlineStr">
        <is>
          <t>hr</t>
        </is>
      </c>
      <c r="K387" s="39" t="n">
        <v>208</v>
      </c>
      <c r="L387" s="35" t="n">
        <v>24960</v>
      </c>
      <c r="M387" s="3" t="inlineStr">
        <is>
          <t>CAD</t>
        </is>
      </c>
      <c r="N387" s="3" t="inlineStr">
        <is>
          <t>PARAMETRIC</t>
        </is>
      </c>
      <c r="O387" s="3" t="inlineStr">
        <is>
          <t>A-010 (Engineering hours distribution)</t>
        </is>
      </c>
      <c r="P387" s="3" t="inlineStr">
        <is>
          <t>MEDIUM</t>
        </is>
      </c>
      <c r="Q387" s="3" t="inlineStr">
        <is>
          <t>25% of total engineering effort; railcar marine sump transfer pump specs per API 610</t>
        </is>
      </c>
      <c r="R387" s="3">
        <f>VLOOKUP($F387,Inputs!$D$6:$E$41,2,FALSE)</f>
        <v/>
      </c>
      <c r="S387" s="36">
        <f>VLOOKUP($E387,Inputs!$A$6:$B$13,2,FALSE)*Inputs!$B$2</f>
        <v/>
      </c>
      <c r="T387" s="35">
        <f>$L387*$S387</f>
        <v/>
      </c>
      <c r="U387" s="35">
        <f>$L387+$T387</f>
        <v/>
      </c>
    </row>
    <row r="388">
      <c r="A388" s="3" t="inlineStr">
        <is>
          <t>PKG-15::L-003</t>
        </is>
      </c>
      <c r="B388" s="3" t="inlineStr">
        <is>
          <t>PKG-15</t>
        </is>
      </c>
      <c r="C388" s="3" t="inlineStr">
        <is>
          <t>DEL-15.03</t>
        </is>
      </c>
      <c r="D388" s="3" t="inlineStr">
        <is>
          <t>L-003</t>
        </is>
      </c>
      <c r="E388" s="3" t="inlineStr">
        <is>
          <t>E</t>
        </is>
      </c>
      <c r="F388" s="3" t="inlineStr">
        <is>
          <t>PKG-15</t>
        </is>
      </c>
      <c r="G388" s="3" t="inlineStr">
        <is>
          <t>DEL-15.03</t>
        </is>
      </c>
      <c r="H388" s="3" t="inlineStr">
        <is>
          <t>Pump sizing calculations NPSH analysis system curves</t>
        </is>
      </c>
      <c r="I388" s="22" t="n">
        <v>96</v>
      </c>
      <c r="J388" s="3" t="inlineStr">
        <is>
          <t>hr</t>
        </is>
      </c>
      <c r="K388" s="39" t="n">
        <v>208</v>
      </c>
      <c r="L388" s="35" t="n">
        <v>19968</v>
      </c>
      <c r="M388" s="3" t="inlineStr">
        <is>
          <t>CAD</t>
        </is>
      </c>
      <c r="N388" s="3" t="inlineStr">
        <is>
          <t>PARAMETRIC</t>
        </is>
      </c>
      <c r="O388" s="3" t="inlineStr">
        <is>
          <t>A-010 (Engineering hours distribution)</t>
        </is>
      </c>
      <c r="P388" s="3" t="inlineStr">
        <is>
          <t>MEDIUM</t>
        </is>
      </c>
      <c r="Q388" s="3" t="inlineStr">
        <is>
          <t>20% of total engineering effort; hydraulic calculations for all pump services</t>
        </is>
      </c>
      <c r="R388" s="3">
        <f>VLOOKUP($F388,Inputs!$D$6:$E$41,2,FALSE)</f>
        <v/>
      </c>
      <c r="S388" s="36">
        <f>VLOOKUP($E388,Inputs!$A$6:$B$13,2,FALSE)*Inputs!$B$2</f>
        <v/>
      </c>
      <c r="T388" s="35">
        <f>$L388*$S388</f>
        <v/>
      </c>
      <c r="U388" s="35">
        <f>$L388+$T388</f>
        <v/>
      </c>
    </row>
    <row r="389">
      <c r="A389" s="3" t="inlineStr">
        <is>
          <t>PKG-15::L-004</t>
        </is>
      </c>
      <c r="B389" s="3" t="inlineStr">
        <is>
          <t>PKG-15</t>
        </is>
      </c>
      <c r="C389" s="3" t="inlineStr">
        <is>
          <t>DEL-15.04</t>
        </is>
      </c>
      <c r="D389" s="3" t="inlineStr">
        <is>
          <t>L-004</t>
        </is>
      </c>
      <c r="E389" s="3" t="inlineStr">
        <is>
          <t>E</t>
        </is>
      </c>
      <c r="F389" s="3" t="inlineStr">
        <is>
          <t>PKG-15</t>
        </is>
      </c>
      <c r="G389" s="3" t="inlineStr">
        <is>
          <t>DEL-15.04</t>
        </is>
      </c>
      <c r="H389" s="3" t="inlineStr">
        <is>
          <t>Vendor data review and approval (data sheets)</t>
        </is>
      </c>
      <c r="I389" s="22" t="n">
        <v>48</v>
      </c>
      <c r="J389" s="3" t="inlineStr">
        <is>
          <t>hr</t>
        </is>
      </c>
      <c r="K389" s="39" t="n">
        <v>208</v>
      </c>
      <c r="L389" s="35" t="n">
        <v>9984</v>
      </c>
      <c r="M389" s="3" t="inlineStr">
        <is>
          <t>CAD</t>
        </is>
      </c>
      <c r="N389" s="3" t="inlineStr">
        <is>
          <t>PARAMETRIC</t>
        </is>
      </c>
      <c r="O389" s="3" t="inlineStr">
        <is>
          <t>A-010 (Engineering hours distribution)</t>
        </is>
      </c>
      <c r="P389" s="3" t="inlineStr">
        <is>
          <t>MEDIUM</t>
        </is>
      </c>
      <c r="Q389" s="3" t="inlineStr">
        <is>
          <t>10% of total engineering effort; review performance curves outline drawings foundation loads</t>
        </is>
      </c>
      <c r="R389" s="3">
        <f>VLOOKUP($F389,Inputs!$D$6:$E$41,2,FALSE)</f>
        <v/>
      </c>
      <c r="S389" s="36">
        <f>VLOOKUP($E389,Inputs!$A$6:$B$13,2,FALSE)*Inputs!$B$2</f>
        <v/>
      </c>
      <c r="T389" s="35">
        <f>$L389*$S389</f>
        <v/>
      </c>
      <c r="U389" s="35">
        <f>$L389+$T389</f>
        <v/>
      </c>
    </row>
    <row r="390">
      <c r="A390" s="3" t="inlineStr">
        <is>
          <t>PKG-15::L-005</t>
        </is>
      </c>
      <c r="B390" s="3" t="inlineStr">
        <is>
          <t>PKG-15</t>
        </is>
      </c>
      <c r="C390" s="3" t="inlineStr">
        <is>
          <t>DEL-15.05</t>
        </is>
      </c>
      <c r="D390" s="3" t="inlineStr">
        <is>
          <t>L-005</t>
        </is>
      </c>
      <c r="E390" s="3" t="inlineStr">
        <is>
          <t>E</t>
        </is>
      </c>
      <c r="F390" s="3" t="inlineStr">
        <is>
          <t>PKG-15</t>
        </is>
      </c>
      <c r="G390" s="3" t="inlineStr">
        <is>
          <t>DEL-15.05</t>
        </is>
      </c>
      <c r="H390" s="3" t="inlineStr">
        <is>
          <t>Commissioning documentation and test record review</t>
        </is>
      </c>
      <c r="I390" s="22" t="n">
        <v>24</v>
      </c>
      <c r="J390" s="3" t="inlineStr">
        <is>
          <t>hr</t>
        </is>
      </c>
      <c r="K390" s="39" t="n">
        <v>208</v>
      </c>
      <c r="L390" s="35" t="n">
        <v>4992</v>
      </c>
      <c r="M390" s="3" t="inlineStr">
        <is>
          <t>CAD</t>
        </is>
      </c>
      <c r="N390" s="3" t="inlineStr">
        <is>
          <t>PARAMETRIC</t>
        </is>
      </c>
      <c r="O390" s="3" t="inlineStr">
        <is>
          <t>A-010 (Engineering hours distribution)</t>
        </is>
      </c>
      <c r="P390" s="3" t="inlineStr">
        <is>
          <t>MEDIUM</t>
        </is>
      </c>
      <c r="Q390" s="3" t="inlineStr">
        <is>
          <t>5% of total engineering effort; FAT witness test procedures acceptance criteria</t>
        </is>
      </c>
      <c r="R390" s="3">
        <f>VLOOKUP($F390,Inputs!$D$6:$E$41,2,FALSE)</f>
        <v/>
      </c>
      <c r="S390" s="36">
        <f>VLOOKUP($E390,Inputs!$A$6:$B$13,2,FALSE)*Inputs!$B$2</f>
        <v/>
      </c>
      <c r="T390" s="35">
        <f>$L390*$S390</f>
        <v/>
      </c>
      <c r="U390" s="35">
        <f>$L390+$T390</f>
        <v/>
      </c>
    </row>
    <row r="391">
      <c r="A391" s="3" t="inlineStr">
        <is>
          <t>PKG-15::L-006</t>
        </is>
      </c>
      <c r="B391" s="3" t="inlineStr">
        <is>
          <t>PKG-15</t>
        </is>
      </c>
      <c r="C391" s="3" t="n"/>
      <c r="D391" s="3" t="inlineStr">
        <is>
          <t>L-006</t>
        </is>
      </c>
      <c r="E391" s="3" t="inlineStr">
        <is>
          <t>MAT</t>
        </is>
      </c>
      <c r="F391" s="3" t="inlineStr">
        <is>
          <t>PKG-15</t>
        </is>
      </c>
      <c r="G391" s="3" t="n"/>
      <c r="H391" s="3" t="inlineStr">
        <is>
          <t>Marine loading pump 400 m3/hr 50kW API 610 (2 units)</t>
        </is>
      </c>
      <c r="I391" s="22" t="n">
        <v>2</v>
      </c>
      <c r="J391" s="3" t="inlineStr">
        <is>
          <t>ea</t>
        </is>
      </c>
      <c r="K391" s="39" t="n">
        <v>125000</v>
      </c>
      <c r="L391" s="35" t="n">
        <v>250000</v>
      </c>
      <c r="M391" s="3" t="inlineStr">
        <is>
          <t>CAD</t>
        </is>
      </c>
      <c r="N391" s="3" t="inlineStr">
        <is>
          <t>ALLOWANCE</t>
        </is>
      </c>
      <c r="O391" s="3" t="inlineStr">
        <is>
          <t>A-001 A-002 (Parametric pump quantities and costs)</t>
        </is>
      </c>
      <c r="P391" s="3" t="inlineStr">
        <is>
          <t>LOW</t>
        </is>
      </c>
      <c r="Q391" s="3" t="inlineStr">
        <is>
          <t>Duty/standby configuration; API 610 OH2 or BB2 type; 316SS wetted parts food-grade service</t>
        </is>
      </c>
      <c r="R391" s="3">
        <f>VLOOKUP($F391,Inputs!$D$6:$E$41,2,FALSE)</f>
        <v/>
      </c>
      <c r="S391" s="36">
        <f>VLOOKUP($E391,Inputs!$A$6:$B$13,2,FALSE)*Inputs!$B$2</f>
        <v/>
      </c>
      <c r="T391" s="35">
        <f>$L391*$S391</f>
        <v/>
      </c>
      <c r="U391" s="35">
        <f>$L391+$T391</f>
        <v/>
      </c>
    </row>
    <row r="392">
      <c r="A392" s="3" t="inlineStr">
        <is>
          <t>PKG-15::L-007</t>
        </is>
      </c>
      <c r="B392" s="3" t="inlineStr">
        <is>
          <t>PKG-15</t>
        </is>
      </c>
      <c r="C392" s="3" t="n"/>
      <c r="D392" s="3" t="inlineStr">
        <is>
          <t>L-007</t>
        </is>
      </c>
      <c r="E392" s="3" t="inlineStr">
        <is>
          <t>MAT</t>
        </is>
      </c>
      <c r="F392" s="3" t="inlineStr">
        <is>
          <t>PKG-15</t>
        </is>
      </c>
      <c r="G392" s="3" t="n"/>
      <c r="H392" s="3" t="inlineStr">
        <is>
          <t>Railcar unloading transfer pump 200 m3/hr 30kW API 610 (4 units)</t>
        </is>
      </c>
      <c r="I392" s="22" t="n">
        <v>4</v>
      </c>
      <c r="J392" s="3" t="inlineStr">
        <is>
          <t>ea</t>
        </is>
      </c>
      <c r="K392" s="39" t="n">
        <v>75000</v>
      </c>
      <c r="L392" s="35" t="n">
        <v>300000</v>
      </c>
      <c r="M392" s="3" t="inlineStr">
        <is>
          <t>CAD</t>
        </is>
      </c>
      <c r="N392" s="3" t="inlineStr">
        <is>
          <t>ALLOWANCE</t>
        </is>
      </c>
      <c r="O392" s="3" t="inlineStr">
        <is>
          <t>A-001 A-002 (Parametric pump quantities and costs)</t>
        </is>
      </c>
      <c r="P392" s="3" t="inlineStr">
        <is>
          <t>LOW</t>
        </is>
      </c>
      <c r="Q392" s="3" t="inlineStr">
        <is>
          <t>2 duty + 2 standby supporting 32 railcar stations; horizontal centrifugal API 610</t>
        </is>
      </c>
      <c r="R392" s="3">
        <f>VLOOKUP($F392,Inputs!$D$6:$E$41,2,FALSE)</f>
        <v/>
      </c>
      <c r="S392" s="36">
        <f>VLOOKUP($E392,Inputs!$A$6:$B$13,2,FALSE)*Inputs!$B$2</f>
        <v/>
      </c>
      <c r="T392" s="35">
        <f>$L392*$S392</f>
        <v/>
      </c>
      <c r="U392" s="35">
        <f>$L392+$T392</f>
        <v/>
      </c>
    </row>
    <row r="393">
      <c r="A393" s="3" t="inlineStr">
        <is>
          <t>PKG-15::L-008</t>
        </is>
      </c>
      <c r="B393" s="3" t="inlineStr">
        <is>
          <t>PKG-15</t>
        </is>
      </c>
      <c r="C393" s="3" t="n"/>
      <c r="D393" s="3" t="inlineStr">
        <is>
          <t>L-008</t>
        </is>
      </c>
      <c r="E393" s="3" t="inlineStr">
        <is>
          <t>MAT</t>
        </is>
      </c>
      <c r="F393" s="3" t="inlineStr">
        <is>
          <t>PKG-15</t>
        </is>
      </c>
      <c r="G393" s="3" t="n"/>
      <c r="H393" s="3" t="inlineStr">
        <is>
          <t>Tank transfer pump 150 m3/hr 15kW API 610 (2 units)</t>
        </is>
      </c>
      <c r="I393" s="22" t="n">
        <v>2</v>
      </c>
      <c r="J393" s="3" t="inlineStr">
        <is>
          <t>ea</t>
        </is>
      </c>
      <c r="K393" s="39" t="n">
        <v>45000</v>
      </c>
      <c r="L393" s="35" t="n">
        <v>90000</v>
      </c>
      <c r="M393" s="3" t="inlineStr">
        <is>
          <t>CAD</t>
        </is>
      </c>
      <c r="N393" s="3" t="inlineStr">
        <is>
          <t>ALLOWANCE</t>
        </is>
      </c>
      <c r="O393" s="3" t="inlineStr">
        <is>
          <t>A-001 A-002 (Parametric pump quantities and costs)</t>
        </is>
      </c>
      <c r="P393" s="3" t="inlineStr">
        <is>
          <t>LOW</t>
        </is>
      </c>
      <c r="Q393" s="3" t="inlineStr">
        <is>
          <t>Tank-to-tank transfer and recirculation; operational flexibility OBJ-4</t>
        </is>
      </c>
      <c r="R393" s="3">
        <f>VLOOKUP($F393,Inputs!$D$6:$E$41,2,FALSE)</f>
        <v/>
      </c>
      <c r="S393" s="36">
        <f>VLOOKUP($E393,Inputs!$A$6:$B$13,2,FALSE)*Inputs!$B$2</f>
        <v/>
      </c>
      <c r="T393" s="35">
        <f>$L393*$S393</f>
        <v/>
      </c>
      <c r="U393" s="35">
        <f>$L393+$T393</f>
        <v/>
      </c>
    </row>
    <row r="394">
      <c r="A394" s="3" t="inlineStr">
        <is>
          <t>PKG-15::L-009</t>
        </is>
      </c>
      <c r="B394" s="3" t="inlineStr">
        <is>
          <t>PKG-15</t>
        </is>
      </c>
      <c r="C394" s="3" t="n"/>
      <c r="D394" s="3" t="inlineStr">
        <is>
          <t>L-009</t>
        </is>
      </c>
      <c r="E394" s="3" t="inlineStr">
        <is>
          <t>MAT</t>
        </is>
      </c>
      <c r="F394" s="3" t="inlineStr">
        <is>
          <t>PKG-15</t>
        </is>
      </c>
      <c r="G394" s="3" t="n"/>
      <c r="H394" s="3" t="inlineStr">
        <is>
          <t>Sump pump 25 m3/hr 3kW (6 units)</t>
        </is>
      </c>
      <c r="I394" s="22" t="n">
        <v>6</v>
      </c>
      <c r="J394" s="3" t="inlineStr">
        <is>
          <t>ea</t>
        </is>
      </c>
      <c r="K394" s="39" t="n">
        <v>12000</v>
      </c>
      <c r="L394" s="35" t="n">
        <v>72000</v>
      </c>
      <c r="M394" s="3" t="inlineStr">
        <is>
          <t>CAD</t>
        </is>
      </c>
      <c r="N394" s="3" t="inlineStr">
        <is>
          <t>ALLOWANCE</t>
        </is>
      </c>
      <c r="O394" s="3" t="inlineStr">
        <is>
          <t>A-001 A-002 (Parametric pump quantities and costs)</t>
        </is>
      </c>
      <c r="P394" s="3" t="inlineStr">
        <is>
          <t>LOW</t>
        </is>
      </c>
      <c r="Q394" s="3" t="inlineStr">
        <is>
          <t>Containment sumps at railcar marine and tank areas; canola oil + water mixture service</t>
        </is>
      </c>
      <c r="R394" s="3">
        <f>VLOOKUP($F394,Inputs!$D$6:$E$41,2,FALSE)</f>
        <v/>
      </c>
      <c r="S394" s="36">
        <f>VLOOKUP($E394,Inputs!$A$6:$B$13,2,FALSE)*Inputs!$B$2</f>
        <v/>
      </c>
      <c r="T394" s="35">
        <f>$L394*$S394</f>
        <v/>
      </c>
      <c r="U394" s="35">
        <f>$L394+$T394</f>
        <v/>
      </c>
    </row>
    <row r="395">
      <c r="A395" s="3" t="inlineStr">
        <is>
          <t>PKG-15::L-010</t>
        </is>
      </c>
      <c r="B395" s="3" t="inlineStr">
        <is>
          <t>PKG-15</t>
        </is>
      </c>
      <c r="C395" s="3" t="n"/>
      <c r="D395" s="3" t="inlineStr">
        <is>
          <t>L-010</t>
        </is>
      </c>
      <c r="E395" s="3" t="inlineStr">
        <is>
          <t>MAT</t>
        </is>
      </c>
      <c r="F395" s="3" t="inlineStr">
        <is>
          <t>PKG-15</t>
        </is>
      </c>
      <c r="G395" s="3" t="n"/>
      <c r="H395" s="3" t="inlineStr">
        <is>
          <t>Electric motors NEMA Premium efficiency TEFC (14 units)</t>
        </is>
      </c>
      <c r="I395" s="22" t="n">
        <v>406</v>
      </c>
      <c r="J395" s="3" t="inlineStr">
        <is>
          <t>kW</t>
        </is>
      </c>
      <c r="K395" s="39" t="n">
        <v>500</v>
      </c>
      <c r="L395" s="35" t="n">
        <v>203000</v>
      </c>
      <c r="M395" s="3" t="inlineStr">
        <is>
          <t>CAD</t>
        </is>
      </c>
      <c r="N395" s="3" t="inlineStr">
        <is>
          <t>ALLOWANCE</t>
        </is>
      </c>
      <c r="O395" s="3" t="inlineStr">
        <is>
          <t>A-004 (Motor cost per kW)</t>
        </is>
      </c>
      <c r="P395" s="3" t="inlineStr">
        <is>
          <t>MEDIUM</t>
        </is>
      </c>
      <c r="Q395" s="3" t="inlineStr">
        <is>
          <t>Total 406 kW across all pumps; 460V 3-phase typical; coordinate PKG-17/19 for final voltage</t>
        </is>
      </c>
      <c r="R395" s="3">
        <f>VLOOKUP($F395,Inputs!$D$6:$E$41,2,FALSE)</f>
        <v/>
      </c>
      <c r="S395" s="36">
        <f>VLOOKUP($E395,Inputs!$A$6:$B$13,2,FALSE)*Inputs!$B$2</f>
        <v/>
      </c>
      <c r="T395" s="35">
        <f>$L395*$S395</f>
        <v/>
      </c>
      <c r="U395" s="35">
        <f>$L395+$T395</f>
        <v/>
      </c>
    </row>
    <row r="396">
      <c r="A396" s="3" t="inlineStr">
        <is>
          <t>PKG-15::L-011</t>
        </is>
      </c>
      <c r="B396" s="3" t="inlineStr">
        <is>
          <t>PKG-15</t>
        </is>
      </c>
      <c r="C396" s="3" t="n"/>
      <c r="D396" s="3" t="inlineStr">
        <is>
          <t>L-011</t>
        </is>
      </c>
      <c r="E396" s="3" t="inlineStr">
        <is>
          <t>MAT</t>
        </is>
      </c>
      <c r="F396" s="3" t="inlineStr">
        <is>
          <t>PKG-15</t>
        </is>
      </c>
      <c r="G396" s="3" t="n"/>
      <c r="H396" s="3" t="inlineStr">
        <is>
          <t>Variable frequency drives VFDs (7 units for critical pumps)</t>
        </is>
      </c>
      <c r="I396" s="22" t="n">
        <v>203</v>
      </c>
      <c r="J396" s="3" t="inlineStr">
        <is>
          <t>kW</t>
        </is>
      </c>
      <c r="K396" s="39" t="n">
        <v>300</v>
      </c>
      <c r="L396" s="35" t="n">
        <v>60900</v>
      </c>
      <c r="M396" s="3" t="inlineStr">
        <is>
          <t>CAD</t>
        </is>
      </c>
      <c r="N396" s="3" t="inlineStr">
        <is>
          <t>ALLOWANCE</t>
        </is>
      </c>
      <c r="O396" s="3" t="inlineStr">
        <is>
          <t>A-004 (VFD cost per kW; 50% of pumps)</t>
        </is>
      </c>
      <c r="P396" s="3" t="inlineStr">
        <is>
          <t>MEDIUM</t>
        </is>
      </c>
      <c r="Q396" s="3" t="inlineStr">
        <is>
          <t>VFDs for process control and energy efficiency; critical pumps only</t>
        </is>
      </c>
      <c r="R396" s="3">
        <f>VLOOKUP($F396,Inputs!$D$6:$E$41,2,FALSE)</f>
        <v/>
      </c>
      <c r="S396" s="36">
        <f>VLOOKUP($E396,Inputs!$A$6:$B$13,2,FALSE)*Inputs!$B$2</f>
        <v/>
      </c>
      <c r="T396" s="35">
        <f>$L396*$S396</f>
        <v/>
      </c>
      <c r="U396" s="35">
        <f>$L396+$T396</f>
        <v/>
      </c>
    </row>
    <row r="397">
      <c r="A397" s="3" t="inlineStr">
        <is>
          <t>PKG-15::L-012</t>
        </is>
      </c>
      <c r="B397" s="3" t="inlineStr">
        <is>
          <t>PKG-15</t>
        </is>
      </c>
      <c r="C397" s="3" t="n"/>
      <c r="D397" s="3" t="inlineStr">
        <is>
          <t>L-012</t>
        </is>
      </c>
      <c r="E397" s="3" t="inlineStr">
        <is>
          <t>MAT</t>
        </is>
      </c>
      <c r="F397" s="3" t="inlineStr">
        <is>
          <t>PKG-15</t>
        </is>
      </c>
      <c r="G397" s="3" t="n"/>
      <c r="H397" s="3" t="inlineStr">
        <is>
          <t>Mechanical seal systems API 682 Type 2 with flush systems</t>
        </is>
      </c>
      <c r="I397" s="22" t="n">
        <v>1</v>
      </c>
      <c r="J397" s="3" t="inlineStr">
        <is>
          <t>LS</t>
        </is>
      </c>
      <c r="K397" s="39" t="n">
        <v>127500</v>
      </c>
      <c r="L397" s="35" t="n">
        <v>127500</v>
      </c>
      <c r="M397" s="3" t="inlineStr">
        <is>
          <t>CAD</t>
        </is>
      </c>
      <c r="N397" s="3" t="inlineStr">
        <is>
          <t>ALLOWANCE</t>
        </is>
      </c>
      <c r="O397" s="3" t="inlineStr">
        <is>
          <t>A-011 (15% of pump cost for seal systems)</t>
        </is>
      </c>
      <c r="P397" s="3" t="inlineStr">
        <is>
          <t>LOW</t>
        </is>
      </c>
      <c r="Q397" s="3" t="inlineStr">
        <is>
          <t>Cartridge seals with Plan 11 or Plan 32 support systems; dual seals for critical services TBD</t>
        </is>
      </c>
      <c r="R397" s="3">
        <f>VLOOKUP($F397,Inputs!$D$6:$E$41,2,FALSE)</f>
        <v/>
      </c>
      <c r="S397" s="36">
        <f>VLOOKUP($E397,Inputs!$A$6:$B$13,2,FALSE)*Inputs!$B$2</f>
        <v/>
      </c>
      <c r="T397" s="35">
        <f>$L397*$S397</f>
        <v/>
      </c>
      <c r="U397" s="35">
        <f>$L397+$T397</f>
        <v/>
      </c>
    </row>
    <row r="398">
      <c r="A398" s="3" t="inlineStr">
        <is>
          <t>PKG-15::L-013</t>
        </is>
      </c>
      <c r="B398" s="3" t="inlineStr">
        <is>
          <t>PKG-15</t>
        </is>
      </c>
      <c r="C398" s="3" t="n"/>
      <c r="D398" s="3" t="inlineStr">
        <is>
          <t>L-013</t>
        </is>
      </c>
      <c r="E398" s="3" t="inlineStr">
        <is>
          <t>MAT</t>
        </is>
      </c>
      <c r="F398" s="3" t="inlineStr">
        <is>
          <t>PKG-15</t>
        </is>
      </c>
      <c r="G398" s="3" t="n"/>
      <c r="H398" s="3" t="inlineStr">
        <is>
          <t>Pump couplings (flexible spacer type) and fabricated baseplates</t>
        </is>
      </c>
      <c r="I398" s="22" t="n">
        <v>1</v>
      </c>
      <c r="J398" s="3" t="inlineStr">
        <is>
          <t>LS</t>
        </is>
      </c>
      <c r="K398" s="39" t="n">
        <v>102000</v>
      </c>
      <c r="L398" s="35" t="n">
        <v>102000</v>
      </c>
      <c r="M398" s="3" t="inlineStr">
        <is>
          <t>CAD</t>
        </is>
      </c>
      <c r="N398" s="3" t="inlineStr">
        <is>
          <t>ALLOWANCE</t>
        </is>
      </c>
      <c r="O398" s="3" t="inlineStr">
        <is>
          <t>A-012 (12% of pump cost)</t>
        </is>
      </c>
      <c r="P398" s="3" t="inlineStr">
        <is>
          <t>MEDIUM</t>
        </is>
      </c>
      <c r="Q398" s="3" t="inlineStr">
        <is>
          <t>API 610 Section 5.4 spacer couplings; grouted structural steel baseplates</t>
        </is>
      </c>
      <c r="R398" s="3">
        <f>VLOOKUP($F398,Inputs!$D$6:$E$41,2,FALSE)</f>
        <v/>
      </c>
      <c r="S398" s="36">
        <f>VLOOKUP($E398,Inputs!$A$6:$B$13,2,FALSE)*Inputs!$B$2</f>
        <v/>
      </c>
      <c r="T398" s="35">
        <f>$L398*$S398</f>
        <v/>
      </c>
      <c r="U398" s="35">
        <f>$L398+$T398</f>
        <v/>
      </c>
    </row>
    <row r="399">
      <c r="A399" s="3" t="inlineStr">
        <is>
          <t>PKG-15::L-014</t>
        </is>
      </c>
      <c r="B399" s="3" t="inlineStr">
        <is>
          <t>PKG-15</t>
        </is>
      </c>
      <c r="C399" s="3" t="n"/>
      <c r="D399" s="3" t="inlineStr">
        <is>
          <t>L-014</t>
        </is>
      </c>
      <c r="E399" s="3" t="inlineStr">
        <is>
          <t>MAT</t>
        </is>
      </c>
      <c r="F399" s="3" t="inlineStr">
        <is>
          <t>PKG-15</t>
        </is>
      </c>
      <c r="G399" s="3" t="n"/>
      <c r="H399" s="3" t="inlineStr">
        <is>
          <t>Initial spare parts (seals impellers wear rings bearings)</t>
        </is>
      </c>
      <c r="I399" s="22" t="n">
        <v>1</v>
      </c>
      <c r="J399" s="3" t="inlineStr">
        <is>
          <t>LS</t>
        </is>
      </c>
      <c r="K399" s="39" t="n">
        <v>68000</v>
      </c>
      <c r="L399" s="35" t="n">
        <v>68000</v>
      </c>
      <c r="M399" s="3" t="inlineStr">
        <is>
          <t>CAD</t>
        </is>
      </c>
      <c r="N399" s="3" t="inlineStr">
        <is>
          <t>ALLOWANCE</t>
        </is>
      </c>
      <c r="O399" s="3" t="inlineStr">
        <is>
          <t>A-013 (8% of pump equipment cost)</t>
        </is>
      </c>
      <c r="P399" s="3" t="inlineStr">
        <is>
          <t>LOW</t>
        </is>
      </c>
      <c r="Q399" s="3" t="inlineStr">
        <is>
          <t>1 spare seal per pump type; critical wear parts; spare parts philosophy TBD per ER and OBJ-9</t>
        </is>
      </c>
      <c r="R399" s="3">
        <f>VLOOKUP($F399,Inputs!$D$6:$E$41,2,FALSE)</f>
        <v/>
      </c>
      <c r="S399" s="36">
        <f>VLOOKUP($E399,Inputs!$A$6:$B$13,2,FALSE)*Inputs!$B$2</f>
        <v/>
      </c>
      <c r="T399" s="35">
        <f>$L399*$S399</f>
        <v/>
      </c>
      <c r="U399" s="35">
        <f>$L399+$T399</f>
        <v/>
      </c>
    </row>
    <row r="400">
      <c r="A400" s="3" t="inlineStr">
        <is>
          <t>PKG-15::L-015</t>
        </is>
      </c>
      <c r="B400" s="3" t="inlineStr">
        <is>
          <t>PKG-15</t>
        </is>
      </c>
      <c r="C400" s="3" t="inlineStr">
        <is>
          <t>DEL-15.01</t>
        </is>
      </c>
      <c r="D400" s="3" t="inlineStr">
        <is>
          <t>L-015</t>
        </is>
      </c>
      <c r="E400" s="3" t="inlineStr">
        <is>
          <t>CD</t>
        </is>
      </c>
      <c r="F400" s="3" t="inlineStr">
        <is>
          <t>PKG-15</t>
        </is>
      </c>
      <c r="G400" s="3" t="inlineStr">
        <is>
          <t>DEL-15.01</t>
        </is>
      </c>
      <c r="H400" s="3" t="inlineStr">
        <is>
          <t>Pump rigging and setting (14 units)</t>
        </is>
      </c>
      <c r="I400" s="22" t="n">
        <v>14</v>
      </c>
      <c r="J400" s="3" t="inlineStr">
        <is>
          <t>ea</t>
        </is>
      </c>
      <c r="K400" s="39" t="n">
        <v>1200</v>
      </c>
      <c r="L400" s="35" t="n">
        <v>16800</v>
      </c>
      <c r="M400" s="3" t="inlineStr">
        <is>
          <t>CAD</t>
        </is>
      </c>
      <c r="N400" s="3" t="inlineStr">
        <is>
          <t>PARAMETRIC</t>
        </is>
      </c>
      <c r="O400" s="3" t="inlineStr">
        <is>
          <t>A-003 (Installation productivity)</t>
        </is>
      </c>
      <c r="P400" s="3" t="inlineStr">
        <is>
          <t>MEDIUM</t>
        </is>
      </c>
      <c r="Q400" s="3" t="inlineStr">
        <is>
          <t>Crane rental rigging unloading setting on baseplate; 8 manhours per pump avg</t>
        </is>
      </c>
      <c r="R400" s="3">
        <f>VLOOKUP($F400,Inputs!$D$6:$E$41,2,FALSE)</f>
        <v/>
      </c>
      <c r="S400" s="36">
        <f>VLOOKUP($E400,Inputs!$A$6:$B$13,2,FALSE)*Inputs!$B$2</f>
        <v/>
      </c>
      <c r="T400" s="35">
        <f>$L400*$S400</f>
        <v/>
      </c>
      <c r="U400" s="35">
        <f>$L400+$T400</f>
        <v/>
      </c>
    </row>
    <row r="401">
      <c r="A401" s="3" t="inlineStr">
        <is>
          <t>PKG-15::L-016</t>
        </is>
      </c>
      <c r="B401" s="3" t="inlineStr">
        <is>
          <t>PKG-15</t>
        </is>
      </c>
      <c r="C401" s="3" t="inlineStr">
        <is>
          <t>DEL-15.01</t>
        </is>
      </c>
      <c r="D401" s="3" t="inlineStr">
        <is>
          <t>L-016</t>
        </is>
      </c>
      <c r="E401" s="3" t="inlineStr">
        <is>
          <t>CD</t>
        </is>
      </c>
      <c r="F401" s="3" t="inlineStr">
        <is>
          <t>PKG-15</t>
        </is>
      </c>
      <c r="G401" s="3" t="inlineStr">
        <is>
          <t>DEL-15.01</t>
        </is>
      </c>
      <c r="H401" s="3" t="inlineStr">
        <is>
          <t>Pump-motor alignment and coupling installation (14 units)</t>
        </is>
      </c>
      <c r="I401" s="22" t="n">
        <v>14</v>
      </c>
      <c r="J401" s="3" t="inlineStr">
        <is>
          <t>ea</t>
        </is>
      </c>
      <c r="K401" s="39" t="n">
        <v>1520</v>
      </c>
      <c r="L401" s="35" t="n">
        <v>21280</v>
      </c>
      <c r="M401" s="3" t="inlineStr">
        <is>
          <t>CAD</t>
        </is>
      </c>
      <c r="N401" s="3" t="inlineStr">
        <is>
          <t>PARAMETRIC</t>
        </is>
      </c>
      <c r="O401" s="3" t="inlineStr">
        <is>
          <t>A-003 (Installation productivity)</t>
        </is>
      </c>
      <c r="P401" s="3" t="inlineStr">
        <is>
          <t>MEDIUM</t>
        </is>
      </c>
      <c r="Q401" s="3" t="inlineStr">
        <is>
          <t>Rough and final alignment per API 610 Section 6.3; dial indicator or laser; 16 manhours per pump</t>
        </is>
      </c>
      <c r="R401" s="3">
        <f>VLOOKUP($F401,Inputs!$D$6:$E$41,2,FALSE)</f>
        <v/>
      </c>
      <c r="S401" s="36">
        <f>VLOOKUP($E401,Inputs!$A$6:$B$13,2,FALSE)*Inputs!$B$2</f>
        <v/>
      </c>
      <c r="T401" s="35">
        <f>$L401*$S401</f>
        <v/>
      </c>
      <c r="U401" s="35">
        <f>$L401+$T401</f>
        <v/>
      </c>
    </row>
    <row r="402">
      <c r="A402" s="3" t="inlineStr">
        <is>
          <t>PKG-15::L-017</t>
        </is>
      </c>
      <c r="B402" s="3" t="inlineStr">
        <is>
          <t>PKG-15</t>
        </is>
      </c>
      <c r="C402" s="3" t="inlineStr">
        <is>
          <t>DEL-15.01</t>
        </is>
      </c>
      <c r="D402" s="3" t="inlineStr">
        <is>
          <t>L-017</t>
        </is>
      </c>
      <c r="E402" s="3" t="inlineStr">
        <is>
          <t>CD</t>
        </is>
      </c>
      <c r="F402" s="3" t="inlineStr">
        <is>
          <t>PKG-15</t>
        </is>
      </c>
      <c r="G402" s="3" t="inlineStr">
        <is>
          <t>DEL-15.01</t>
        </is>
      </c>
      <c r="H402" s="3" t="inlineStr">
        <is>
          <t>Baseplate grouting non-shrink grout min 25mm (14 units)</t>
        </is>
      </c>
      <c r="I402" s="22" t="n">
        <v>14</v>
      </c>
      <c r="J402" s="3" t="inlineStr">
        <is>
          <t>ea</t>
        </is>
      </c>
      <c r="K402" s="39" t="n">
        <v>760</v>
      </c>
      <c r="L402" s="35" t="n">
        <v>10640</v>
      </c>
      <c r="M402" s="3" t="inlineStr">
        <is>
          <t>CAD</t>
        </is>
      </c>
      <c r="N402" s="3" t="inlineStr">
        <is>
          <t>PARAMETRIC</t>
        </is>
      </c>
      <c r="O402" s="3" t="inlineStr">
        <is>
          <t>A-003 (Installation productivity)</t>
        </is>
      </c>
      <c r="P402" s="3" t="inlineStr">
        <is>
          <t>MEDIUM</t>
        </is>
      </c>
      <c r="Q402" s="3" t="inlineStr">
        <is>
          <t>API 610 Section 6.1.4 grouting requirements; 8 manhours per pump</t>
        </is>
      </c>
      <c r="R402" s="3">
        <f>VLOOKUP($F402,Inputs!$D$6:$E$41,2,FALSE)</f>
        <v/>
      </c>
      <c r="S402" s="36">
        <f>VLOOKUP($E402,Inputs!$A$6:$B$13,2,FALSE)*Inputs!$B$2</f>
        <v/>
      </c>
      <c r="T402" s="35">
        <f>$L402*$S402</f>
        <v/>
      </c>
      <c r="U402" s="35">
        <f>$L402+$T402</f>
        <v/>
      </c>
    </row>
    <row r="403">
      <c r="A403" s="3" t="inlineStr">
        <is>
          <t>PKG-15::L-018</t>
        </is>
      </c>
      <c r="B403" s="3" t="inlineStr">
        <is>
          <t>PKG-15</t>
        </is>
      </c>
      <c r="C403" s="3" t="inlineStr">
        <is>
          <t>DEL-15.05</t>
        </is>
      </c>
      <c r="D403" s="3" t="inlineStr">
        <is>
          <t>L-018</t>
        </is>
      </c>
      <c r="E403" s="3" t="inlineStr">
        <is>
          <t>CD</t>
        </is>
      </c>
      <c r="F403" s="3" t="inlineStr">
        <is>
          <t>PKG-15</t>
        </is>
      </c>
      <c r="G403" s="3" t="inlineStr">
        <is>
          <t>DEL-15.05</t>
        </is>
      </c>
      <c r="H403" s="3" t="inlineStr">
        <is>
          <t>Mechanical completion and pre-comm inspection (14 units)</t>
        </is>
      </c>
      <c r="I403" s="22" t="n">
        <v>14</v>
      </c>
      <c r="J403" s="3" t="inlineStr">
        <is>
          <t>ea</t>
        </is>
      </c>
      <c r="K403" s="39" t="n">
        <v>380</v>
      </c>
      <c r="L403" s="35" t="n">
        <v>5320</v>
      </c>
      <c r="M403" s="3" t="inlineStr">
        <is>
          <t>CAD</t>
        </is>
      </c>
      <c r="N403" s="3" t="inlineStr">
        <is>
          <t>PARAMETRIC</t>
        </is>
      </c>
      <c r="O403" s="3" t="inlineStr">
        <is>
          <t>A-003 (Installation productivity)</t>
        </is>
      </c>
      <c r="P403" s="3" t="inlineStr">
        <is>
          <t>MEDIUM</t>
        </is>
      </c>
      <c r="Q403" s="3" t="inlineStr">
        <is>
          <t>Rotation check bolt torque lubrication check; 4 manhours per pump</t>
        </is>
      </c>
      <c r="R403" s="3">
        <f>VLOOKUP($F403,Inputs!$D$6:$E$41,2,FALSE)</f>
        <v/>
      </c>
      <c r="S403" s="36">
        <f>VLOOKUP($E403,Inputs!$A$6:$B$13,2,FALSE)*Inputs!$B$2</f>
        <v/>
      </c>
      <c r="T403" s="35">
        <f>$L403*$S403</f>
        <v/>
      </c>
      <c r="U403" s="35">
        <f>$L403+$T403</f>
        <v/>
      </c>
    </row>
    <row r="404">
      <c r="A404" s="3" t="inlineStr">
        <is>
          <t>PKG-15::L-019</t>
        </is>
      </c>
      <c r="B404" s="3" t="inlineStr">
        <is>
          <t>PKG-15</t>
        </is>
      </c>
      <c r="C404" s="3" t="n"/>
      <c r="D404" s="3" t="inlineStr">
        <is>
          <t>L-019</t>
        </is>
      </c>
      <c r="E404" s="3" t="inlineStr">
        <is>
          <t>CI</t>
        </is>
      </c>
      <c r="F404" s="3" t="inlineStr">
        <is>
          <t>PKG-15</t>
        </is>
      </c>
      <c r="G404" s="3" t="n"/>
      <c r="H404" s="3" t="inlineStr">
        <is>
          <t>Construction indirects supervision temp facilities small tools HSE</t>
        </is>
      </c>
      <c r="I404" s="22" t="n">
        <v>1</v>
      </c>
      <c r="J404" s="3" t="inlineStr">
        <is>
          <t>LS</t>
        </is>
      </c>
      <c r="K404" s="39" t="n">
        <v>9730</v>
      </c>
      <c r="L404" s="35" t="n">
        <v>9730</v>
      </c>
      <c r="M404" s="3" t="inlineStr">
        <is>
          <t>CAD</t>
        </is>
      </c>
      <c r="N404" s="3" t="inlineStr">
        <is>
          <t>PARAMETRIC</t>
        </is>
      </c>
      <c r="O404" s="3" t="inlineStr">
        <is>
          <t>D-010 (18% of CD per fallback model)</t>
        </is>
      </c>
      <c r="P404" s="3" t="inlineStr">
        <is>
          <t>MEDIUM</t>
        </is>
      </c>
      <c r="Q404" s="3" t="inlineStr">
        <is>
          <t>Site supervision temporary laydown area small tools consumables safety equipment</t>
        </is>
      </c>
      <c r="R404" s="3">
        <f>VLOOKUP($F404,Inputs!$D$6:$E$41,2,FALSE)</f>
        <v/>
      </c>
      <c r="S404" s="36">
        <f>VLOOKUP($E404,Inputs!$A$6:$B$13,2,FALSE)*Inputs!$B$2</f>
        <v/>
      </c>
      <c r="T404" s="35">
        <f>$L404*$S404</f>
        <v/>
      </c>
      <c r="U404" s="35">
        <f>$L404+$T404</f>
        <v/>
      </c>
    </row>
    <row r="405">
      <c r="A405" s="3" t="inlineStr">
        <is>
          <t>PKG-15::L-020</t>
        </is>
      </c>
      <c r="B405" s="3" t="inlineStr">
        <is>
          <t>PKG-15</t>
        </is>
      </c>
      <c r="C405" s="3" t="n"/>
      <c r="D405" s="3" t="inlineStr">
        <is>
          <t>L-020</t>
        </is>
      </c>
      <c r="E405" s="3" t="inlineStr">
        <is>
          <t>P</t>
        </is>
      </c>
      <c r="F405" s="3" t="inlineStr">
        <is>
          <t>PKG-15</t>
        </is>
      </c>
      <c r="G405" s="3" t="n"/>
      <c r="H405" s="3" t="inlineStr">
        <is>
          <t>Procurement services vendor solicitation expediting inspection</t>
        </is>
      </c>
      <c r="I405" s="22" t="n">
        <v>1</v>
      </c>
      <c r="J405" s="3" t="inlineStr">
        <is>
          <t>LS</t>
        </is>
      </c>
      <c r="K405" s="39" t="n">
        <v>22000</v>
      </c>
      <c r="L405" s="35" t="n">
        <v>22000</v>
      </c>
      <c r="M405" s="3" t="inlineStr">
        <is>
          <t>CAD</t>
        </is>
      </c>
      <c r="N405" s="3" t="inlineStr">
        <is>
          <t>PARAMETRIC</t>
        </is>
      </c>
      <c r="O405" s="3" t="inlineStr">
        <is>
          <t>A-006 (2% of MAT)</t>
        </is>
      </c>
      <c r="P405" s="3" t="inlineStr">
        <is>
          <t>MEDIUM</t>
        </is>
      </c>
      <c r="Q405" s="3" t="inlineStr">
        <is>
          <t>Technical bid evaluation purchase order management expediting receiving inspection</t>
        </is>
      </c>
      <c r="R405" s="3">
        <f>VLOOKUP($F405,Inputs!$D$6:$E$41,2,FALSE)</f>
        <v/>
      </c>
      <c r="S405" s="36">
        <f>VLOOKUP($E405,Inputs!$A$6:$B$13,2,FALSE)*Inputs!$B$2</f>
        <v/>
      </c>
      <c r="T405" s="35">
        <f>$L405*$S405</f>
        <v/>
      </c>
      <c r="U405" s="35">
        <f>$L405+$T405</f>
        <v/>
      </c>
    </row>
    <row r="406">
      <c r="A406" s="3" t="inlineStr">
        <is>
          <t>PKG-15::L-021</t>
        </is>
      </c>
      <c r="B406" s="3" t="inlineStr">
        <is>
          <t>PKG-15</t>
        </is>
      </c>
      <c r="C406" s="3" t="n"/>
      <c r="D406" s="3" t="inlineStr">
        <is>
          <t>L-021</t>
        </is>
      </c>
      <c r="E406" s="3" t="inlineStr">
        <is>
          <t>PM</t>
        </is>
      </c>
      <c r="F406" s="3" t="inlineStr">
        <is>
          <t>PKG-15</t>
        </is>
      </c>
      <c r="G406" s="3" t="n"/>
      <c r="H406" s="3" t="inlineStr">
        <is>
          <t>EPCM and project management for PKG-15</t>
        </is>
      </c>
      <c r="I406" s="22" t="n">
        <v>1</v>
      </c>
      <c r="J406" s="3" t="inlineStr">
        <is>
          <t>LS</t>
        </is>
      </c>
      <c r="K406" s="39" t="n">
        <v>70620</v>
      </c>
      <c r="L406" s="35" t="n">
        <v>70620</v>
      </c>
      <c r="M406" s="3" t="inlineStr">
        <is>
          <t>CAD</t>
        </is>
      </c>
      <c r="N406" s="3" t="inlineStr">
        <is>
          <t>PARAMETRIC</t>
        </is>
      </c>
      <c r="O406" s="3" t="inlineStr">
        <is>
          <t>A-008 (6% of CD+CI+MAT per fallback model)</t>
        </is>
      </c>
      <c r="P406" s="3" t="inlineStr">
        <is>
          <t>MEDIUM</t>
        </is>
      </c>
      <c r="Q406" s="3" t="inlineStr">
        <is>
          <t>Project management engineering management document control coordination meetings</t>
        </is>
      </c>
      <c r="R406" s="3">
        <f>VLOOKUP($F406,Inputs!$D$6:$E$41,2,FALSE)</f>
        <v/>
      </c>
      <c r="S406" s="36">
        <f>VLOOKUP($E406,Inputs!$A$6:$B$13,2,FALSE)*Inputs!$B$2</f>
        <v/>
      </c>
      <c r="T406" s="35">
        <f>$L406*$S406</f>
        <v/>
      </c>
      <c r="U406" s="35">
        <f>$L406+$T406</f>
        <v/>
      </c>
    </row>
    <row r="407">
      <c r="A407" s="3" t="inlineStr">
        <is>
          <t>PKG-15::L-022</t>
        </is>
      </c>
      <c r="B407" s="3" t="inlineStr">
        <is>
          <t>PKG-15</t>
        </is>
      </c>
      <c r="C407" s="3" t="inlineStr">
        <is>
          <t>DEL-15.05</t>
        </is>
      </c>
      <c r="D407" s="3" t="inlineStr">
        <is>
          <t>L-022</t>
        </is>
      </c>
      <c r="E407" s="3" t="inlineStr">
        <is>
          <t>COM</t>
        </is>
      </c>
      <c r="F407" s="3" t="inlineStr">
        <is>
          <t>PKG-15</t>
        </is>
      </c>
      <c r="G407" s="3" t="inlineStr">
        <is>
          <t>DEL-15.05</t>
        </is>
      </c>
      <c r="H407" s="3" t="inlineStr">
        <is>
          <t>Performance testing flow head power vibration (14 units)</t>
        </is>
      </c>
      <c r="I407" s="22" t="n">
        <v>14</v>
      </c>
      <c r="J407" s="3" t="inlineStr">
        <is>
          <t>ea</t>
        </is>
      </c>
      <c r="K407" s="39" t="n">
        <v>1140</v>
      </c>
      <c r="L407" s="35" t="n">
        <v>15960</v>
      </c>
      <c r="M407" s="3" t="inlineStr">
        <is>
          <t>CAD</t>
        </is>
      </c>
      <c r="N407" s="3" t="inlineStr">
        <is>
          <t>PARAMETRIC</t>
        </is>
      </c>
      <c r="O407" s="3" t="inlineStr">
        <is>
          <t>A-009 (Commissioning effort)</t>
        </is>
      </c>
      <c r="P407" s="3" t="inlineStr">
        <is>
          <t>MEDIUM</t>
        </is>
      </c>
      <c r="Q407" s="3" t="inlineStr">
        <is>
          <t>Field performance test per API 610 Section 6.9; 12 manhours per pump @ $95/hr</t>
        </is>
      </c>
      <c r="R407" s="3">
        <f>VLOOKUP($F407,Inputs!$D$6:$E$41,2,FALSE)</f>
        <v/>
      </c>
      <c r="S407" s="36">
        <f>VLOOKUP($E407,Inputs!$A$6:$B$13,2,FALSE)*Inputs!$B$2</f>
        <v/>
      </c>
      <c r="T407" s="35">
        <f>$L407*$S407</f>
        <v/>
      </c>
      <c r="U407" s="35">
        <f>$L407+$T407</f>
        <v/>
      </c>
    </row>
    <row r="408">
      <c r="A408" s="3" t="inlineStr">
        <is>
          <t>PKG-15::L-023</t>
        </is>
      </c>
      <c r="B408" s="3" t="inlineStr">
        <is>
          <t>PKG-15</t>
        </is>
      </c>
      <c r="C408" s="3" t="inlineStr">
        <is>
          <t>DEL-15.05</t>
        </is>
      </c>
      <c r="D408" s="3" t="inlineStr">
        <is>
          <t>L-023</t>
        </is>
      </c>
      <c r="E408" s="3" t="inlineStr">
        <is>
          <t>COM</t>
        </is>
      </c>
      <c r="F408" s="3" t="inlineStr">
        <is>
          <t>PKG-15</t>
        </is>
      </c>
      <c r="G408" s="3" t="inlineStr">
        <is>
          <t>DEL-15.05</t>
        </is>
      </c>
      <c r="H408" s="3" t="inlineStr">
        <is>
          <t>Vibration analysis and alignment verification (14 units)</t>
        </is>
      </c>
      <c r="I408" s="22" t="n">
        <v>14</v>
      </c>
      <c r="J408" s="3" t="inlineStr">
        <is>
          <t>ea</t>
        </is>
      </c>
      <c r="K408" s="39" t="n">
        <v>380</v>
      </c>
      <c r="L408" s="35" t="n">
        <v>5320</v>
      </c>
      <c r="M408" s="3" t="inlineStr">
        <is>
          <t>CAD</t>
        </is>
      </c>
      <c r="N408" s="3" t="inlineStr">
        <is>
          <t>PARAMETRIC</t>
        </is>
      </c>
      <c r="O408" s="3" t="inlineStr">
        <is>
          <t>A-009 (Commissioning effort)</t>
        </is>
      </c>
      <c r="P408" s="3" t="inlineStr">
        <is>
          <t>MEDIUM</t>
        </is>
      </c>
      <c r="Q408" s="3" t="inlineStr">
        <is>
          <t>Vibration measurement per API 610 Figure 15 or ISO 10816; 4 manhours per pump</t>
        </is>
      </c>
      <c r="R408" s="3">
        <f>VLOOKUP($F408,Inputs!$D$6:$E$41,2,FALSE)</f>
        <v/>
      </c>
      <c r="S408" s="36">
        <f>VLOOKUP($E408,Inputs!$A$6:$B$13,2,FALSE)*Inputs!$B$2</f>
        <v/>
      </c>
      <c r="T408" s="35">
        <f>$L408*$S408</f>
        <v/>
      </c>
      <c r="U408" s="35">
        <f>$L408+$T408</f>
        <v/>
      </c>
    </row>
    <row r="409">
      <c r="A409" s="3" t="inlineStr">
        <is>
          <t>PKG-15::L-024</t>
        </is>
      </c>
      <c r="B409" s="3" t="inlineStr">
        <is>
          <t>PKG-15</t>
        </is>
      </c>
      <c r="C409" s="3" t="inlineStr">
        <is>
          <t>DEL-15.05</t>
        </is>
      </c>
      <c r="D409" s="3" t="inlineStr">
        <is>
          <t>L-024</t>
        </is>
      </c>
      <c r="E409" s="3" t="inlineStr">
        <is>
          <t>COM</t>
        </is>
      </c>
      <c r="F409" s="3" t="inlineStr">
        <is>
          <t>PKG-15</t>
        </is>
      </c>
      <c r="G409" s="3" t="inlineStr">
        <is>
          <t>DEL-15.05</t>
        </is>
      </c>
      <c r="H409" s="3" t="inlineStr">
        <is>
          <t>FAT witness travel allowance (major pumps)</t>
        </is>
      </c>
      <c r="I409" s="22" t="n">
        <v>1</v>
      </c>
      <c r="J409" s="3" t="inlineStr">
        <is>
          <t>LS</t>
        </is>
      </c>
      <c r="K409" s="39" t="n">
        <v>8000</v>
      </c>
      <c r="L409" s="35" t="n">
        <v>8000</v>
      </c>
      <c r="M409" s="3" t="inlineStr">
        <is>
          <t>CAD</t>
        </is>
      </c>
      <c r="N409" s="3" t="inlineStr">
        <is>
          <t>ALLOWANCE</t>
        </is>
      </c>
      <c r="O409" s="3" t="inlineStr">
        <is>
          <t>D-015 (FAT witness for critical equipment)</t>
        </is>
      </c>
      <c r="P409" s="3" t="inlineStr">
        <is>
          <t>LOW</t>
        </is>
      </c>
      <c r="Q409" s="3" t="inlineStr">
        <is>
          <t>Travel to vendor shop for Factory Acceptance Test witness; 6 major pumps assumed</t>
        </is>
      </c>
      <c r="R409" s="3">
        <f>VLOOKUP($F409,Inputs!$D$6:$E$41,2,FALSE)</f>
        <v/>
      </c>
      <c r="S409" s="36">
        <f>VLOOKUP($E409,Inputs!$A$6:$B$13,2,FALSE)*Inputs!$B$2</f>
        <v/>
      </c>
      <c r="T409" s="35">
        <f>$L409*$S409</f>
        <v/>
      </c>
      <c r="U409" s="35">
        <f>$L409+$T409</f>
        <v/>
      </c>
    </row>
    <row r="410">
      <c r="A410" s="3" t="inlineStr">
        <is>
          <t>PKG-16::L-001</t>
        </is>
      </c>
      <c r="B410" s="3" t="inlineStr">
        <is>
          <t>PKG-16</t>
        </is>
      </c>
      <c r="C410" s="3" t="inlineStr">
        <is>
          <t>DEL-16.01</t>
        </is>
      </c>
      <c r="D410" s="3" t="inlineStr">
        <is>
          <t>L-001</t>
        </is>
      </c>
      <c r="E410" s="3" t="inlineStr">
        <is>
          <t>E</t>
        </is>
      </c>
      <c r="F410" s="3" t="inlineStr">
        <is>
          <t>PKG-16</t>
        </is>
      </c>
      <c r="G410" s="3" t="inlineStr">
        <is>
          <t>DEL-16.01</t>
        </is>
      </c>
      <c r="H410" s="3" t="inlineStr">
        <is>
          <t>Mechanical engineering design - Valve Design Drawing Set</t>
        </is>
      </c>
      <c r="I410" s="22" t="n">
        <v>1</v>
      </c>
      <c r="J410" s="3" t="inlineStr">
        <is>
          <t>LS</t>
        </is>
      </c>
      <c r="K410" s="39" t="n">
        <v>155000</v>
      </c>
      <c r="L410" s="35" t="n">
        <v>155000</v>
      </c>
      <c r="M410" s="3" t="inlineStr">
        <is>
          <t>CAD</t>
        </is>
      </c>
      <c r="N410" s="3" t="inlineStr">
        <is>
          <t>ALLOWANCE</t>
        </is>
      </c>
      <c r="O410" s="3" t="inlineStr">
        <is>
          <t>A-1613</t>
        </is>
      </c>
      <c r="P410" s="3" t="inlineStr">
        <is>
          <t>MEDIUM</t>
        </is>
      </c>
      <c r="Q410" s="3" t="inlineStr">
        <is>
          <t>Valve arrangement drawings and actuator details for ~220 valves; includes CAD production; 1000 hours @ $155/hr blended rate per A-1613 and A-1614</t>
        </is>
      </c>
      <c r="R410" s="3">
        <f>VLOOKUP($F410,Inputs!$D$6:$E$41,2,FALSE)</f>
        <v/>
      </c>
      <c r="S410" s="36">
        <f>VLOOKUP($E410,Inputs!$A$6:$B$13,2,FALSE)*Inputs!$B$2</f>
        <v/>
      </c>
      <c r="T410" s="35">
        <f>$L410*$S410</f>
        <v/>
      </c>
      <c r="U410" s="35">
        <f>$L410+$T410</f>
        <v/>
      </c>
    </row>
    <row r="411">
      <c r="A411" s="3" t="inlineStr">
        <is>
          <t>PKG-16::L-002</t>
        </is>
      </c>
      <c r="B411" s="3" t="inlineStr">
        <is>
          <t>PKG-16</t>
        </is>
      </c>
      <c r="C411" s="3" t="inlineStr">
        <is>
          <t>DEL-16.02</t>
        </is>
      </c>
      <c r="D411" s="3" t="inlineStr">
        <is>
          <t>L-002</t>
        </is>
      </c>
      <c r="E411" s="3" t="inlineStr">
        <is>
          <t>E</t>
        </is>
      </c>
      <c r="F411" s="3" t="inlineStr">
        <is>
          <t>PKG-16</t>
        </is>
      </c>
      <c r="G411" s="3" t="inlineStr">
        <is>
          <t>DEL-16.02</t>
        </is>
      </c>
      <c r="H411" s="3" t="inlineStr">
        <is>
          <t>Mechanical engineering design - Valve Technical Specification</t>
        </is>
      </c>
      <c r="I411" s="22" t="n">
        <v>1</v>
      </c>
      <c r="J411" s="3" t="inlineStr">
        <is>
          <t>LS</t>
        </is>
      </c>
      <c r="K411" s="39" t="n">
        <v>77500</v>
      </c>
      <c r="L411" s="35" t="n">
        <v>77500</v>
      </c>
      <c r="M411" s="3" t="inlineStr">
        <is>
          <t>CAD</t>
        </is>
      </c>
      <c r="N411" s="3" t="inlineStr">
        <is>
          <t>ALLOWANCE</t>
        </is>
      </c>
      <c r="O411" s="3" t="inlineStr">
        <is>
          <t>A-1613</t>
        </is>
      </c>
      <c r="P411" s="3" t="inlineStr">
        <is>
          <t>MEDIUM</t>
        </is>
      </c>
      <c r="Q411" s="3" t="inlineStr">
        <is>
          <t>Three procurement specifications (control valve; isolation valve; relief valve); materials and performance requirements; 500 hours @ $155/hr per A-1613 and A-1614</t>
        </is>
      </c>
      <c r="R411" s="3">
        <f>VLOOKUP($F411,Inputs!$D$6:$E$41,2,FALSE)</f>
        <v/>
      </c>
      <c r="S411" s="36">
        <f>VLOOKUP($E411,Inputs!$A$6:$B$13,2,FALSE)*Inputs!$B$2</f>
        <v/>
      </c>
      <c r="T411" s="35">
        <f>$L411*$S411</f>
        <v/>
      </c>
      <c r="U411" s="35">
        <f>$L411+$T411</f>
        <v/>
      </c>
    </row>
    <row r="412">
      <c r="A412" s="3" t="inlineStr">
        <is>
          <t>PKG-16::L-003</t>
        </is>
      </c>
      <c r="B412" s="3" t="inlineStr">
        <is>
          <t>PKG-16</t>
        </is>
      </c>
      <c r="C412" s="3" t="inlineStr">
        <is>
          <t>DEL-16.03</t>
        </is>
      </c>
      <c r="D412" s="3" t="inlineStr">
        <is>
          <t>L-003</t>
        </is>
      </c>
      <c r="E412" s="3" t="inlineStr">
        <is>
          <t>E</t>
        </is>
      </c>
      <c r="F412" s="3" t="inlineStr">
        <is>
          <t>PKG-16</t>
        </is>
      </c>
      <c r="G412" s="3" t="inlineStr">
        <is>
          <t>DEL-16.03</t>
        </is>
      </c>
      <c r="H412" s="3" t="inlineStr">
        <is>
          <t>Mechanical engineering design - Valve Design Calculations</t>
        </is>
      </c>
      <c r="I412" s="22" t="n">
        <v>1</v>
      </c>
      <c r="J412" s="3" t="inlineStr">
        <is>
          <t>LS</t>
        </is>
      </c>
      <c r="K412" s="39" t="n">
        <v>116250</v>
      </c>
      <c r="L412" s="35" t="n">
        <v>116250</v>
      </c>
      <c r="M412" s="3" t="inlineStr">
        <is>
          <t>CAD</t>
        </is>
      </c>
      <c r="N412" s="3" t="inlineStr">
        <is>
          <t>ALLOWANCE</t>
        </is>
      </c>
      <c r="O412" s="3" t="inlineStr">
        <is>
          <t>A-1613</t>
        </is>
      </c>
      <c r="P412" s="3" t="inlineStr">
        <is>
          <t>MEDIUM</t>
        </is>
      </c>
      <c r="Q412" s="3" t="inlineStr">
        <is>
          <t>Control valve sizing (Cv calculations); relief valve sizing (API 520/521); actuator sizing; 750 hours @ $155/hr per A-1613 and A-1614</t>
        </is>
      </c>
      <c r="R412" s="3">
        <f>VLOOKUP($F412,Inputs!$D$6:$E$41,2,FALSE)</f>
        <v/>
      </c>
      <c r="S412" s="36">
        <f>VLOOKUP($E412,Inputs!$A$6:$B$13,2,FALSE)*Inputs!$B$2</f>
        <v/>
      </c>
      <c r="T412" s="35">
        <f>$L412*$S412</f>
        <v/>
      </c>
      <c r="U412" s="35">
        <f>$L412+$T412</f>
        <v/>
      </c>
    </row>
    <row r="413">
      <c r="A413" s="3" t="inlineStr">
        <is>
          <t>PKG-16::L-004</t>
        </is>
      </c>
      <c r="B413" s="3" t="inlineStr">
        <is>
          <t>PKG-16</t>
        </is>
      </c>
      <c r="C413" s="3" t="inlineStr">
        <is>
          <t>DEL-16.04</t>
        </is>
      </c>
      <c r="D413" s="3" t="inlineStr">
        <is>
          <t>L-004</t>
        </is>
      </c>
      <c r="E413" s="3" t="inlineStr">
        <is>
          <t>E</t>
        </is>
      </c>
      <c r="F413" s="3" t="inlineStr">
        <is>
          <t>PKG-16</t>
        </is>
      </c>
      <c r="G413" s="3" t="inlineStr">
        <is>
          <t>DEL-16.04</t>
        </is>
      </c>
      <c r="H413" s="3" t="inlineStr">
        <is>
          <t>Mechanical engineering design - Valve Data Sheet Package</t>
        </is>
      </c>
      <c r="I413" s="22" t="n">
        <v>1</v>
      </c>
      <c r="J413" s="3" t="inlineStr">
        <is>
          <t>LS</t>
        </is>
      </c>
      <c r="K413" s="39" t="n">
        <v>178250</v>
      </c>
      <c r="L413" s="35" t="n">
        <v>178250</v>
      </c>
      <c r="M413" s="3" t="inlineStr">
        <is>
          <t>CAD</t>
        </is>
      </c>
      <c r="N413" s="3" t="inlineStr">
        <is>
          <t>ALLOWANCE</t>
        </is>
      </c>
      <c r="O413" s="3" t="inlineStr">
        <is>
          <t>A-1613</t>
        </is>
      </c>
      <c r="P413" s="3" t="inlineStr">
        <is>
          <t>MEDIUM</t>
        </is>
      </c>
      <c r="Q413" s="3" t="inlineStr">
        <is>
          <t>Individual valve datasheets for ~220 valves (control; isolation; relief; strainers; specialty); 1150 hours @ $155/hr (avg 5 hrs per datasheet) per A-1613 and A-1614</t>
        </is>
      </c>
      <c r="R413" s="3">
        <f>VLOOKUP($F413,Inputs!$D$6:$E$41,2,FALSE)</f>
        <v/>
      </c>
      <c r="S413" s="36">
        <f>VLOOKUP($E413,Inputs!$A$6:$B$13,2,FALSE)*Inputs!$B$2</f>
        <v/>
      </c>
      <c r="T413" s="35">
        <f>$L413*$S413</f>
        <v/>
      </c>
      <c r="U413" s="35">
        <f>$L413+$T413</f>
        <v/>
      </c>
    </row>
    <row r="414">
      <c r="A414" s="3" t="inlineStr">
        <is>
          <t>PKG-16::L-005</t>
        </is>
      </c>
      <c r="B414" s="3" t="inlineStr">
        <is>
          <t>PKG-16</t>
        </is>
      </c>
      <c r="C414" s="3" t="inlineStr">
        <is>
          <t>DEL-16.04</t>
        </is>
      </c>
      <c r="D414" s="3" t="inlineStr">
        <is>
          <t>L-005</t>
        </is>
      </c>
      <c r="E414" s="3" t="inlineStr">
        <is>
          <t>MAT</t>
        </is>
      </c>
      <c r="F414" s="3" t="inlineStr">
        <is>
          <t>PKG-16</t>
        </is>
      </c>
      <c r="G414" s="3" t="inlineStr">
        <is>
          <t>DEL-16.04</t>
        </is>
      </c>
      <c r="H414" s="3" t="inlineStr">
        <is>
          <t>Control valves with pneumatic actuators and positioners</t>
        </is>
      </c>
      <c r="I414" s="22" t="n">
        <v>30</v>
      </c>
      <c r="J414" s="3" t="inlineStr">
        <is>
          <t>EA</t>
        </is>
      </c>
      <c r="K414" s="39" t="n">
        <v>13900</v>
      </c>
      <c r="L414" s="35" t="n">
        <v>417000</v>
      </c>
      <c r="M414" s="3" t="inlineStr">
        <is>
          <t>CAD</t>
        </is>
      </c>
      <c r="N414" s="3" t="inlineStr">
        <is>
          <t>ALLOWANCE</t>
        </is>
      </c>
      <c r="O414" s="3" t="inlineStr">
        <is>
          <t>A-1601 + A-1606 + A-1622</t>
        </is>
      </c>
      <c r="P414" s="3" t="inlineStr">
        <is>
          <t>LOW</t>
        </is>
      </c>
      <c r="Q414" s="3" t="inlineStr">
        <is>
          <t>30 control valves (flow; pressure; level control) including pneumatic actuators; smart positioners; accessories; stainless steel 316SS; DN50-DN200 range per A-1602; unit cost per A-1606; includes positioners per A-1622</t>
        </is>
      </c>
      <c r="R414" s="3">
        <f>VLOOKUP($F414,Inputs!$D$6:$E$41,2,FALSE)</f>
        <v/>
      </c>
      <c r="S414" s="36">
        <f>VLOOKUP($E414,Inputs!$A$6:$B$13,2,FALSE)*Inputs!$B$2</f>
        <v/>
      </c>
      <c r="T414" s="35">
        <f>$L414*$S414</f>
        <v/>
      </c>
      <c r="U414" s="35">
        <f>$L414+$T414</f>
        <v/>
      </c>
    </row>
    <row r="415">
      <c r="A415" s="3" t="inlineStr">
        <is>
          <t>PKG-16::L-006</t>
        </is>
      </c>
      <c r="B415" s="3" t="inlineStr">
        <is>
          <t>PKG-16</t>
        </is>
      </c>
      <c r="C415" s="3" t="inlineStr">
        <is>
          <t>DEL-16.04</t>
        </is>
      </c>
      <c r="D415" s="3" t="inlineStr">
        <is>
          <t>L-006</t>
        </is>
      </c>
      <c r="E415" s="3" t="inlineStr">
        <is>
          <t>MAT</t>
        </is>
      </c>
      <c r="F415" s="3" t="inlineStr">
        <is>
          <t>PKG-16</t>
        </is>
      </c>
      <c r="G415" s="3" t="inlineStr">
        <is>
          <t>DEL-16.04</t>
        </is>
      </c>
      <c r="H415" s="3" t="inlineStr">
        <is>
          <t>Isolation valves - manual (gate/ball/butterfly)</t>
        </is>
      </c>
      <c r="I415" s="22" t="n">
        <v>92</v>
      </c>
      <c r="J415" s="3" t="inlineStr">
        <is>
          <t>EA</t>
        </is>
      </c>
      <c r="K415" s="39" t="n">
        <v>3880</v>
      </c>
      <c r="L415" s="35" t="n">
        <v>357000</v>
      </c>
      <c r="M415" s="3" t="inlineStr">
        <is>
          <t>CAD</t>
        </is>
      </c>
      <c r="N415" s="3" t="inlineStr">
        <is>
          <t>ALLOWANCE</t>
        </is>
      </c>
      <c r="O415" s="3" t="inlineStr">
        <is>
          <t>A-1601 + A-1606 + A-1608</t>
        </is>
      </c>
      <c r="P415" s="3" t="inlineStr">
        <is>
          <t>LOW</t>
        </is>
      </c>
      <c r="Q415" s="3" t="inlineStr">
        <is>
          <t>92 manual isolation valves (block service; maintenance isolation); stainless steel 316SS; handwheel operated; DN50-DN300 range per A-1602; unit cost per A-1606; 68% of isolation valves manual per A-1604</t>
        </is>
      </c>
      <c r="R415" s="3">
        <f>VLOOKUP($F415,Inputs!$D$6:$E$41,2,FALSE)</f>
        <v/>
      </c>
      <c r="S415" s="36">
        <f>VLOOKUP($E415,Inputs!$A$6:$B$13,2,FALSE)*Inputs!$B$2</f>
        <v/>
      </c>
      <c r="T415" s="35">
        <f>$L415*$S415</f>
        <v/>
      </c>
      <c r="U415" s="35">
        <f>$L415+$T415</f>
        <v/>
      </c>
    </row>
    <row r="416">
      <c r="A416" s="3" t="inlineStr">
        <is>
          <t>PKG-16::L-007</t>
        </is>
      </c>
      <c r="B416" s="3" t="inlineStr">
        <is>
          <t>PKG-16</t>
        </is>
      </c>
      <c r="C416" s="3" t="inlineStr">
        <is>
          <t>DEL-16.04</t>
        </is>
      </c>
      <c r="D416" s="3" t="inlineStr">
        <is>
          <t>L-007</t>
        </is>
      </c>
      <c r="E416" s="3" t="inlineStr">
        <is>
          <t>MAT</t>
        </is>
      </c>
      <c r="F416" s="3" t="inlineStr">
        <is>
          <t>PKG-16</t>
        </is>
      </c>
      <c r="G416" s="3" t="inlineStr">
        <is>
          <t>DEL-16.04</t>
        </is>
      </c>
      <c r="H416" s="3" t="inlineStr">
        <is>
          <t>Isolation valves - pneumatic actuated</t>
        </is>
      </c>
      <c r="I416" s="22" t="n">
        <v>36</v>
      </c>
      <c r="J416" s="3" t="inlineStr">
        <is>
          <t>EA</t>
        </is>
      </c>
      <c r="K416" s="39" t="n">
        <v>8940</v>
      </c>
      <c r="L416" s="35" t="n">
        <v>322000</v>
      </c>
      <c r="M416" s="3" t="inlineStr">
        <is>
          <t>CAD</t>
        </is>
      </c>
      <c r="N416" s="3" t="inlineStr">
        <is>
          <t>ALLOWANCE</t>
        </is>
      </c>
      <c r="O416" s="3" t="inlineStr">
        <is>
          <t>A-1601 + A-1606 + A-1604</t>
        </is>
      </c>
      <c r="P416" s="3" t="inlineStr">
        <is>
          <t>LOW</t>
        </is>
      </c>
      <c r="Q416" s="3" t="inlineStr">
        <is>
          <t>36 pneumatic automated isolation valves (ESD service; seasonal operation); stainless steel 316SS; includes pneumatic actuators; limit switches; DN50-DN200 range per A-1602 and A-1604; unit cost per A-1606</t>
        </is>
      </c>
      <c r="R416" s="3">
        <f>VLOOKUP($F416,Inputs!$D$6:$E$41,2,FALSE)</f>
        <v/>
      </c>
      <c r="S416" s="36">
        <f>VLOOKUP($E416,Inputs!$A$6:$B$13,2,FALSE)*Inputs!$B$2</f>
        <v/>
      </c>
      <c r="T416" s="35">
        <f>$L416*$S416</f>
        <v/>
      </c>
      <c r="U416" s="35">
        <f>$L416+$T416</f>
        <v/>
      </c>
    </row>
    <row r="417">
      <c r="A417" s="3" t="inlineStr">
        <is>
          <t>PKG-16::L-008</t>
        </is>
      </c>
      <c r="B417" s="3" t="inlineStr">
        <is>
          <t>PKG-16</t>
        </is>
      </c>
      <c r="C417" s="3" t="inlineStr">
        <is>
          <t>DEL-16.04</t>
        </is>
      </c>
      <c r="D417" s="3" t="inlineStr">
        <is>
          <t>L-008</t>
        </is>
      </c>
      <c r="E417" s="3" t="inlineStr">
        <is>
          <t>MAT</t>
        </is>
      </c>
      <c r="F417" s="3" t="inlineStr">
        <is>
          <t>PKG-16</t>
        </is>
      </c>
      <c r="G417" s="3" t="inlineStr">
        <is>
          <t>DEL-16.04</t>
        </is>
      </c>
      <c r="H417" s="3" t="inlineStr">
        <is>
          <t>Isolation valves - electric actuated (MOV)</t>
        </is>
      </c>
      <c r="I417" s="22" t="n">
        <v>22</v>
      </c>
      <c r="J417" s="3" t="inlineStr">
        <is>
          <t>EA</t>
        </is>
      </c>
      <c r="K417" s="39" t="n">
        <v>14270</v>
      </c>
      <c r="L417" s="35" t="n">
        <v>314000</v>
      </c>
      <c r="M417" s="3" t="inlineStr">
        <is>
          <t>CAD</t>
        </is>
      </c>
      <c r="N417" s="3" t="inlineStr">
        <is>
          <t>ALLOWANCE</t>
        </is>
      </c>
      <c r="O417" s="3" t="inlineStr">
        <is>
          <t>A-1601 + A-1606 + A-1604</t>
        </is>
      </c>
      <c r="P417" s="3" t="inlineStr">
        <is>
          <t>LOW</t>
        </is>
      </c>
      <c r="Q417" s="3" t="inlineStr">
        <is>
          <t>22 electric motor-operated valves (large isolation; tank isolation); stainless steel 316SS; includes motor operators; limit switches; DN150-DN300 range per A-1602 and A-1604; hazardous area rated per A-1639; unit cost per A-1606 and A-1626</t>
        </is>
      </c>
      <c r="R417" s="3">
        <f>VLOOKUP($F417,Inputs!$D$6:$E$41,2,FALSE)</f>
        <v/>
      </c>
      <c r="S417" s="36">
        <f>VLOOKUP($E417,Inputs!$A$6:$B$13,2,FALSE)*Inputs!$B$2</f>
        <v/>
      </c>
      <c r="T417" s="35">
        <f>$L417*$S417</f>
        <v/>
      </c>
      <c r="U417" s="35">
        <f>$L417+$T417</f>
        <v/>
      </c>
    </row>
    <row r="418">
      <c r="A418" s="3" t="inlineStr">
        <is>
          <t>PKG-16::L-009</t>
        </is>
      </c>
      <c r="B418" s="3" t="inlineStr">
        <is>
          <t>PKG-16</t>
        </is>
      </c>
      <c r="C418" s="3" t="inlineStr">
        <is>
          <t>DEL-16.04</t>
        </is>
      </c>
      <c r="D418" s="3" t="inlineStr">
        <is>
          <t>L-009</t>
        </is>
      </c>
      <c r="E418" s="3" t="inlineStr">
        <is>
          <t>MAT</t>
        </is>
      </c>
      <c r="F418" s="3" t="inlineStr">
        <is>
          <t>PKG-16</t>
        </is>
      </c>
      <c r="G418" s="3" t="inlineStr">
        <is>
          <t>DEL-16.04</t>
        </is>
      </c>
      <c r="H418" s="3" t="inlineStr">
        <is>
          <t>Relief valves (API 526 pressure relief)</t>
        </is>
      </c>
      <c r="I418" s="22" t="n">
        <v>20</v>
      </c>
      <c r="J418" s="3" t="inlineStr">
        <is>
          <t>EA</t>
        </is>
      </c>
      <c r="K418" s="39" t="n">
        <v>6700</v>
      </c>
      <c r="L418" s="35" t="n">
        <v>134000</v>
      </c>
      <c r="M418" s="3" t="inlineStr">
        <is>
          <t>CAD</t>
        </is>
      </c>
      <c r="N418" s="3" t="inlineStr">
        <is>
          <t>ALLOWANCE</t>
        </is>
      </c>
      <c r="O418" s="3" t="inlineStr">
        <is>
          <t>A-1601 + A-1606 + A-1609</t>
        </is>
      </c>
      <c r="P418" s="3" t="inlineStr">
        <is>
          <t>LOW</t>
        </is>
      </c>
      <c r="Q418" s="3" t="inlineStr">
        <is>
          <t>20 pressure relief valves (tank relief; pump relief; thermal relief); API 526 flanged steel PRVs; stainless steel; ASME stamped; DN25-DN150 range per A-1602; includes set pressure FAT per A-1624; unit cost per A-1606</t>
        </is>
      </c>
      <c r="R418" s="3">
        <f>VLOOKUP($F418,Inputs!$D$6:$E$41,2,FALSE)</f>
        <v/>
      </c>
      <c r="S418" s="36">
        <f>VLOOKUP($E418,Inputs!$A$6:$B$13,2,FALSE)*Inputs!$B$2</f>
        <v/>
      </c>
      <c r="T418" s="35">
        <f>$L418*$S418</f>
        <v/>
      </c>
      <c r="U418" s="35">
        <f>$L418+$T418</f>
        <v/>
      </c>
    </row>
    <row r="419">
      <c r="A419" s="3" t="inlineStr">
        <is>
          <t>PKG-16::L-010</t>
        </is>
      </c>
      <c r="B419" s="3" t="inlineStr">
        <is>
          <t>PKG-16</t>
        </is>
      </c>
      <c r="C419" s="3" t="inlineStr">
        <is>
          <t>DEL-16.04</t>
        </is>
      </c>
      <c r="D419" s="3" t="inlineStr">
        <is>
          <t>L-010</t>
        </is>
      </c>
      <c r="E419" s="3" t="inlineStr">
        <is>
          <t>MAT</t>
        </is>
      </c>
      <c r="F419" s="3" t="inlineStr">
        <is>
          <t>PKG-16</t>
        </is>
      </c>
      <c r="G419" s="3" t="inlineStr">
        <is>
          <t>DEL-16.04</t>
        </is>
      </c>
      <c r="H419" s="3" t="inlineStr">
        <is>
          <t>Strainers (Y-type and basket)</t>
        </is>
      </c>
      <c r="I419" s="22" t="n">
        <v>20</v>
      </c>
      <c r="J419" s="3" t="inlineStr">
        <is>
          <t>EA</t>
        </is>
      </c>
      <c r="K419" s="39" t="n">
        <v>3550</v>
      </c>
      <c r="L419" s="35" t="n">
        <v>71000</v>
      </c>
      <c r="M419" s="3" t="inlineStr">
        <is>
          <t>CAD</t>
        </is>
      </c>
      <c r="N419" s="3" t="inlineStr">
        <is>
          <t>ALLOWANCE</t>
        </is>
      </c>
      <c r="O419" s="3" t="inlineStr">
        <is>
          <t>A-1601 + A-1606 + A-1610</t>
        </is>
      </c>
      <c r="P419" s="3" t="inlineStr">
        <is>
          <t>LOW</t>
        </is>
      </c>
      <c r="Q419" s="3" t="inlineStr">
        <is>
          <t>20 strainers (pump suction protection; meter protection); Y-type or basket style; stainless steel 316SS; DN50-DN200 range per A-1610; unit cost per A-1606</t>
        </is>
      </c>
      <c r="R419" s="3">
        <f>VLOOKUP($F419,Inputs!$D$6:$E$41,2,FALSE)</f>
        <v/>
      </c>
      <c r="S419" s="36">
        <f>VLOOKUP($E419,Inputs!$A$6:$B$13,2,FALSE)*Inputs!$B$2</f>
        <v/>
      </c>
      <c r="T419" s="35">
        <f>$L419*$S419</f>
        <v/>
      </c>
      <c r="U419" s="35">
        <f>$L419+$T419</f>
        <v/>
      </c>
    </row>
    <row r="420">
      <c r="A420" s="3" t="inlineStr">
        <is>
          <t>PKG-16::L-011</t>
        </is>
      </c>
      <c r="B420" s="3" t="inlineStr">
        <is>
          <t>PKG-16</t>
        </is>
      </c>
      <c r="C420" s="3" t="inlineStr">
        <is>
          <t>DEL-16.04</t>
        </is>
      </c>
      <c r="D420" s="3" t="inlineStr">
        <is>
          <t>L-011</t>
        </is>
      </c>
      <c r="E420" s="3" t="inlineStr">
        <is>
          <t>MAT</t>
        </is>
      </c>
      <c r="F420" s="3" t="inlineStr">
        <is>
          <t>PKG-16</t>
        </is>
      </c>
      <c r="G420" s="3" t="inlineStr">
        <is>
          <t>DEL-16.04</t>
        </is>
      </c>
      <c r="H420" s="3" t="inlineStr">
        <is>
          <t>Check valves (swing/wafer/dual-plate)</t>
        </is>
      </c>
      <c r="I420" s="22" t="n">
        <v>20</v>
      </c>
      <c r="J420" s="3" t="inlineStr">
        <is>
          <t>EA</t>
        </is>
      </c>
      <c r="K420" s="39" t="n">
        <v>3120</v>
      </c>
      <c r="L420" s="35" t="n">
        <v>62400</v>
      </c>
      <c r="M420" s="3" t="inlineStr">
        <is>
          <t>CAD</t>
        </is>
      </c>
      <c r="N420" s="3" t="inlineStr">
        <is>
          <t>ALLOWANCE</t>
        </is>
      </c>
      <c r="O420" s="3" t="inlineStr">
        <is>
          <t>A-1601 + A-1606 + A-1611</t>
        </is>
      </c>
      <c r="P420" s="3" t="inlineStr">
        <is>
          <t>LOW</t>
        </is>
      </c>
      <c r="Q420" s="3" t="inlineStr">
        <is>
          <t>20 check valves (backflow prevention; pump discharge; gravity feed protection); swing or wafer style; stainless steel 316SS; DN50-DN300 range per A-1611; unit cost per A-1606</t>
        </is>
      </c>
      <c r="R420" s="3">
        <f>VLOOKUP($F420,Inputs!$D$6:$E$41,2,FALSE)</f>
        <v/>
      </c>
      <c r="S420" s="36">
        <f>VLOOKUP($E420,Inputs!$A$6:$B$13,2,FALSE)*Inputs!$B$2</f>
        <v/>
      </c>
      <c r="T420" s="35">
        <f>$L420*$S420</f>
        <v/>
      </c>
      <c r="U420" s="35">
        <f>$L420+$T420</f>
        <v/>
      </c>
    </row>
    <row r="421">
      <c r="A421" s="3" t="inlineStr">
        <is>
          <t>PKG-16::L-012</t>
        </is>
      </c>
      <c r="B421" s="3" t="inlineStr">
        <is>
          <t>PKG-16</t>
        </is>
      </c>
      <c r="C421" s="3" t="inlineStr">
        <is>
          <t>DEL-16.05</t>
        </is>
      </c>
      <c r="D421" s="3" t="inlineStr">
        <is>
          <t>L-012</t>
        </is>
      </c>
      <c r="E421" s="3" t="inlineStr">
        <is>
          <t>CD</t>
        </is>
      </c>
      <c r="F421" s="3" t="inlineStr">
        <is>
          <t>PKG-16</t>
        </is>
      </c>
      <c r="G421" s="3" t="inlineStr">
        <is>
          <t>DEL-16.05</t>
        </is>
      </c>
      <c r="H421" s="3" t="inlineStr">
        <is>
          <t>Control valve installation and hookup</t>
        </is>
      </c>
      <c r="I421" s="22" t="n">
        <v>30</v>
      </c>
      <c r="J421" s="3" t="inlineStr">
        <is>
          <t>EA</t>
        </is>
      </c>
      <c r="K421" s="39" t="n">
        <v>760</v>
      </c>
      <c r="L421" s="35" t="n">
        <v>22800</v>
      </c>
      <c r="M421" s="3" t="inlineStr">
        <is>
          <t>CAD</t>
        </is>
      </c>
      <c r="N421" s="3" t="inlineStr">
        <is>
          <t>ALLOWANCE</t>
        </is>
      </c>
      <c r="O421" s="3" t="inlineStr">
        <is>
          <t>A-1607 + A-1612 + A-1620 + A-1621</t>
        </is>
      </c>
      <c r="P421" s="3" t="inlineStr">
        <is>
          <t>MEDIUM</t>
        </is>
      </c>
      <c r="Q421" s="3" t="inlineStr">
        <is>
          <t>Control valve installation (rigging; bolting; alignment; pneumatic hookup; positioner calibration; stroking test); avg 8 hrs per valve @ $95/hr all-in rate per A-1607 and A-1612</t>
        </is>
      </c>
      <c r="R421" s="3">
        <f>VLOOKUP($F421,Inputs!$D$6:$E$41,2,FALSE)</f>
        <v/>
      </c>
      <c r="S421" s="36">
        <f>VLOOKUP($E421,Inputs!$A$6:$B$13,2,FALSE)*Inputs!$B$2</f>
        <v/>
      </c>
      <c r="T421" s="35">
        <f>$L421*$S421</f>
        <v/>
      </c>
      <c r="U421" s="35">
        <f>$L421+$T421</f>
        <v/>
      </c>
    </row>
    <row r="422">
      <c r="A422" s="3" t="inlineStr">
        <is>
          <t>PKG-16::L-013</t>
        </is>
      </c>
      <c r="B422" s="3" t="inlineStr">
        <is>
          <t>PKG-16</t>
        </is>
      </c>
      <c r="C422" s="3" t="inlineStr">
        <is>
          <t>DEL-16.05</t>
        </is>
      </c>
      <c r="D422" s="3" t="inlineStr">
        <is>
          <t>L-013</t>
        </is>
      </c>
      <c r="E422" s="3" t="inlineStr">
        <is>
          <t>CD</t>
        </is>
      </c>
      <c r="F422" s="3" t="inlineStr">
        <is>
          <t>PKG-16</t>
        </is>
      </c>
      <c r="G422" s="3" t="inlineStr">
        <is>
          <t>DEL-16.05</t>
        </is>
      </c>
      <c r="H422" s="3" t="inlineStr">
        <is>
          <t>Isolation valve installation - manual</t>
        </is>
      </c>
      <c r="I422" s="22" t="n">
        <v>92</v>
      </c>
      <c r="J422" s="3" t="inlineStr">
        <is>
          <t>EA</t>
        </is>
      </c>
      <c r="K422" s="39" t="n">
        <v>600</v>
      </c>
      <c r="L422" s="35" t="n">
        <v>55200</v>
      </c>
      <c r="M422" s="3" t="inlineStr">
        <is>
          <t>CAD</t>
        </is>
      </c>
      <c r="N422" s="3" t="inlineStr">
        <is>
          <t>ALLOWANCE</t>
        </is>
      </c>
      <c r="O422" s="3" t="inlineStr">
        <is>
          <t>A-1607 + A-1612 + A-1620</t>
        </is>
      </c>
      <c r="P422" s="3" t="inlineStr">
        <is>
          <t>MEDIUM</t>
        </is>
      </c>
      <c r="Q422" s="3" t="inlineStr">
        <is>
          <t>Manual isolation valve installation (rigging; bolting; gasket installation; alignment; hydrostatic test support); avg 6 hrs per valve @ $95/hr per A-1607 and A-1620</t>
        </is>
      </c>
      <c r="R422" s="3">
        <f>VLOOKUP($F422,Inputs!$D$6:$E$41,2,FALSE)</f>
        <v/>
      </c>
      <c r="S422" s="36">
        <f>VLOOKUP($E422,Inputs!$A$6:$B$13,2,FALSE)*Inputs!$B$2</f>
        <v/>
      </c>
      <c r="T422" s="35">
        <f>$L422*$S422</f>
        <v/>
      </c>
      <c r="U422" s="35">
        <f>$L422+$T422</f>
        <v/>
      </c>
    </row>
    <row r="423">
      <c r="A423" s="3" t="inlineStr">
        <is>
          <t>PKG-16::L-014</t>
        </is>
      </c>
      <c r="B423" s="3" t="inlineStr">
        <is>
          <t>PKG-16</t>
        </is>
      </c>
      <c r="C423" s="3" t="inlineStr">
        <is>
          <t>DEL-16.05</t>
        </is>
      </c>
      <c r="D423" s="3" t="inlineStr">
        <is>
          <t>L-014</t>
        </is>
      </c>
      <c r="E423" s="3" t="inlineStr">
        <is>
          <t>CD</t>
        </is>
      </c>
      <c r="F423" s="3" t="inlineStr">
        <is>
          <t>PKG-16</t>
        </is>
      </c>
      <c r="G423" s="3" t="inlineStr">
        <is>
          <t>DEL-16.05</t>
        </is>
      </c>
      <c r="H423" s="3" t="inlineStr">
        <is>
          <t>Isolation valve installation - pneumatic actuated</t>
        </is>
      </c>
      <c r="I423" s="22" t="n">
        <v>36</v>
      </c>
      <c r="J423" s="3" t="inlineStr">
        <is>
          <t>EA</t>
        </is>
      </c>
      <c r="K423" s="39" t="n">
        <v>855</v>
      </c>
      <c r="L423" s="35" t="n">
        <v>30800</v>
      </c>
      <c r="M423" s="3" t="inlineStr">
        <is>
          <t>CAD</t>
        </is>
      </c>
      <c r="N423" s="3" t="inlineStr">
        <is>
          <t>ALLOWANCE</t>
        </is>
      </c>
      <c r="O423" s="3" t="inlineStr">
        <is>
          <t>A-1607 + A-1612 + A-1620 + A-1621</t>
        </is>
      </c>
      <c r="P423" s="3" t="inlineStr">
        <is>
          <t>MEDIUM</t>
        </is>
      </c>
      <c r="Q423" s="3" t="inlineStr">
        <is>
          <t>Pneumatic automated isolation valve installation (valve installation 6 hrs + pneumatic hookup 3 hrs per A-1621); avg 9 hrs per valve @ $95/hr; includes air tubing; air set; limit switch wiring; leak check; stroking test per A-1620 and A-1621</t>
        </is>
      </c>
      <c r="R423" s="3">
        <f>VLOOKUP($F423,Inputs!$D$6:$E$41,2,FALSE)</f>
        <v/>
      </c>
      <c r="S423" s="36">
        <f>VLOOKUP($E423,Inputs!$A$6:$B$13,2,FALSE)*Inputs!$B$2</f>
        <v/>
      </c>
      <c r="T423" s="35">
        <f>$L423*$S423</f>
        <v/>
      </c>
      <c r="U423" s="35">
        <f>$L423+$T423</f>
        <v/>
      </c>
    </row>
    <row r="424">
      <c r="A424" s="3" t="inlineStr">
        <is>
          <t>PKG-16::L-015</t>
        </is>
      </c>
      <c r="B424" s="3" t="inlineStr">
        <is>
          <t>PKG-16</t>
        </is>
      </c>
      <c r="C424" s="3" t="inlineStr">
        <is>
          <t>DEL-16.05</t>
        </is>
      </c>
      <c r="D424" s="3" t="inlineStr">
        <is>
          <t>L-015</t>
        </is>
      </c>
      <c r="E424" s="3" t="inlineStr">
        <is>
          <t>CD</t>
        </is>
      </c>
      <c r="F424" s="3" t="inlineStr">
        <is>
          <t>PKG-16</t>
        </is>
      </c>
      <c r="G424" s="3" t="inlineStr">
        <is>
          <t>DEL-16.05</t>
        </is>
      </c>
      <c r="H424" s="3" t="inlineStr">
        <is>
          <t>Isolation valve installation - electric actuated (MOV)</t>
        </is>
      </c>
      <c r="I424" s="22" t="n">
        <v>22</v>
      </c>
      <c r="J424" s="3" t="inlineStr">
        <is>
          <t>EA</t>
        </is>
      </c>
      <c r="K424" s="39" t="n">
        <v>1200</v>
      </c>
      <c r="L424" s="35" t="n">
        <v>26400</v>
      </c>
      <c r="M424" s="3" t="inlineStr">
        <is>
          <t>CAD</t>
        </is>
      </c>
      <c r="N424" s="3" t="inlineStr">
        <is>
          <t>ALLOWANCE</t>
        </is>
      </c>
      <c r="O424" s="3" t="inlineStr">
        <is>
          <t>A-1607 + A-1612 + A-1620 + A-1621</t>
        </is>
      </c>
      <c r="P424" s="3" t="inlineStr">
        <is>
          <t>MEDIUM</t>
        </is>
      </c>
      <c r="Q424" s="3" t="inlineStr">
        <is>
          <t>Electric motor-operated valve installation (valve installation 8 hrs + electrical hookup 4 hrs per A-1621); avg 12 hrs per valve @ $95/hr; includes conduit/cable; terminations; motor test; limit switch wiring; stroking test per A-1620 and A-1621</t>
        </is>
      </c>
      <c r="R424" s="3">
        <f>VLOOKUP($F424,Inputs!$D$6:$E$41,2,FALSE)</f>
        <v/>
      </c>
      <c r="S424" s="36">
        <f>VLOOKUP($E424,Inputs!$A$6:$B$13,2,FALSE)*Inputs!$B$2</f>
        <v/>
      </c>
      <c r="T424" s="35">
        <f>$L424*$S424</f>
        <v/>
      </c>
      <c r="U424" s="35">
        <f>$L424+$T424</f>
        <v/>
      </c>
    </row>
    <row r="425">
      <c r="A425" s="3" t="inlineStr">
        <is>
          <t>PKG-16::L-016</t>
        </is>
      </c>
      <c r="B425" s="3" t="inlineStr">
        <is>
          <t>PKG-16</t>
        </is>
      </c>
      <c r="C425" s="3" t="inlineStr">
        <is>
          <t>DEL-16.05</t>
        </is>
      </c>
      <c r="D425" s="3" t="inlineStr">
        <is>
          <t>L-016</t>
        </is>
      </c>
      <c r="E425" s="3" t="inlineStr">
        <is>
          <t>CD</t>
        </is>
      </c>
      <c r="F425" s="3" t="inlineStr">
        <is>
          <t>PKG-16</t>
        </is>
      </c>
      <c r="G425" s="3" t="inlineStr">
        <is>
          <t>DEL-16.05</t>
        </is>
      </c>
      <c r="H425" s="3" t="inlineStr">
        <is>
          <t>Relief valve installation and verification</t>
        </is>
      </c>
      <c r="I425" s="22" t="n">
        <v>20</v>
      </c>
      <c r="J425" s="3" t="inlineStr">
        <is>
          <t>EA</t>
        </is>
      </c>
      <c r="K425" s="39" t="n">
        <v>475</v>
      </c>
      <c r="L425" s="35" t="n">
        <v>9500</v>
      </c>
      <c r="M425" s="3" t="inlineStr">
        <is>
          <t>CAD</t>
        </is>
      </c>
      <c r="N425" s="3" t="inlineStr">
        <is>
          <t>ALLOWANCE</t>
        </is>
      </c>
      <c r="O425" s="3" t="inlineStr">
        <is>
          <t>A-1607 + A-1612 + A-1620</t>
        </is>
      </c>
      <c r="P425" s="3" t="inlineStr">
        <is>
          <t>MEDIUM</t>
        </is>
      </c>
      <c r="Q425" s="3" t="inlineStr">
        <is>
          <t>Relief valve installation (rigging; bolting; alignment; discharge piping interface; field verification per A-1630); avg 5 hrs per valve @ $95/hr per A-1607 and A-1620; set pressure FAT by vendor (included in valve cost per A-1624)</t>
        </is>
      </c>
      <c r="R425" s="3">
        <f>VLOOKUP($F425,Inputs!$D$6:$E$41,2,FALSE)</f>
        <v/>
      </c>
      <c r="S425" s="36">
        <f>VLOOKUP($E425,Inputs!$A$6:$B$13,2,FALSE)*Inputs!$B$2</f>
        <v/>
      </c>
      <c r="T425" s="35">
        <f>$L425*$S425</f>
        <v/>
      </c>
      <c r="U425" s="35">
        <f>$L425+$T425</f>
        <v/>
      </c>
    </row>
    <row r="426">
      <c r="A426" s="3" t="inlineStr">
        <is>
          <t>PKG-16::L-017</t>
        </is>
      </c>
      <c r="B426" s="3" t="inlineStr">
        <is>
          <t>PKG-16</t>
        </is>
      </c>
      <c r="C426" s="3" t="inlineStr">
        <is>
          <t>DEL-16.05</t>
        </is>
      </c>
      <c r="D426" s="3" t="inlineStr">
        <is>
          <t>L-017</t>
        </is>
      </c>
      <c r="E426" s="3" t="inlineStr">
        <is>
          <t>CD</t>
        </is>
      </c>
      <c r="F426" s="3" t="inlineStr">
        <is>
          <t>PKG-16</t>
        </is>
      </c>
      <c r="G426" s="3" t="inlineStr">
        <is>
          <t>DEL-16.05</t>
        </is>
      </c>
      <c r="H426" s="3" t="inlineStr">
        <is>
          <t>Strainer installation</t>
        </is>
      </c>
      <c r="I426" s="22" t="n">
        <v>20</v>
      </c>
      <c r="J426" s="3" t="inlineStr">
        <is>
          <t>EA</t>
        </is>
      </c>
      <c r="K426" s="39" t="n">
        <v>380</v>
      </c>
      <c r="L426" s="35" t="n">
        <v>7600</v>
      </c>
      <c r="M426" s="3" t="inlineStr">
        <is>
          <t>CAD</t>
        </is>
      </c>
      <c r="N426" s="3" t="inlineStr">
        <is>
          <t>ALLOWANCE</t>
        </is>
      </c>
      <c r="O426" s="3" t="inlineStr">
        <is>
          <t>A-1607 + A-1612 + A-1620</t>
        </is>
      </c>
      <c r="P426" s="3" t="inlineStr">
        <is>
          <t>MEDIUM</t>
        </is>
      </c>
      <c r="Q426" s="3" t="inlineStr">
        <is>
          <t>Strainer installation (rigging; bolting; alignment; blowdown piping; access platform if required); avg 4 hrs per valve @ $95/hr per A-1607 and A-1620</t>
        </is>
      </c>
      <c r="R426" s="3">
        <f>VLOOKUP($F426,Inputs!$D$6:$E$41,2,FALSE)</f>
        <v/>
      </c>
      <c r="S426" s="36">
        <f>VLOOKUP($E426,Inputs!$A$6:$B$13,2,FALSE)*Inputs!$B$2</f>
        <v/>
      </c>
      <c r="T426" s="35">
        <f>$L426*$S426</f>
        <v/>
      </c>
      <c r="U426" s="35">
        <f>$L426+$T426</f>
        <v/>
      </c>
    </row>
    <row r="427">
      <c r="A427" s="3" t="inlineStr">
        <is>
          <t>PKG-16::L-018</t>
        </is>
      </c>
      <c r="B427" s="3" t="inlineStr">
        <is>
          <t>PKG-16</t>
        </is>
      </c>
      <c r="C427" s="3" t="inlineStr">
        <is>
          <t>DEL-16.05</t>
        </is>
      </c>
      <c r="D427" s="3" t="inlineStr">
        <is>
          <t>L-018</t>
        </is>
      </c>
      <c r="E427" s="3" t="inlineStr">
        <is>
          <t>CD</t>
        </is>
      </c>
      <c r="F427" s="3" t="inlineStr">
        <is>
          <t>PKG-16</t>
        </is>
      </c>
      <c r="G427" s="3" t="inlineStr">
        <is>
          <t>DEL-16.05</t>
        </is>
      </c>
      <c r="H427" s="3" t="inlineStr">
        <is>
          <t>Check valve installation</t>
        </is>
      </c>
      <c r="I427" s="22" t="n">
        <v>20</v>
      </c>
      <c r="J427" s="3" t="inlineStr">
        <is>
          <t>EA</t>
        </is>
      </c>
      <c r="K427" s="39" t="n">
        <v>285</v>
      </c>
      <c r="L427" s="35" t="n">
        <v>5700</v>
      </c>
      <c r="M427" s="3" t="inlineStr">
        <is>
          <t>CAD</t>
        </is>
      </c>
      <c r="N427" s="3" t="inlineStr">
        <is>
          <t>ALLOWANCE</t>
        </is>
      </c>
      <c r="O427" s="3" t="inlineStr">
        <is>
          <t>A-1607 + A-1612 + A-1620</t>
        </is>
      </c>
      <c r="P427" s="3" t="inlineStr">
        <is>
          <t>MEDIUM</t>
        </is>
      </c>
      <c r="Q427" s="3" t="inlineStr">
        <is>
          <t>Check valve installation (rigging; bolting; orientation verification; flow direction marking); avg 3 hrs per valve @ $95/hr per A-1607 and A-1620</t>
        </is>
      </c>
      <c r="R427" s="3">
        <f>VLOOKUP($F427,Inputs!$D$6:$E$41,2,FALSE)</f>
        <v/>
      </c>
      <c r="S427" s="36">
        <f>VLOOKUP($E427,Inputs!$A$6:$B$13,2,FALSE)*Inputs!$B$2</f>
        <v/>
      </c>
      <c r="T427" s="35">
        <f>$L427*$S427</f>
        <v/>
      </c>
      <c r="U427" s="35">
        <f>$L427+$T427</f>
        <v/>
      </c>
    </row>
    <row r="428">
      <c r="A428" s="3" t="inlineStr">
        <is>
          <t>PKG-16::L-019</t>
        </is>
      </c>
      <c r="B428" s="3" t="inlineStr">
        <is>
          <t>PKG-16</t>
        </is>
      </c>
      <c r="C428" s="3" t="inlineStr">
        <is>
          <t>DEL-16.05</t>
        </is>
      </c>
      <c r="D428" s="3" t="inlineStr">
        <is>
          <t>L-019</t>
        </is>
      </c>
      <c r="E428" s="3" t="inlineStr">
        <is>
          <t>CD</t>
        </is>
      </c>
      <c r="F428" s="3" t="inlineStr">
        <is>
          <t>PKG-16</t>
        </is>
      </c>
      <c r="G428" s="3" t="inlineStr">
        <is>
          <t>DEL-16.05</t>
        </is>
      </c>
      <c r="H428" s="3" t="inlineStr">
        <is>
          <t>Special tools and equipment allowance</t>
        </is>
      </c>
      <c r="I428" s="22" t="n">
        <v>1</v>
      </c>
      <c r="J428" s="3" t="inlineStr">
        <is>
          <t>LS</t>
        </is>
      </c>
      <c r="K428" s="39" t="n">
        <v>8000</v>
      </c>
      <c r="L428" s="35" t="n">
        <v>8000</v>
      </c>
      <c r="M428" s="3" t="inlineStr">
        <is>
          <t>CAD</t>
        </is>
      </c>
      <c r="N428" s="3" t="inlineStr">
        <is>
          <t>ALLOWANCE</t>
        </is>
      </c>
      <c r="O428" s="3" t="inlineStr">
        <is>
          <t>A-1633</t>
        </is>
      </c>
      <c r="P428" s="3" t="inlineStr">
        <is>
          <t>MEDIUM</t>
        </is>
      </c>
      <c r="Q428" s="3" t="inlineStr">
        <is>
          <t>Torque wrenches; hydrostatic test pump; valve repair tools; stroking test equipment; calibration tools per A-1633</t>
        </is>
      </c>
      <c r="R428" s="3">
        <f>VLOOKUP($F428,Inputs!$D$6:$E$41,2,FALSE)</f>
        <v/>
      </c>
      <c r="S428" s="36">
        <f>VLOOKUP($E428,Inputs!$A$6:$B$13,2,FALSE)*Inputs!$B$2</f>
        <v/>
      </c>
      <c r="T428" s="35">
        <f>$L428*$S428</f>
        <v/>
      </c>
      <c r="U428" s="35">
        <f>$L428+$T428</f>
        <v/>
      </c>
    </row>
    <row r="429">
      <c r="A429" s="3" t="inlineStr">
        <is>
          <t>PKG-16::L-020</t>
        </is>
      </c>
      <c r="B429" s="3" t="inlineStr">
        <is>
          <t>PKG-16</t>
        </is>
      </c>
      <c r="C429" s="3" t="n"/>
      <c r="D429" s="3" t="inlineStr">
        <is>
          <t>L-020</t>
        </is>
      </c>
      <c r="E429" s="3" t="inlineStr">
        <is>
          <t>CI</t>
        </is>
      </c>
      <c r="F429" s="3" t="inlineStr">
        <is>
          <t>PKG-16</t>
        </is>
      </c>
      <c r="G429" s="3" t="n"/>
      <c r="H429" s="3" t="inlineStr">
        <is>
          <t>Construction Indirects (factor-based)</t>
        </is>
      </c>
      <c r="I429" s="22" t="n">
        <v>1</v>
      </c>
      <c r="J429" s="3" t="inlineStr">
        <is>
          <t>LS</t>
        </is>
      </c>
      <c r="K429" s="39" t="n">
        <v>29700</v>
      </c>
      <c r="L429" s="35" t="n">
        <v>29700</v>
      </c>
      <c r="M429" s="3" t="inlineStr">
        <is>
          <t>CAD</t>
        </is>
      </c>
      <c r="N429" s="3" t="inlineStr">
        <is>
          <t>PARAMETRIC</t>
        </is>
      </c>
      <c r="O429" s="3" t="inlineStr">
        <is>
          <t>D-1620 (factor=0.18)</t>
        </is>
      </c>
      <c r="P429" s="3" t="inlineStr">
        <is>
          <t>MEDIUM</t>
        </is>
      </c>
      <c r="Q429" s="3" t="inlineStr">
        <is>
          <t>CI = 0.18 × CD ($165k); includes field supervision; QA/QC; HSE; site overhead; temporary facilities per fallback typical model and D-1608</t>
        </is>
      </c>
      <c r="R429" s="3">
        <f>VLOOKUP($F429,Inputs!$D$6:$E$41,2,FALSE)</f>
        <v/>
      </c>
      <c r="S429" s="36">
        <f>VLOOKUP($E429,Inputs!$A$6:$B$13,2,FALSE)*Inputs!$B$2</f>
        <v/>
      </c>
      <c r="T429" s="35">
        <f>$L429*$S429</f>
        <v/>
      </c>
      <c r="U429" s="35">
        <f>$L429+$T429</f>
        <v/>
      </c>
    </row>
    <row r="430">
      <c r="A430" s="3" t="inlineStr">
        <is>
          <t>PKG-16::L-021</t>
        </is>
      </c>
      <c r="B430" s="3" t="inlineStr">
        <is>
          <t>PKG-16</t>
        </is>
      </c>
      <c r="C430" s="3" t="n"/>
      <c r="D430" s="3" t="inlineStr">
        <is>
          <t>L-021</t>
        </is>
      </c>
      <c r="E430" s="3" t="inlineStr">
        <is>
          <t>P</t>
        </is>
      </c>
      <c r="F430" s="3" t="inlineStr">
        <is>
          <t>PKG-16</t>
        </is>
      </c>
      <c r="G430" s="3" t="n"/>
      <c r="H430" s="3" t="inlineStr">
        <is>
          <t>Procurement Services (factor-based)</t>
        </is>
      </c>
      <c r="I430" s="22" t="n">
        <v>1</v>
      </c>
      <c r="J430" s="3" t="inlineStr">
        <is>
          <t>LS</t>
        </is>
      </c>
      <c r="K430" s="39" t="n">
        <v>33600</v>
      </c>
      <c r="L430" s="35" t="n">
        <v>33600</v>
      </c>
      <c r="M430" s="3" t="inlineStr">
        <is>
          <t>CAD</t>
        </is>
      </c>
      <c r="N430" s="3" t="inlineStr">
        <is>
          <t>PARAMETRIC</t>
        </is>
      </c>
      <c r="O430" s="3" t="inlineStr">
        <is>
          <t>D-1620 (factor=0.02)</t>
        </is>
      </c>
      <c r="P430" s="3" t="inlineStr">
        <is>
          <t>MEDIUM</t>
        </is>
      </c>
      <c r="Q430" s="3" t="inlineStr">
        <is>
          <t>P = 0.02 × MAT ($1678k); includes vendor sourcing; PO processing; expediting; receiving inspection; material documentation; valve vendor coordination per fallback typical model and D-1608</t>
        </is>
      </c>
      <c r="R430" s="3">
        <f>VLOOKUP($F430,Inputs!$D$6:$E$41,2,FALSE)</f>
        <v/>
      </c>
      <c r="S430" s="36">
        <f>VLOOKUP($E430,Inputs!$A$6:$B$13,2,FALSE)*Inputs!$B$2</f>
        <v/>
      </c>
      <c r="T430" s="35">
        <f>$L430*$S430</f>
        <v/>
      </c>
      <c r="U430" s="35">
        <f>$L430+$T430</f>
        <v/>
      </c>
    </row>
    <row r="431">
      <c r="A431" s="3" t="inlineStr">
        <is>
          <t>PKG-16::L-022</t>
        </is>
      </c>
      <c r="B431" s="3" t="inlineStr">
        <is>
          <t>PKG-16</t>
        </is>
      </c>
      <c r="C431" s="3" t="n"/>
      <c r="D431" s="3" t="inlineStr">
        <is>
          <t>L-022</t>
        </is>
      </c>
      <c r="E431" s="3" t="inlineStr">
        <is>
          <t>PM</t>
        </is>
      </c>
      <c r="F431" s="3" t="inlineStr">
        <is>
          <t>PKG-16</t>
        </is>
      </c>
      <c r="G431" s="3" t="n"/>
      <c r="H431" s="3" t="inlineStr">
        <is>
          <t>EPCM / Project Management (factor-based)</t>
        </is>
      </c>
      <c r="I431" s="22" t="n">
        <v>1</v>
      </c>
      <c r="J431" s="3" t="inlineStr">
        <is>
          <t>LS</t>
        </is>
      </c>
      <c r="K431" s="39" t="n">
        <v>111000</v>
      </c>
      <c r="L431" s="35" t="n">
        <v>111000</v>
      </c>
      <c r="M431" s="3" t="inlineStr">
        <is>
          <t>CAD</t>
        </is>
      </c>
      <c r="N431" s="3" t="inlineStr">
        <is>
          <t>PARAMETRIC</t>
        </is>
      </c>
      <c r="O431" s="3" t="inlineStr">
        <is>
          <t>D-1620 (factor=0.06)</t>
        </is>
      </c>
      <c r="P431" s="3" t="inlineStr">
        <is>
          <t>MEDIUM</t>
        </is>
      </c>
      <c r="Q431" s="3" t="inlineStr">
        <is>
          <t>PM = 0.06 × (CD + CI + MAT) ($1873k); includes project management; engineering management; cost/schedule control; contract administration; stakeholder coordination per fallback typical model and D-1608</t>
        </is>
      </c>
      <c r="R431" s="3">
        <f>VLOOKUP($F431,Inputs!$D$6:$E$41,2,FALSE)</f>
        <v/>
      </c>
      <c r="S431" s="36">
        <f>VLOOKUP($E431,Inputs!$A$6:$B$13,2,FALSE)*Inputs!$B$2</f>
        <v/>
      </c>
      <c r="T431" s="35">
        <f>$L431*$S431</f>
        <v/>
      </c>
      <c r="U431" s="35">
        <f>$L431+$T431</f>
        <v/>
      </c>
    </row>
    <row r="432">
      <c r="A432" s="3" t="inlineStr">
        <is>
          <t>PKG-16::L-023</t>
        </is>
      </c>
      <c r="B432" s="3" t="inlineStr">
        <is>
          <t>PKG-16</t>
        </is>
      </c>
      <c r="C432" s="3" t="n"/>
      <c r="D432" s="3" t="inlineStr">
        <is>
          <t>L-023</t>
        </is>
      </c>
      <c r="E432" s="3" t="inlineStr">
        <is>
          <t>COM</t>
        </is>
      </c>
      <c r="F432" s="3" t="inlineStr">
        <is>
          <t>PKG-16</t>
        </is>
      </c>
      <c r="G432" s="3" t="n"/>
      <c r="H432" s="3" t="inlineStr">
        <is>
          <t>Commissioning (factor-based)</t>
        </is>
      </c>
      <c r="I432" s="22" t="n">
        <v>1</v>
      </c>
      <c r="J432" s="3" t="inlineStr">
        <is>
          <t>LS</t>
        </is>
      </c>
      <c r="K432" s="39" t="n">
        <v>56200</v>
      </c>
      <c r="L432" s="35" t="n">
        <v>56200</v>
      </c>
      <c r="M432" s="3" t="inlineStr">
        <is>
          <t>CAD</t>
        </is>
      </c>
      <c r="N432" s="3" t="inlineStr">
        <is>
          <t>PARAMETRIC</t>
        </is>
      </c>
      <c r="O432" s="3" t="inlineStr">
        <is>
          <t>D-1620 (factor=0.03)</t>
        </is>
      </c>
      <c r="P432" s="3" t="inlineStr">
        <is>
          <t>MEDIUM</t>
        </is>
      </c>
      <c r="Q432" s="3" t="inlineStr">
        <is>
          <t>COM = 0.03 × (CD + CI + MAT) ($1873k); includes pre-commissioning; valve stroking and functional testing per DEL-16.05; control loop checks per A-1629; relief valve field verification per A-1630; system acceptance; handover per fallback typical model and D-1608</t>
        </is>
      </c>
      <c r="R432" s="3">
        <f>VLOOKUP($F432,Inputs!$D$6:$E$41,2,FALSE)</f>
        <v/>
      </c>
      <c r="S432" s="36">
        <f>VLOOKUP($E432,Inputs!$A$6:$B$13,2,FALSE)*Inputs!$B$2</f>
        <v/>
      </c>
      <c r="T432" s="35">
        <f>$L432*$S432</f>
        <v/>
      </c>
      <c r="U432" s="35">
        <f>$L432+$T432</f>
        <v/>
      </c>
    </row>
    <row r="433">
      <c r="A433" s="3" t="inlineStr">
        <is>
          <t>PKG-17::L1701</t>
        </is>
      </c>
      <c r="B433" s="3" t="inlineStr">
        <is>
          <t>PKG-17</t>
        </is>
      </c>
      <c r="C433" s="3" t="inlineStr">
        <is>
          <t>DEL-17.01</t>
        </is>
      </c>
      <c r="D433" s="3" t="inlineStr">
        <is>
          <t>L1701</t>
        </is>
      </c>
      <c r="E433" s="3" t="inlineStr">
        <is>
          <t>E</t>
        </is>
      </c>
      <c r="F433" s="3" t="inlineStr">
        <is>
          <t>PKG-17</t>
        </is>
      </c>
      <c r="G433" s="3" t="inlineStr">
        <is>
          <t>DEL-17.01</t>
        </is>
      </c>
      <c r="H433" s="3" t="inlineStr">
        <is>
          <t>Electrical Power Design Drawing Set - single line diagrams MV/LV distribution cable schedules grounding drawings (~25 drawings)</t>
        </is>
      </c>
      <c r="I433" s="22" t="n">
        <v>1</v>
      </c>
      <c r="J433" s="3" t="inlineStr">
        <is>
          <t>LS</t>
        </is>
      </c>
      <c r="K433" s="39" t="n">
        <v>72000</v>
      </c>
      <c r="L433" s="35" t="n">
        <v>72000</v>
      </c>
      <c r="M433" s="3" t="inlineStr">
        <is>
          <t>CAD</t>
        </is>
      </c>
      <c r="N433" s="3" t="inlineStr">
        <is>
          <t>ALLOWANCE</t>
        </is>
      </c>
      <c r="O433" s="3" t="inlineStr">
        <is>
          <t>A-1701</t>
        </is>
      </c>
      <c r="P433" s="3" t="inlineStr">
        <is>
          <t>LOW</t>
        </is>
      </c>
      <c r="Q433" s="3" t="inlineStr">
        <is>
          <t>Allowance for electrical power drawing production; includes SLDs distribution layouts cable schedules grounding plans - typical electrical package complexity</t>
        </is>
      </c>
      <c r="R433" s="3">
        <f>VLOOKUP($F433,Inputs!$D$6:$E$41,2,FALSE)</f>
        <v/>
      </c>
      <c r="S433" s="36">
        <f>VLOOKUP($E433,Inputs!$A$6:$B$13,2,FALSE)*Inputs!$B$2</f>
        <v/>
      </c>
      <c r="T433" s="35">
        <f>$L433*$S433</f>
        <v/>
      </c>
      <c r="U433" s="35">
        <f>$L433+$T433</f>
        <v/>
      </c>
    </row>
    <row r="434">
      <c r="A434" s="3" t="inlineStr">
        <is>
          <t>PKG-17::L1702</t>
        </is>
      </c>
      <c r="B434" s="3" t="inlineStr">
        <is>
          <t>PKG-17</t>
        </is>
      </c>
      <c r="C434" s="3" t="inlineStr">
        <is>
          <t>DEL-17.02</t>
        </is>
      </c>
      <c r="D434" s="3" t="inlineStr">
        <is>
          <t>L1702</t>
        </is>
      </c>
      <c r="E434" s="3" t="inlineStr">
        <is>
          <t>E</t>
        </is>
      </c>
      <c r="F434" s="3" t="inlineStr">
        <is>
          <t>PKG-17</t>
        </is>
      </c>
      <c r="G434" s="3" t="inlineStr">
        <is>
          <t>DEL-17.02</t>
        </is>
      </c>
      <c r="H434" s="3" t="inlineStr">
        <is>
          <t>Electrical Power Technical Specification - specification writing (transformer switchgear MCC cable grounding specs)</t>
        </is>
      </c>
      <c r="I434" s="22" t="n">
        <v>1</v>
      </c>
      <c r="J434" s="3" t="inlineStr">
        <is>
          <t>LS</t>
        </is>
      </c>
      <c r="K434" s="39" t="n">
        <v>38000</v>
      </c>
      <c r="L434" s="35" t="n">
        <v>38000</v>
      </c>
      <c r="M434" s="3" t="inlineStr">
        <is>
          <t>CAD</t>
        </is>
      </c>
      <c r="N434" s="3" t="inlineStr">
        <is>
          <t>ALLOWANCE</t>
        </is>
      </c>
      <c r="O434" s="3" t="inlineStr">
        <is>
          <t>A-1702</t>
        </is>
      </c>
      <c r="P434" s="3" t="inlineStr">
        <is>
          <t>LOW</t>
        </is>
      </c>
      <c r="Q434" s="3" t="inlineStr">
        <is>
          <t>Allowance for electrical specification writing; includes transformer spec switchgear spec MCC spec cable spec grounding spec</t>
        </is>
      </c>
      <c r="R434" s="3">
        <f>VLOOKUP($F434,Inputs!$D$6:$E$41,2,FALSE)</f>
        <v/>
      </c>
      <c r="S434" s="36">
        <f>VLOOKUP($E434,Inputs!$A$6:$B$13,2,FALSE)*Inputs!$B$2</f>
        <v/>
      </c>
      <c r="T434" s="35">
        <f>$L434*$S434</f>
        <v/>
      </c>
      <c r="U434" s="35">
        <f>$L434+$T434</f>
        <v/>
      </c>
    </row>
    <row r="435">
      <c r="A435" s="3" t="inlineStr">
        <is>
          <t>PKG-17::L1703</t>
        </is>
      </c>
      <c r="B435" s="3" t="inlineStr">
        <is>
          <t>PKG-17</t>
        </is>
      </c>
      <c r="C435" s="3" t="inlineStr">
        <is>
          <t>DEL-17.03</t>
        </is>
      </c>
      <c r="D435" s="3" t="inlineStr">
        <is>
          <t>L1703</t>
        </is>
      </c>
      <c r="E435" s="3" t="inlineStr">
        <is>
          <t>E</t>
        </is>
      </c>
      <c r="F435" s="3" t="inlineStr">
        <is>
          <t>PKG-17</t>
        </is>
      </c>
      <c r="G435" s="3" t="inlineStr">
        <is>
          <t>DEL-17.03</t>
        </is>
      </c>
      <c r="H435" s="3" t="inlineStr">
        <is>
          <t>Electrical Power Design Calculations - load calculations short circuit protection coordination voltage drop analysis</t>
        </is>
      </c>
      <c r="I435" s="22" t="n">
        <v>1</v>
      </c>
      <c r="J435" s="3" t="inlineStr">
        <is>
          <t>LS</t>
        </is>
      </c>
      <c r="K435" s="39" t="n">
        <v>95000</v>
      </c>
      <c r="L435" s="35" t="n">
        <v>95000</v>
      </c>
      <c r="M435" s="3" t="inlineStr">
        <is>
          <t>CAD</t>
        </is>
      </c>
      <c r="N435" s="3" t="inlineStr">
        <is>
          <t>ALLOWANCE</t>
        </is>
      </c>
      <c r="O435" s="3" t="inlineStr">
        <is>
          <t>A-1703</t>
        </is>
      </c>
      <c r="P435" s="3" t="inlineStr">
        <is>
          <t>LOW</t>
        </is>
      </c>
      <c r="Q435" s="3" t="inlineStr">
        <is>
          <t>Allowance for electrical calculations; includes load flow short circuit coordination studies voltage drop cable sizing - requires P.Eng. stamp</t>
        </is>
      </c>
      <c r="R435" s="3">
        <f>VLOOKUP($F435,Inputs!$D$6:$E$41,2,FALSE)</f>
        <v/>
      </c>
      <c r="S435" s="36">
        <f>VLOOKUP($E435,Inputs!$A$6:$B$13,2,FALSE)*Inputs!$B$2</f>
        <v/>
      </c>
      <c r="T435" s="35">
        <f>$L435*$S435</f>
        <v/>
      </c>
      <c r="U435" s="35">
        <f>$L435+$T435</f>
        <v/>
      </c>
    </row>
    <row r="436">
      <c r="A436" s="3" t="inlineStr">
        <is>
          <t>PKG-17::L1704</t>
        </is>
      </c>
      <c r="B436" s="3" t="inlineStr">
        <is>
          <t>PKG-17</t>
        </is>
      </c>
      <c r="C436" s="3" t="inlineStr">
        <is>
          <t>DEL-17.04</t>
        </is>
      </c>
      <c r="D436" s="3" t="inlineStr">
        <is>
          <t>L1704</t>
        </is>
      </c>
      <c r="E436" s="3" t="inlineStr">
        <is>
          <t>E</t>
        </is>
      </c>
      <c r="F436" s="3" t="inlineStr">
        <is>
          <t>PKG-17</t>
        </is>
      </c>
      <c r="G436" s="3" t="inlineStr">
        <is>
          <t>DEL-17.04</t>
        </is>
      </c>
      <c r="H436" s="3" t="inlineStr">
        <is>
          <t>Electrical Power Data Sheet Package - equipment data sheets (transformer MCC switchgear UPS panels)</t>
        </is>
      </c>
      <c r="I436" s="22" t="n">
        <v>1</v>
      </c>
      <c r="J436" s="3" t="inlineStr">
        <is>
          <t>LS</t>
        </is>
      </c>
      <c r="K436" s="39" t="n">
        <v>22000</v>
      </c>
      <c r="L436" s="35" t="n">
        <v>22000</v>
      </c>
      <c r="M436" s="3" t="inlineStr">
        <is>
          <t>CAD</t>
        </is>
      </c>
      <c r="N436" s="3" t="inlineStr">
        <is>
          <t>ALLOWANCE</t>
        </is>
      </c>
      <c r="O436" s="3" t="inlineStr">
        <is>
          <t>A-1704</t>
        </is>
      </c>
      <c r="P436" s="3" t="inlineStr">
        <is>
          <t>LOW</t>
        </is>
      </c>
      <c r="Q436" s="3" t="inlineStr">
        <is>
          <t>Allowance for electrical data sheet compilation; includes transformer datasheets MCC datasheets switchgear datasheets UPS datasheet</t>
        </is>
      </c>
      <c r="R436" s="3">
        <f>VLOOKUP($F436,Inputs!$D$6:$E$41,2,FALSE)</f>
        <v/>
      </c>
      <c r="S436" s="36">
        <f>VLOOKUP($E436,Inputs!$A$6:$B$13,2,FALSE)*Inputs!$B$2</f>
        <v/>
      </c>
      <c r="T436" s="35">
        <f>$L436*$S436</f>
        <v/>
      </c>
      <c r="U436" s="35">
        <f>$L436+$T436</f>
        <v/>
      </c>
    </row>
    <row r="437">
      <c r="A437" s="3" t="inlineStr">
        <is>
          <t>PKG-17::L1705</t>
        </is>
      </c>
      <c r="B437" s="3" t="inlineStr">
        <is>
          <t>PKG-17</t>
        </is>
      </c>
      <c r="C437" s="3" t="inlineStr">
        <is>
          <t>DEL-17.05</t>
        </is>
      </c>
      <c r="D437" s="3" t="inlineStr">
        <is>
          <t>L1705</t>
        </is>
      </c>
      <c r="E437" s="3" t="inlineStr">
        <is>
          <t>E</t>
        </is>
      </c>
      <c r="F437" s="3" t="inlineStr">
        <is>
          <t>PKG-17</t>
        </is>
      </c>
      <c r="G437" s="3" t="inlineStr">
        <is>
          <t>DEL-17.05</t>
        </is>
      </c>
      <c r="H437" s="3" t="inlineStr">
        <is>
          <t>Electrical Power Installation &amp; Test Records - QA/QC documentation setup and record preparation (insulation tests relay tests FAT records)</t>
        </is>
      </c>
      <c r="I437" s="22" t="n">
        <v>1</v>
      </c>
      <c r="J437" s="3" t="inlineStr">
        <is>
          <t>LS</t>
        </is>
      </c>
      <c r="K437" s="39" t="n">
        <v>18000</v>
      </c>
      <c r="L437" s="35" t="n">
        <v>18000</v>
      </c>
      <c r="M437" s="3" t="inlineStr">
        <is>
          <t>CAD</t>
        </is>
      </c>
      <c r="N437" s="3" t="inlineStr">
        <is>
          <t>ALLOWANCE</t>
        </is>
      </c>
      <c r="O437" s="3" t="inlineStr">
        <is>
          <t>A-1705</t>
        </is>
      </c>
      <c r="P437" s="3" t="inlineStr">
        <is>
          <t>LOW</t>
        </is>
      </c>
      <c r="Q437" s="3" t="inlineStr">
        <is>
          <t>Allowance for QA/QC documentation templates and record closeout for electrical installation and testing</t>
        </is>
      </c>
      <c r="R437" s="3">
        <f>VLOOKUP($F437,Inputs!$D$6:$E$41,2,FALSE)</f>
        <v/>
      </c>
      <c r="S437" s="36">
        <f>VLOOKUP($E437,Inputs!$A$6:$B$13,2,FALSE)*Inputs!$B$2</f>
        <v/>
      </c>
      <c r="T437" s="35">
        <f>$L437*$S437</f>
        <v/>
      </c>
      <c r="U437" s="35">
        <f>$L437+$T437</f>
        <v/>
      </c>
    </row>
    <row r="438">
      <c r="A438" s="3" t="inlineStr">
        <is>
          <t>PKG-17::L1706</t>
        </is>
      </c>
      <c r="B438" s="3" t="inlineStr">
        <is>
          <t>PKG-17</t>
        </is>
      </c>
      <c r="C438" s="3" t="n"/>
      <c r="D438" s="3" t="inlineStr">
        <is>
          <t>L1706</t>
        </is>
      </c>
      <c r="E438" s="3" t="inlineStr">
        <is>
          <t>MAT</t>
        </is>
      </c>
      <c r="F438" s="3" t="inlineStr">
        <is>
          <t>PKG-17</t>
        </is>
      </c>
      <c r="G438" s="3" t="n"/>
      <c r="H438" s="3" t="inlineStr">
        <is>
          <t>MV/LV Transformers - pad-mounted transformers (assume 2 units 1000-1500 kVA each) with protection and auxiliaries</t>
        </is>
      </c>
      <c r="I438" s="22" t="n">
        <v>2</v>
      </c>
      <c r="J438" s="3" t="inlineStr">
        <is>
          <t>EA</t>
        </is>
      </c>
      <c r="K438" s="39" t="n">
        <v>145000</v>
      </c>
      <c r="L438" s="35" t="n">
        <v>290000</v>
      </c>
      <c r="M438" s="3" t="inlineStr">
        <is>
          <t>CAD</t>
        </is>
      </c>
      <c r="N438" s="3" t="inlineStr">
        <is>
          <t>ALLOWANCE</t>
        </is>
      </c>
      <c r="O438" s="3" t="inlineStr">
        <is>
          <t>A-1706</t>
        </is>
      </c>
      <c r="P438" s="3" t="inlineStr">
        <is>
          <t>LOW</t>
        </is>
      </c>
      <c r="Q438" s="3" t="inlineStr">
        <is>
          <t>Placeholder for transformer supply; actual size depends on load calculations - assumes 2 transformers for redundancy/load distribution</t>
        </is>
      </c>
      <c r="R438" s="3">
        <f>VLOOKUP($F438,Inputs!$D$6:$E$41,2,FALSE)</f>
        <v/>
      </c>
      <c r="S438" s="36">
        <f>VLOOKUP($E438,Inputs!$A$6:$B$13,2,FALSE)*Inputs!$B$2</f>
        <v/>
      </c>
      <c r="T438" s="35">
        <f>$L438*$S438</f>
        <v/>
      </c>
      <c r="U438" s="35">
        <f>$L438+$T438</f>
        <v/>
      </c>
    </row>
    <row r="439">
      <c r="A439" s="3" t="inlineStr">
        <is>
          <t>PKG-17::L1707</t>
        </is>
      </c>
      <c r="B439" s="3" t="inlineStr">
        <is>
          <t>PKG-17</t>
        </is>
      </c>
      <c r="C439" s="3" t="n"/>
      <c r="D439" s="3" t="inlineStr">
        <is>
          <t>L1707</t>
        </is>
      </c>
      <c r="E439" s="3" t="inlineStr">
        <is>
          <t>MAT</t>
        </is>
      </c>
      <c r="F439" s="3" t="inlineStr">
        <is>
          <t>PKG-17</t>
        </is>
      </c>
      <c r="G439" s="3" t="n"/>
      <c r="H439" s="3" t="inlineStr">
        <is>
          <t>MV Switchgear - medium voltage metal-clad switchgear lineup (assume 5-bay lineup with main breaker and feeders)</t>
        </is>
      </c>
      <c r="I439" s="22" t="n">
        <v>1</v>
      </c>
      <c r="J439" s="3" t="inlineStr">
        <is>
          <t>LS</t>
        </is>
      </c>
      <c r="K439" s="39" t="n">
        <v>385000</v>
      </c>
      <c r="L439" s="35" t="n">
        <v>385000</v>
      </c>
      <c r="M439" s="3" t="inlineStr">
        <is>
          <t>CAD</t>
        </is>
      </c>
      <c r="N439" s="3" t="inlineStr">
        <is>
          <t>ALLOWANCE</t>
        </is>
      </c>
      <c r="O439" s="3" t="inlineStr">
        <is>
          <t>A-1707</t>
        </is>
      </c>
      <c r="P439" s="3" t="inlineStr">
        <is>
          <t>LOW</t>
        </is>
      </c>
      <c r="Q439" s="3" t="inlineStr">
        <is>
          <t>Placeholder for MV switchgear; includes main incoming breaker transformer feeders metering and protection relays - marine/industrial rated</t>
        </is>
      </c>
      <c r="R439" s="3">
        <f>VLOOKUP($F439,Inputs!$D$6:$E$41,2,FALSE)</f>
        <v/>
      </c>
      <c r="S439" s="36">
        <f>VLOOKUP($E439,Inputs!$A$6:$B$13,2,FALSE)*Inputs!$B$2</f>
        <v/>
      </c>
      <c r="T439" s="35">
        <f>$L439*$S439</f>
        <v/>
      </c>
      <c r="U439" s="35">
        <f>$L439+$T439</f>
        <v/>
      </c>
    </row>
    <row r="440">
      <c r="A440" s="3" t="inlineStr">
        <is>
          <t>PKG-17::L1708</t>
        </is>
      </c>
      <c r="B440" s="3" t="inlineStr">
        <is>
          <t>PKG-17</t>
        </is>
      </c>
      <c r="C440" s="3" t="n"/>
      <c r="D440" s="3" t="inlineStr">
        <is>
          <t>L1708</t>
        </is>
      </c>
      <c r="E440" s="3" t="inlineStr">
        <is>
          <t>MAT</t>
        </is>
      </c>
      <c r="F440" s="3" t="inlineStr">
        <is>
          <t>PKG-17</t>
        </is>
      </c>
      <c r="G440" s="3" t="n"/>
      <c r="H440" s="3" t="inlineStr">
        <is>
          <t>LV Switchgear - low voltage switchboard/panelboard lineup (assume main-tie-main configuration)</t>
        </is>
      </c>
      <c r="I440" s="22" t="n">
        <v>1</v>
      </c>
      <c r="J440" s="3" t="inlineStr">
        <is>
          <t>LS</t>
        </is>
      </c>
      <c r="K440" s="39" t="n">
        <v>165000</v>
      </c>
      <c r="L440" s="35" t="n">
        <v>165000</v>
      </c>
      <c r="M440" s="3" t="inlineStr">
        <is>
          <t>CAD</t>
        </is>
      </c>
      <c r="N440" s="3" t="inlineStr">
        <is>
          <t>ALLOWANCE</t>
        </is>
      </c>
      <c r="O440" s="3" t="inlineStr">
        <is>
          <t>A-1708</t>
        </is>
      </c>
      <c r="P440" s="3" t="inlineStr">
        <is>
          <t>LOW</t>
        </is>
      </c>
      <c r="Q440" s="3" t="inlineStr">
        <is>
          <t>Placeholder for LV switchgear; includes main breakers bus ties distribution feeders - rated for industrial duty</t>
        </is>
      </c>
      <c r="R440" s="3">
        <f>VLOOKUP($F440,Inputs!$D$6:$E$41,2,FALSE)</f>
        <v/>
      </c>
      <c r="S440" s="36">
        <f>VLOOKUP($E440,Inputs!$A$6:$B$13,2,FALSE)*Inputs!$B$2</f>
        <v/>
      </c>
      <c r="T440" s="35">
        <f>$L440*$S440</f>
        <v/>
      </c>
      <c r="U440" s="35">
        <f>$L440+$T440</f>
        <v/>
      </c>
    </row>
    <row r="441">
      <c r="A441" s="3" t="inlineStr">
        <is>
          <t>PKG-17::L1709</t>
        </is>
      </c>
      <c r="B441" s="3" t="inlineStr">
        <is>
          <t>PKG-17</t>
        </is>
      </c>
      <c r="C441" s="3" t="n"/>
      <c r="D441" s="3" t="inlineStr">
        <is>
          <t>L1709</t>
        </is>
      </c>
      <c r="E441" s="3" t="inlineStr">
        <is>
          <t>MAT</t>
        </is>
      </c>
      <c r="F441" s="3" t="inlineStr">
        <is>
          <t>PKG-17</t>
        </is>
      </c>
      <c r="G441" s="3" t="n"/>
      <c r="H441" s="3" t="inlineStr">
        <is>
          <t>Motor Control Centers (MCCs) - MCCs for pump motors and process equipment (assume 3 MCCs total - railcar area tank farm marine area)</t>
        </is>
      </c>
      <c r="I441" s="22" t="n">
        <v>3</v>
      </c>
      <c r="J441" s="3" t="inlineStr">
        <is>
          <t>EA</t>
        </is>
      </c>
      <c r="K441" s="39" t="n">
        <v>125000</v>
      </c>
      <c r="L441" s="35" t="n">
        <v>375000</v>
      </c>
      <c r="M441" s="3" t="inlineStr">
        <is>
          <t>CAD</t>
        </is>
      </c>
      <c r="N441" s="3" t="inlineStr">
        <is>
          <t>ALLOWANCE</t>
        </is>
      </c>
      <c r="O441" s="3" t="inlineStr">
        <is>
          <t>A-1709</t>
        </is>
      </c>
      <c r="P441" s="3" t="inlineStr">
        <is>
          <t>LOW</t>
        </is>
      </c>
      <c r="Q441" s="3" t="inlineStr">
        <is>
          <t>Placeholder for MCC supply; assumes 3 MCCs distributed across facility areas - each MCC sized for local motor loads with VFDs where required</t>
        </is>
      </c>
      <c r="R441" s="3">
        <f>VLOOKUP($F441,Inputs!$D$6:$E$41,2,FALSE)</f>
        <v/>
      </c>
      <c r="S441" s="36">
        <f>VLOOKUP($E441,Inputs!$A$6:$B$13,2,FALSE)*Inputs!$B$2</f>
        <v/>
      </c>
      <c r="T441" s="35">
        <f>$L441*$S441</f>
        <v/>
      </c>
      <c r="U441" s="35">
        <f>$L441+$T441</f>
        <v/>
      </c>
    </row>
    <row r="442">
      <c r="A442" s="3" t="inlineStr">
        <is>
          <t>PKG-17::L1710</t>
        </is>
      </c>
      <c r="B442" s="3" t="inlineStr">
        <is>
          <t>PKG-17</t>
        </is>
      </c>
      <c r="C442" s="3" t="n"/>
      <c r="D442" s="3" t="inlineStr">
        <is>
          <t>L1710</t>
        </is>
      </c>
      <c r="E442" s="3" t="inlineStr">
        <is>
          <t>MAT</t>
        </is>
      </c>
      <c r="F442" s="3" t="inlineStr">
        <is>
          <t>PKG-17</t>
        </is>
      </c>
      <c r="G442" s="3" t="n"/>
      <c r="H442" s="3" t="inlineStr">
        <is>
          <t>Distribution Panels and Subpanels - local distribution panels for lighting receptacles small power (assume 8 panels)</t>
        </is>
      </c>
      <c r="I442" s="22" t="n">
        <v>8</v>
      </c>
      <c r="J442" s="3" t="inlineStr">
        <is>
          <t>EA</t>
        </is>
      </c>
      <c r="K442" s="39" t="n">
        <v>8500</v>
      </c>
      <c r="L442" s="35" t="n">
        <v>68000</v>
      </c>
      <c r="M442" s="3" t="inlineStr">
        <is>
          <t>CAD</t>
        </is>
      </c>
      <c r="N442" s="3" t="inlineStr">
        <is>
          <t>ALLOWANCE</t>
        </is>
      </c>
      <c r="O442" s="3" t="inlineStr">
        <is>
          <t>A-1710</t>
        </is>
      </c>
      <c r="P442" s="3" t="inlineStr">
        <is>
          <t>LOW</t>
        </is>
      </c>
      <c r="Q442" s="3" t="inlineStr">
        <is>
          <t>Placeholder for distribution panel supply; includes panels for MCC building operator shelters field locations</t>
        </is>
      </c>
      <c r="R442" s="3">
        <f>VLOOKUP($F442,Inputs!$D$6:$E$41,2,FALSE)</f>
        <v/>
      </c>
      <c r="S442" s="36">
        <f>VLOOKUP($E442,Inputs!$A$6:$B$13,2,FALSE)*Inputs!$B$2</f>
        <v/>
      </c>
      <c r="T442" s="35">
        <f>$L442*$S442</f>
        <v/>
      </c>
      <c r="U442" s="35">
        <f>$L442+$T442</f>
        <v/>
      </c>
    </row>
    <row r="443">
      <c r="A443" s="3" t="inlineStr">
        <is>
          <t>PKG-17::L1711</t>
        </is>
      </c>
      <c r="B443" s="3" t="inlineStr">
        <is>
          <t>PKG-17</t>
        </is>
      </c>
      <c r="C443" s="3" t="n"/>
      <c r="D443" s="3" t="inlineStr">
        <is>
          <t>L1711</t>
        </is>
      </c>
      <c r="E443" s="3" t="inlineStr">
        <is>
          <t>MAT</t>
        </is>
      </c>
      <c r="F443" s="3" t="inlineStr">
        <is>
          <t>PKG-17</t>
        </is>
      </c>
      <c r="G443" s="3" t="n"/>
      <c r="H443" s="3" t="inlineStr">
        <is>
          <t>UPS System - uninterruptible power supply for control systems and critical loads (assume 10 kVA unit)</t>
        </is>
      </c>
      <c r="I443" s="22" t="n">
        <v>1</v>
      </c>
      <c r="J443" s="3" t="inlineStr">
        <is>
          <t>EA</t>
        </is>
      </c>
      <c r="K443" s="39" t="n">
        <v>22000</v>
      </c>
      <c r="L443" s="35" t="n">
        <v>22000</v>
      </c>
      <c r="M443" s="3" t="inlineStr">
        <is>
          <t>CAD</t>
        </is>
      </c>
      <c r="N443" s="3" t="inlineStr">
        <is>
          <t>ALLOWANCE</t>
        </is>
      </c>
      <c r="O443" s="3" t="inlineStr">
        <is>
          <t>A-1711</t>
        </is>
      </c>
      <c r="P443" s="3" t="inlineStr">
        <is>
          <t>LOW</t>
        </is>
      </c>
      <c r="Q443" s="3" t="inlineStr">
        <is>
          <t>Placeholder for UPS system; sized for control system DCS HMI and critical instrumentation loads</t>
        </is>
      </c>
      <c r="R443" s="3">
        <f>VLOOKUP($F443,Inputs!$D$6:$E$41,2,FALSE)</f>
        <v/>
      </c>
      <c r="S443" s="36">
        <f>VLOOKUP($E443,Inputs!$A$6:$B$13,2,FALSE)*Inputs!$B$2</f>
        <v/>
      </c>
      <c r="T443" s="35">
        <f>$L443*$S443</f>
        <v/>
      </c>
      <c r="U443" s="35">
        <f>$L443+$T443</f>
        <v/>
      </c>
    </row>
    <row r="444">
      <c r="A444" s="3" t="inlineStr">
        <is>
          <t>PKG-17::L1712</t>
        </is>
      </c>
      <c r="B444" s="3" t="inlineStr">
        <is>
          <t>PKG-17</t>
        </is>
      </c>
      <c r="C444" s="3" t="n"/>
      <c r="D444" s="3" t="inlineStr">
        <is>
          <t>L1712</t>
        </is>
      </c>
      <c r="E444" s="3" t="inlineStr">
        <is>
          <t>MAT</t>
        </is>
      </c>
      <c r="F444" s="3" t="inlineStr">
        <is>
          <t>PKG-17</t>
        </is>
      </c>
      <c r="G444" s="3" t="n"/>
      <c r="H444" s="3" t="inlineStr">
        <is>
          <t>Grounding Materials - ground grid electrodes bonding conductors exothermic welds test wells (assume 1200m ground conductor 15 electrodes)</t>
        </is>
      </c>
      <c r="I444" s="22" t="n">
        <v>1</v>
      </c>
      <c r="J444" s="3" t="inlineStr">
        <is>
          <t>LS</t>
        </is>
      </c>
      <c r="K444" s="39" t="n">
        <v>95000</v>
      </c>
      <c r="L444" s="35" t="n">
        <v>95000</v>
      </c>
      <c r="M444" s="3" t="inlineStr">
        <is>
          <t>CAD</t>
        </is>
      </c>
      <c r="N444" s="3" t="inlineStr">
        <is>
          <t>ALLOWANCE</t>
        </is>
      </c>
      <c r="O444" s="3" t="inlineStr">
        <is>
          <t>A-1712</t>
        </is>
      </c>
      <c r="P444" s="3" t="inlineStr">
        <is>
          <t>LOW</t>
        </is>
      </c>
      <c r="Q444" s="3" t="inlineStr">
        <is>
          <t>Placeholder for grounding system materials; includes ground grid buried conductors driven electrodes bonding to structures/equipment/tanks</t>
        </is>
      </c>
      <c r="R444" s="3">
        <f>VLOOKUP($F444,Inputs!$D$6:$E$41,2,FALSE)</f>
        <v/>
      </c>
      <c r="S444" s="36">
        <f>VLOOKUP($E444,Inputs!$A$6:$B$13,2,FALSE)*Inputs!$B$2</f>
        <v/>
      </c>
      <c r="T444" s="35">
        <f>$L444*$S444</f>
        <v/>
      </c>
      <c r="U444" s="35">
        <f>$L444+$T444</f>
        <v/>
      </c>
    </row>
    <row r="445">
      <c r="A445" s="3" t="inlineStr">
        <is>
          <t>PKG-17::L1713</t>
        </is>
      </c>
      <c r="B445" s="3" t="inlineStr">
        <is>
          <t>PKG-17</t>
        </is>
      </c>
      <c r="C445" s="3" t="n"/>
      <c r="D445" s="3" t="inlineStr">
        <is>
          <t>L1713</t>
        </is>
      </c>
      <c r="E445" s="3" t="inlineStr">
        <is>
          <t>MAT</t>
        </is>
      </c>
      <c r="F445" s="3" t="inlineStr">
        <is>
          <t>PKG-17</t>
        </is>
      </c>
      <c r="G445" s="3" t="n"/>
      <c r="H445" s="3" t="inlineStr">
        <is>
          <t>MV Power Cable - medium voltage power cable 5kV-15kV (assume 800m total MV cable runs transformer feeders)</t>
        </is>
      </c>
      <c r="I445" s="22" t="n">
        <v>800</v>
      </c>
      <c r="J445" s="3" t="inlineStr">
        <is>
          <t>M</t>
        </is>
      </c>
      <c r="K445" s="39" t="n">
        <v>185</v>
      </c>
      <c r="L445" s="35" t="n">
        <v>148000</v>
      </c>
      <c r="M445" s="3" t="inlineStr">
        <is>
          <t>CAD</t>
        </is>
      </c>
      <c r="N445" s="3" t="inlineStr">
        <is>
          <t>ALLOWANCE</t>
        </is>
      </c>
      <c r="O445" s="3" t="inlineStr">
        <is>
          <t>A-1713</t>
        </is>
      </c>
      <c r="P445" s="3" t="inlineStr">
        <is>
          <t>LOW</t>
        </is>
      </c>
      <c r="Q445" s="3" t="inlineStr">
        <is>
          <t>Placeholder for MV cable; actual length depends on equipment layout and routing - assumes shielded EPR/XLPE cable rated 5-15kV</t>
        </is>
      </c>
      <c r="R445" s="3">
        <f>VLOOKUP($F445,Inputs!$D$6:$E$41,2,FALSE)</f>
        <v/>
      </c>
      <c r="S445" s="36">
        <f>VLOOKUP($E445,Inputs!$A$6:$B$13,2,FALSE)*Inputs!$B$2</f>
        <v/>
      </c>
      <c r="T445" s="35">
        <f>$L445*$S445</f>
        <v/>
      </c>
      <c r="U445" s="35">
        <f>$L445+$T445</f>
        <v/>
      </c>
    </row>
    <row r="446">
      <c r="A446" s="3" t="inlineStr">
        <is>
          <t>PKG-17::L1714</t>
        </is>
      </c>
      <c r="B446" s="3" t="inlineStr">
        <is>
          <t>PKG-17</t>
        </is>
      </c>
      <c r="C446" s="3" t="n"/>
      <c r="D446" s="3" t="inlineStr">
        <is>
          <t>L1714</t>
        </is>
      </c>
      <c r="E446" s="3" t="inlineStr">
        <is>
          <t>MAT</t>
        </is>
      </c>
      <c r="F446" s="3" t="inlineStr">
        <is>
          <t>PKG-17</t>
        </is>
      </c>
      <c r="G446" s="3" t="n"/>
      <c r="H446" s="3" t="inlineStr">
        <is>
          <t>LV Power Cable - low voltage power cable 600V (assume 3500m total LV feeder and branch cable)</t>
        </is>
      </c>
      <c r="I446" s="22" t="n">
        <v>3500</v>
      </c>
      <c r="J446" s="3" t="inlineStr">
        <is>
          <t>M</t>
        </is>
      </c>
      <c r="K446" s="39" t="n">
        <v>42</v>
      </c>
      <c r="L446" s="35" t="n">
        <v>147000</v>
      </c>
      <c r="M446" s="3" t="inlineStr">
        <is>
          <t>CAD</t>
        </is>
      </c>
      <c r="N446" s="3" t="inlineStr">
        <is>
          <t>ALLOWANCE</t>
        </is>
      </c>
      <c r="O446" s="3" t="inlineStr">
        <is>
          <t>A-1714</t>
        </is>
      </c>
      <c r="P446" s="3" t="inlineStr">
        <is>
          <t>LOW</t>
        </is>
      </c>
      <c r="Q446" s="3" t="inlineStr">
        <is>
          <t>Placeholder for LV cable; includes feeder cables to MCCs panels and equipment - assumes TECK90 or equivalent 600V rated cable</t>
        </is>
      </c>
      <c r="R446" s="3">
        <f>VLOOKUP($F446,Inputs!$D$6:$E$41,2,FALSE)</f>
        <v/>
      </c>
      <c r="S446" s="36">
        <f>VLOOKUP($E446,Inputs!$A$6:$B$13,2,FALSE)*Inputs!$B$2</f>
        <v/>
      </c>
      <c r="T446" s="35">
        <f>$L446*$S446</f>
        <v/>
      </c>
      <c r="U446" s="35">
        <f>$L446+$T446</f>
        <v/>
      </c>
    </row>
    <row r="447">
      <c r="A447" s="3" t="inlineStr">
        <is>
          <t>PKG-17::L1715</t>
        </is>
      </c>
      <c r="B447" s="3" t="inlineStr">
        <is>
          <t>PKG-17</t>
        </is>
      </c>
      <c r="C447" s="3" t="n"/>
      <c r="D447" s="3" t="inlineStr">
        <is>
          <t>L1715</t>
        </is>
      </c>
      <c r="E447" s="3" t="inlineStr">
        <is>
          <t>MAT</t>
        </is>
      </c>
      <c r="F447" s="3" t="inlineStr">
        <is>
          <t>PKG-17</t>
        </is>
      </c>
      <c r="G447" s="3" t="n"/>
      <c r="H447" s="3" t="inlineStr">
        <is>
          <t>Control Cable - control and instrumentation cable 600V (assume 2500m for motor controls I/O signals)</t>
        </is>
      </c>
      <c r="I447" s="22" t="n">
        <v>2500</v>
      </c>
      <c r="J447" s="3" t="inlineStr">
        <is>
          <t>M</t>
        </is>
      </c>
      <c r="K447" s="39" t="n">
        <v>28</v>
      </c>
      <c r="L447" s="35" t="n">
        <v>70000</v>
      </c>
      <c r="M447" s="3" t="inlineStr">
        <is>
          <t>CAD</t>
        </is>
      </c>
      <c r="N447" s="3" t="inlineStr">
        <is>
          <t>ALLOWANCE</t>
        </is>
      </c>
      <c r="O447" s="3" t="inlineStr">
        <is>
          <t>A-1715</t>
        </is>
      </c>
      <c r="P447" s="3" t="inlineStr">
        <is>
          <t>LOW</t>
        </is>
      </c>
      <c r="Q447" s="3" t="inlineStr">
        <is>
          <t>Placeholder for control cable; multi-conductor shielded cable for motor control circuits and I/O signals to field devices</t>
        </is>
      </c>
      <c r="R447" s="3">
        <f>VLOOKUP($F447,Inputs!$D$6:$E$41,2,FALSE)</f>
        <v/>
      </c>
      <c r="S447" s="36">
        <f>VLOOKUP($E447,Inputs!$A$6:$B$13,2,FALSE)*Inputs!$B$2</f>
        <v/>
      </c>
      <c r="T447" s="35">
        <f>$L447*$S447</f>
        <v/>
      </c>
      <c r="U447" s="35">
        <f>$L447+$T447</f>
        <v/>
      </c>
    </row>
    <row r="448">
      <c r="A448" s="3" t="inlineStr">
        <is>
          <t>PKG-17::L1716</t>
        </is>
      </c>
      <c r="B448" s="3" t="inlineStr">
        <is>
          <t>PKG-17</t>
        </is>
      </c>
      <c r="C448" s="3" t="n"/>
      <c r="D448" s="3" t="inlineStr">
        <is>
          <t>L1716</t>
        </is>
      </c>
      <c r="E448" s="3" t="inlineStr">
        <is>
          <t>MAT</t>
        </is>
      </c>
      <c r="F448" s="3" t="inlineStr">
        <is>
          <t>PKG-17</t>
        </is>
      </c>
      <c r="G448" s="3" t="n"/>
      <c r="H448" s="3" t="inlineStr">
        <is>
          <t>Cable Tray and Ladder Rack - galvanized cable tray with fittings and supports (assume 900m total tray)</t>
        </is>
      </c>
      <c r="I448" s="22" t="n">
        <v>900</v>
      </c>
      <c r="J448" s="3" t="inlineStr">
        <is>
          <t>M</t>
        </is>
      </c>
      <c r="K448" s="39" t="n">
        <v>145</v>
      </c>
      <c r="L448" s="35" t="n">
        <v>130500</v>
      </c>
      <c r="M448" s="3" t="inlineStr">
        <is>
          <t>CAD</t>
        </is>
      </c>
      <c r="N448" s="3" t="inlineStr">
        <is>
          <t>ALLOWANCE</t>
        </is>
      </c>
      <c r="O448" s="3" t="inlineStr">
        <is>
          <t>A-1716</t>
        </is>
      </c>
      <c r="P448" s="3" t="inlineStr">
        <is>
          <t>LOW</t>
        </is>
      </c>
      <c r="Q448" s="3" t="inlineStr">
        <is>
          <t>Placeholder for cable tray system; includes tray ladder rack fittings hangers supports - marine-environment galvanized or stainless where exposed</t>
        </is>
      </c>
      <c r="R448" s="3">
        <f>VLOOKUP($F448,Inputs!$D$6:$E$41,2,FALSE)</f>
        <v/>
      </c>
      <c r="S448" s="36">
        <f>VLOOKUP($E448,Inputs!$A$6:$B$13,2,FALSE)*Inputs!$B$2</f>
        <v/>
      </c>
      <c r="T448" s="35">
        <f>$L448*$S448</f>
        <v/>
      </c>
      <c r="U448" s="35">
        <f>$L448+$T448</f>
        <v/>
      </c>
    </row>
    <row r="449">
      <c r="A449" s="3" t="inlineStr">
        <is>
          <t>PKG-17::L1717</t>
        </is>
      </c>
      <c r="B449" s="3" t="inlineStr">
        <is>
          <t>PKG-17</t>
        </is>
      </c>
      <c r="C449" s="3" t="n"/>
      <c r="D449" s="3" t="inlineStr">
        <is>
          <t>L1717</t>
        </is>
      </c>
      <c r="E449" s="3" t="inlineStr">
        <is>
          <t>MAT</t>
        </is>
      </c>
      <c r="F449" s="3" t="inlineStr">
        <is>
          <t>PKG-17</t>
        </is>
      </c>
      <c r="G449" s="3" t="n"/>
      <c r="H449" s="3" t="inlineStr">
        <is>
          <t>Conduit and Fittings - PVC and rigid conduit for underground/embedded/local routing (assume 600m total conduit)</t>
        </is>
      </c>
      <c r="I449" s="22" t="n">
        <v>600</v>
      </c>
      <c r="J449" s="3" t="inlineStr">
        <is>
          <t>M</t>
        </is>
      </c>
      <c r="K449" s="39" t="n">
        <v>65</v>
      </c>
      <c r="L449" s="35" t="n">
        <v>39000</v>
      </c>
      <c r="M449" s="3" t="inlineStr">
        <is>
          <t>CAD</t>
        </is>
      </c>
      <c r="N449" s="3" t="inlineStr">
        <is>
          <t>ALLOWANCE</t>
        </is>
      </c>
      <c r="O449" s="3" t="inlineStr">
        <is>
          <t>A-1717</t>
        </is>
      </c>
      <c r="P449" s="3" t="inlineStr">
        <is>
          <t>LOW</t>
        </is>
      </c>
      <c r="Q449" s="3" t="inlineStr">
        <is>
          <t>Placeholder for conduit system; includes underground duct banks rigid conduit for equipment connections PVC for concrete embedment</t>
        </is>
      </c>
      <c r="R449" s="3">
        <f>VLOOKUP($F449,Inputs!$D$6:$E$41,2,FALSE)</f>
        <v/>
      </c>
      <c r="S449" s="36">
        <f>VLOOKUP($E449,Inputs!$A$6:$B$13,2,FALSE)*Inputs!$B$2</f>
        <v/>
      </c>
      <c r="T449" s="35">
        <f>$L449*$S449</f>
        <v/>
      </c>
      <c r="U449" s="35">
        <f>$L449+$T449</f>
        <v/>
      </c>
    </row>
    <row r="450">
      <c r="A450" s="3" t="inlineStr">
        <is>
          <t>PKG-17::L1718</t>
        </is>
      </c>
      <c r="B450" s="3" t="inlineStr">
        <is>
          <t>PKG-17</t>
        </is>
      </c>
      <c r="C450" s="3" t="n"/>
      <c r="D450" s="3" t="inlineStr">
        <is>
          <t>L1718</t>
        </is>
      </c>
      <c r="E450" s="3" t="inlineStr">
        <is>
          <t>MAT</t>
        </is>
      </c>
      <c r="F450" s="3" t="inlineStr">
        <is>
          <t>PKG-17</t>
        </is>
      </c>
      <c r="G450" s="3" t="n"/>
      <c r="H450" s="3" t="inlineStr">
        <is>
          <t>Electrical Installation Materials - termination hardware wire ferrules labels panel accessories miscellaneous</t>
        </is>
      </c>
      <c r="I450" s="22" t="n">
        <v>1</v>
      </c>
      <c r="J450" s="3" t="inlineStr">
        <is>
          <t>LS</t>
        </is>
      </c>
      <c r="K450" s="39" t="n">
        <v>55000</v>
      </c>
      <c r="L450" s="35" t="n">
        <v>55000</v>
      </c>
      <c r="M450" s="3" t="inlineStr">
        <is>
          <t>CAD</t>
        </is>
      </c>
      <c r="N450" s="3" t="inlineStr">
        <is>
          <t>ALLOWANCE</t>
        </is>
      </c>
      <c r="O450" s="3" t="inlineStr">
        <is>
          <t>A-1718</t>
        </is>
      </c>
      <c r="P450" s="3" t="inlineStr">
        <is>
          <t>LOW</t>
        </is>
      </c>
      <c r="Q450" s="3" t="inlineStr">
        <is>
          <t>Placeholder for installation materials; includes lugs ferrules labels wire markers junction boxes pull boxes grounding hardware</t>
        </is>
      </c>
      <c r="R450" s="3">
        <f>VLOOKUP($F450,Inputs!$D$6:$E$41,2,FALSE)</f>
        <v/>
      </c>
      <c r="S450" s="36">
        <f>VLOOKUP($E450,Inputs!$A$6:$B$13,2,FALSE)*Inputs!$B$2</f>
        <v/>
      </c>
      <c r="T450" s="35">
        <f>$L450*$S450</f>
        <v/>
      </c>
      <c r="U450" s="35">
        <f>$L450+$T450</f>
        <v/>
      </c>
    </row>
    <row r="451">
      <c r="A451" s="3" t="inlineStr">
        <is>
          <t>PKG-17::L1719</t>
        </is>
      </c>
      <c r="B451" s="3" t="inlineStr">
        <is>
          <t>PKG-17</t>
        </is>
      </c>
      <c r="C451" s="3" t="n"/>
      <c r="D451" s="3" t="inlineStr">
        <is>
          <t>L1719</t>
        </is>
      </c>
      <c r="E451" s="3" t="inlineStr">
        <is>
          <t>FRT</t>
        </is>
      </c>
      <c r="F451" s="3" t="inlineStr">
        <is>
          <t>PKG-17</t>
        </is>
      </c>
      <c r="G451" s="3" t="n"/>
      <c r="H451" s="3" t="inlineStr">
        <is>
          <t>Freight and Logistics - electrical equipment transport delivery coordination receiving (transformers switchgear MCCs)</t>
        </is>
      </c>
      <c r="I451" s="22" t="n">
        <v>1</v>
      </c>
      <c r="J451" s="3" t="inlineStr">
        <is>
          <t>LS</t>
        </is>
      </c>
      <c r="K451" s="39" t="n">
        <v>58000</v>
      </c>
      <c r="L451" s="35" t="n">
        <v>58000</v>
      </c>
      <c r="M451" s="3" t="inlineStr">
        <is>
          <t>CAD</t>
        </is>
      </c>
      <c r="N451" s="3" t="inlineStr">
        <is>
          <t>ALLOWANCE</t>
        </is>
      </c>
      <c r="O451" s="3" t="inlineStr">
        <is>
          <t>A-1719</t>
        </is>
      </c>
      <c r="P451" s="3" t="inlineStr">
        <is>
          <t>LOW</t>
        </is>
      </c>
      <c r="Q451" s="3" t="inlineStr">
        <is>
          <t>Placeholder for freight; includes transport of major electrical equipment from suppliers to site - transformers and switchgear require specialized rigging</t>
        </is>
      </c>
      <c r="R451" s="3">
        <f>VLOOKUP($F451,Inputs!$D$6:$E$41,2,FALSE)</f>
        <v/>
      </c>
      <c r="S451" s="36">
        <f>VLOOKUP($E451,Inputs!$A$6:$B$13,2,FALSE)*Inputs!$B$2</f>
        <v/>
      </c>
      <c r="T451" s="35">
        <f>$L451*$S451</f>
        <v/>
      </c>
      <c r="U451" s="35">
        <f>$L451+$T451</f>
        <v/>
      </c>
    </row>
    <row r="452">
      <c r="A452" s="3" t="inlineStr">
        <is>
          <t>PKG-17::L1720</t>
        </is>
      </c>
      <c r="B452" s="3" t="inlineStr">
        <is>
          <t>PKG-17</t>
        </is>
      </c>
      <c r="C452" s="3" t="n"/>
      <c r="D452" s="3" t="inlineStr">
        <is>
          <t>L1720</t>
        </is>
      </c>
      <c r="E452" s="3" t="inlineStr">
        <is>
          <t>CD</t>
        </is>
      </c>
      <c r="F452" s="3" t="inlineStr">
        <is>
          <t>PKG-17</t>
        </is>
      </c>
      <c r="G452" s="3" t="n"/>
      <c r="H452" s="3" t="inlineStr">
        <is>
          <t>Transformer Installation - rigging setting pad mounting grounding terminations testing (2 transformers)</t>
        </is>
      </c>
      <c r="I452" s="22" t="n">
        <v>2</v>
      </c>
      <c r="J452" s="3" t="inlineStr">
        <is>
          <t>EA</t>
        </is>
      </c>
      <c r="K452" s="39" t="n">
        <v>28000</v>
      </c>
      <c r="L452" s="35" t="n">
        <v>56000</v>
      </c>
      <c r="M452" s="3" t="inlineStr">
        <is>
          <t>CAD</t>
        </is>
      </c>
      <c r="N452" s="3" t="inlineStr">
        <is>
          <t>ALLOWANCE</t>
        </is>
      </c>
      <c r="O452" s="3" t="inlineStr">
        <is>
          <t>A-1720</t>
        </is>
      </c>
      <c r="P452" s="3" t="inlineStr">
        <is>
          <t>LOW</t>
        </is>
      </c>
      <c r="Q452" s="3" t="inlineStr">
        <is>
          <t>Placeholder for transformer installation; includes crane rigging pad mounting HV/LV terminations grounding connections insulation/turns-ratio testing</t>
        </is>
      </c>
      <c r="R452" s="3">
        <f>VLOOKUP($F452,Inputs!$D$6:$E$41,2,FALSE)</f>
        <v/>
      </c>
      <c r="S452" s="36">
        <f>VLOOKUP($E452,Inputs!$A$6:$B$13,2,FALSE)*Inputs!$B$2</f>
        <v/>
      </c>
      <c r="T452" s="35">
        <f>$L452*$S452</f>
        <v/>
      </c>
      <c r="U452" s="35">
        <f>$L452+$T452</f>
        <v/>
      </c>
    </row>
    <row r="453">
      <c r="A453" s="3" t="inlineStr">
        <is>
          <t>PKG-17::L1721</t>
        </is>
      </c>
      <c r="B453" s="3" t="inlineStr">
        <is>
          <t>PKG-17</t>
        </is>
      </c>
      <c r="C453" s="3" t="n"/>
      <c r="D453" s="3" t="inlineStr">
        <is>
          <t>L1721</t>
        </is>
      </c>
      <c r="E453" s="3" t="inlineStr">
        <is>
          <t>CD</t>
        </is>
      </c>
      <c r="F453" s="3" t="inlineStr">
        <is>
          <t>PKG-17</t>
        </is>
      </c>
      <c r="G453" s="3" t="n"/>
      <c r="H453" s="3" t="inlineStr">
        <is>
          <t>MV Switchgear Installation - rigging setting bus connections terminations protection relay programming testing</t>
        </is>
      </c>
      <c r="I453" s="22" t="n">
        <v>1</v>
      </c>
      <c r="J453" s="3" t="inlineStr">
        <is>
          <t>LS</t>
        </is>
      </c>
      <c r="K453" s="39" t="n">
        <v>85000</v>
      </c>
      <c r="L453" s="35" t="n">
        <v>85000</v>
      </c>
      <c r="M453" s="3" t="inlineStr">
        <is>
          <t>CAD</t>
        </is>
      </c>
      <c r="N453" s="3" t="inlineStr">
        <is>
          <t>ALLOWANCE</t>
        </is>
      </c>
      <c r="O453" s="3" t="inlineStr">
        <is>
          <t>A-1721</t>
        </is>
      </c>
      <c r="P453" s="3" t="inlineStr">
        <is>
          <t>LOW</t>
        </is>
      </c>
      <c r="Q453" s="3" t="inlineStr">
        <is>
          <t>Placeholder for MV switchgear installation; includes rigging setting bus work terminations relay settings hipot testing functional testing</t>
        </is>
      </c>
      <c r="R453" s="3">
        <f>VLOOKUP($F453,Inputs!$D$6:$E$41,2,FALSE)</f>
        <v/>
      </c>
      <c r="S453" s="36">
        <f>VLOOKUP($E453,Inputs!$A$6:$B$13,2,FALSE)*Inputs!$B$2</f>
        <v/>
      </c>
      <c r="T453" s="35">
        <f>$L453*$S453</f>
        <v/>
      </c>
      <c r="U453" s="35">
        <f>$L453+$T453</f>
        <v/>
      </c>
    </row>
    <row r="454">
      <c r="A454" s="3" t="inlineStr">
        <is>
          <t>PKG-17::L1722</t>
        </is>
      </c>
      <c r="B454" s="3" t="inlineStr">
        <is>
          <t>PKG-17</t>
        </is>
      </c>
      <c r="C454" s="3" t="n"/>
      <c r="D454" s="3" t="inlineStr">
        <is>
          <t>L1722</t>
        </is>
      </c>
      <c r="E454" s="3" t="inlineStr">
        <is>
          <t>CD</t>
        </is>
      </c>
      <c r="F454" s="3" t="inlineStr">
        <is>
          <t>PKG-17</t>
        </is>
      </c>
      <c r="G454" s="3" t="n"/>
      <c r="H454" s="3" t="inlineStr">
        <is>
          <t>LV Switchgear Installation - rigging setting bus connections terminations testing (main-tie-main configuration)</t>
        </is>
      </c>
      <c r="I454" s="22" t="n">
        <v>1</v>
      </c>
      <c r="J454" s="3" t="inlineStr">
        <is>
          <t>LS</t>
        </is>
      </c>
      <c r="K454" s="39" t="n">
        <v>48000</v>
      </c>
      <c r="L454" s="35" t="n">
        <v>48000</v>
      </c>
      <c r="M454" s="3" t="inlineStr">
        <is>
          <t>CAD</t>
        </is>
      </c>
      <c r="N454" s="3" t="inlineStr">
        <is>
          <t>ALLOWANCE</t>
        </is>
      </c>
      <c r="O454" s="3" t="inlineStr">
        <is>
          <t>A-1722</t>
        </is>
      </c>
      <c r="P454" s="3" t="inlineStr">
        <is>
          <t>LOW</t>
        </is>
      </c>
      <c r="Q454" s="3" t="inlineStr">
        <is>
          <t>Placeholder for LV switchgear installation; includes setting terminations testing - less complex than MV switchgear</t>
        </is>
      </c>
      <c r="R454" s="3">
        <f>VLOOKUP($F454,Inputs!$D$6:$E$41,2,FALSE)</f>
        <v/>
      </c>
      <c r="S454" s="36">
        <f>VLOOKUP($E454,Inputs!$A$6:$B$13,2,FALSE)*Inputs!$B$2</f>
        <v/>
      </c>
      <c r="T454" s="35">
        <f>$L454*$S454</f>
        <v/>
      </c>
      <c r="U454" s="35">
        <f>$L454+$T454</f>
        <v/>
      </c>
    </row>
    <row r="455">
      <c r="A455" s="3" t="inlineStr">
        <is>
          <t>PKG-17::L1723</t>
        </is>
      </c>
      <c r="B455" s="3" t="inlineStr">
        <is>
          <t>PKG-17</t>
        </is>
      </c>
      <c r="C455" s="3" t="n"/>
      <c r="D455" s="3" t="inlineStr">
        <is>
          <t>L1723</t>
        </is>
      </c>
      <c r="E455" s="3" t="inlineStr">
        <is>
          <t>CD</t>
        </is>
      </c>
      <c r="F455" s="3" t="inlineStr">
        <is>
          <t>PKG-17</t>
        </is>
      </c>
      <c r="G455" s="3" t="n"/>
      <c r="H455" s="3" t="inlineStr">
        <is>
          <t>MCC Installation and Terminations - MCC setting motor feeder terminations VFD programming testing (3 MCCs distributed areas)</t>
        </is>
      </c>
      <c r="I455" s="22" t="n">
        <v>3</v>
      </c>
      <c r="J455" s="3" t="inlineStr">
        <is>
          <t>EA</t>
        </is>
      </c>
      <c r="K455" s="39" t="n">
        <v>42000</v>
      </c>
      <c r="L455" s="35" t="n">
        <v>126000</v>
      </c>
      <c r="M455" s="3" t="inlineStr">
        <is>
          <t>CAD</t>
        </is>
      </c>
      <c r="N455" s="3" t="inlineStr">
        <is>
          <t>ALLOWANCE</t>
        </is>
      </c>
      <c r="O455" s="3" t="inlineStr">
        <is>
          <t>A-1723</t>
        </is>
      </c>
      <c r="P455" s="3" t="inlineStr">
        <is>
          <t>LOW</t>
        </is>
      </c>
      <c r="Q455" s="3" t="inlineStr">
        <is>
          <t>Placeholder for MCC installation; includes setting motor circuit terminations VFD setup testing - 3 MCCs across railcar tank farm marine areas</t>
        </is>
      </c>
      <c r="R455" s="3">
        <f>VLOOKUP($F455,Inputs!$D$6:$E$41,2,FALSE)</f>
        <v/>
      </c>
      <c r="S455" s="36">
        <f>VLOOKUP($E455,Inputs!$A$6:$B$13,2,FALSE)*Inputs!$B$2</f>
        <v/>
      </c>
      <c r="T455" s="35">
        <f>$L455*$S455</f>
        <v/>
      </c>
      <c r="U455" s="35">
        <f>$L455+$T455</f>
        <v/>
      </c>
    </row>
    <row r="456">
      <c r="A456" s="3" t="inlineStr">
        <is>
          <t>PKG-17::L1724</t>
        </is>
      </c>
      <c r="B456" s="3" t="inlineStr">
        <is>
          <t>PKG-17</t>
        </is>
      </c>
      <c r="C456" s="3" t="n"/>
      <c r="D456" s="3" t="inlineStr">
        <is>
          <t>L1724</t>
        </is>
      </c>
      <c r="E456" s="3" t="inlineStr">
        <is>
          <t>CD</t>
        </is>
      </c>
      <c r="F456" s="3" t="inlineStr">
        <is>
          <t>PKG-17</t>
        </is>
      </c>
      <c r="G456" s="3" t="n"/>
      <c r="H456" s="3" t="inlineStr">
        <is>
          <t>Distribution Panel Installation - panel mounting terminations circuit testing labeling (8 panels)</t>
        </is>
      </c>
      <c r="I456" s="22" t="n">
        <v>8</v>
      </c>
      <c r="J456" s="3" t="inlineStr">
        <is>
          <t>EA</t>
        </is>
      </c>
      <c r="K456" s="39" t="n">
        <v>4500</v>
      </c>
      <c r="L456" s="35" t="n">
        <v>36000</v>
      </c>
      <c r="M456" s="3" t="inlineStr">
        <is>
          <t>CAD</t>
        </is>
      </c>
      <c r="N456" s="3" t="inlineStr">
        <is>
          <t>ALLOWANCE</t>
        </is>
      </c>
      <c r="O456" s="3" t="inlineStr">
        <is>
          <t>A-1724</t>
        </is>
      </c>
      <c r="P456" s="3" t="inlineStr">
        <is>
          <t>LOW</t>
        </is>
      </c>
      <c r="Q456" s="3" t="inlineStr">
        <is>
          <t>Placeholder for panel installation; includes mounting feeder/branch terminations circuit testing labeling</t>
        </is>
      </c>
      <c r="R456" s="3">
        <f>VLOOKUP($F456,Inputs!$D$6:$E$41,2,FALSE)</f>
        <v/>
      </c>
      <c r="S456" s="36">
        <f>VLOOKUP($E456,Inputs!$A$6:$B$13,2,FALSE)*Inputs!$B$2</f>
        <v/>
      </c>
      <c r="T456" s="35">
        <f>$L456*$S456</f>
        <v/>
      </c>
      <c r="U456" s="35">
        <f>$L456+$T456</f>
        <v/>
      </c>
    </row>
    <row r="457">
      <c r="A457" s="3" t="inlineStr">
        <is>
          <t>PKG-17::L1725</t>
        </is>
      </c>
      <c r="B457" s="3" t="inlineStr">
        <is>
          <t>PKG-17</t>
        </is>
      </c>
      <c r="C457" s="3" t="n"/>
      <c r="D457" s="3" t="inlineStr">
        <is>
          <t>L1725</t>
        </is>
      </c>
      <c r="E457" s="3" t="inlineStr">
        <is>
          <t>CD</t>
        </is>
      </c>
      <c r="F457" s="3" t="inlineStr">
        <is>
          <t>PKG-17</t>
        </is>
      </c>
      <c r="G457" s="3" t="n"/>
      <c r="H457" s="3" t="inlineStr">
        <is>
          <t>UPS Installation and Testing - UPS setting battery installation programming load testing</t>
        </is>
      </c>
      <c r="I457" s="22" t="n">
        <v>1</v>
      </c>
      <c r="J457" s="3" t="inlineStr">
        <is>
          <t>EA</t>
        </is>
      </c>
      <c r="K457" s="39" t="n">
        <v>8500</v>
      </c>
      <c r="L457" s="35" t="n">
        <v>8500</v>
      </c>
      <c r="M457" s="3" t="inlineStr">
        <is>
          <t>CAD</t>
        </is>
      </c>
      <c r="N457" s="3" t="inlineStr">
        <is>
          <t>ALLOWANCE</t>
        </is>
      </c>
      <c r="O457" s="3" t="inlineStr">
        <is>
          <t>A-1725</t>
        </is>
      </c>
      <c r="P457" s="3" t="inlineStr">
        <is>
          <t>LOW</t>
        </is>
      </c>
      <c r="Q457" s="3" t="inlineStr">
        <is>
          <t>Placeholder for UPS installation; includes setting battery installation programming load bank testing acceptance testing</t>
        </is>
      </c>
      <c r="R457" s="3">
        <f>VLOOKUP($F457,Inputs!$D$6:$E$41,2,FALSE)</f>
        <v/>
      </c>
      <c r="S457" s="36">
        <f>VLOOKUP($E457,Inputs!$A$6:$B$13,2,FALSE)*Inputs!$B$2</f>
        <v/>
      </c>
      <c r="T457" s="35">
        <f>$L457*$S457</f>
        <v/>
      </c>
      <c r="U457" s="35">
        <f>$L457+$T457</f>
        <v/>
      </c>
    </row>
    <row r="458">
      <c r="A458" s="3" t="inlineStr">
        <is>
          <t>PKG-17::L1726</t>
        </is>
      </c>
      <c r="B458" s="3" t="inlineStr">
        <is>
          <t>PKG-17</t>
        </is>
      </c>
      <c r="C458" s="3" t="n"/>
      <c r="D458" s="3" t="inlineStr">
        <is>
          <t>L1726</t>
        </is>
      </c>
      <c r="E458" s="3" t="inlineStr">
        <is>
          <t>CD</t>
        </is>
      </c>
      <c r="F458" s="3" t="inlineStr">
        <is>
          <t>PKG-17</t>
        </is>
      </c>
      <c r="G458" s="3" t="n"/>
      <c r="H458" s="3" t="inlineStr">
        <is>
          <t>Grounding System Installation - ground grid installation electrode driving bonding exothermic welding testing</t>
        </is>
      </c>
      <c r="I458" s="22" t="n">
        <v>1</v>
      </c>
      <c r="J458" s="3" t="inlineStr">
        <is>
          <t>LS</t>
        </is>
      </c>
      <c r="K458" s="39" t="n">
        <v>135000</v>
      </c>
      <c r="L458" s="35" t="n">
        <v>135000</v>
      </c>
      <c r="M458" s="3" t="inlineStr">
        <is>
          <t>CAD</t>
        </is>
      </c>
      <c r="N458" s="3" t="inlineStr">
        <is>
          <t>ALLOWANCE</t>
        </is>
      </c>
      <c r="O458" s="3" t="inlineStr">
        <is>
          <t>A-1726</t>
        </is>
      </c>
      <c r="P458" s="3" t="inlineStr">
        <is>
          <t>LOW</t>
        </is>
      </c>
      <c r="Q458" s="3" t="inlineStr">
        <is>
          <t>Placeholder for grounding installation; includes trenching grid conductor installation driven electrodes exothermic welds bonds to structures/equipment soil resistance testing</t>
        </is>
      </c>
      <c r="R458" s="3">
        <f>VLOOKUP($F458,Inputs!$D$6:$E$41,2,FALSE)</f>
        <v/>
      </c>
      <c r="S458" s="36">
        <f>VLOOKUP($E458,Inputs!$A$6:$B$13,2,FALSE)*Inputs!$B$2</f>
        <v/>
      </c>
      <c r="T458" s="35">
        <f>$L458*$S458</f>
        <v/>
      </c>
      <c r="U458" s="35">
        <f>$L458+$T458</f>
        <v/>
      </c>
    </row>
    <row r="459">
      <c r="A459" s="3" t="inlineStr">
        <is>
          <t>PKG-17::L1727</t>
        </is>
      </c>
      <c r="B459" s="3" t="inlineStr">
        <is>
          <t>PKG-17</t>
        </is>
      </c>
      <c r="C459" s="3" t="n"/>
      <c r="D459" s="3" t="inlineStr">
        <is>
          <t>L1727</t>
        </is>
      </c>
      <c r="E459" s="3" t="inlineStr">
        <is>
          <t>CD</t>
        </is>
      </c>
      <c r="F459" s="3" t="inlineStr">
        <is>
          <t>PKG-17</t>
        </is>
      </c>
      <c r="G459" s="3" t="n"/>
      <c r="H459" s="3" t="inlineStr">
        <is>
          <t>Cable Tray and Conduit Installation - tray installation supports conduit installation underground duct bank installation</t>
        </is>
      </c>
      <c r="I459" s="22" t="n">
        <v>1</v>
      </c>
      <c r="J459" s="3" t="inlineStr">
        <is>
          <t>LS</t>
        </is>
      </c>
      <c r="K459" s="39" t="n">
        <v>185000</v>
      </c>
      <c r="L459" s="35" t="n">
        <v>185000</v>
      </c>
      <c r="M459" s="3" t="inlineStr">
        <is>
          <t>CAD</t>
        </is>
      </c>
      <c r="N459" s="3" t="inlineStr">
        <is>
          <t>ALLOWANCE</t>
        </is>
      </c>
      <c r="O459" s="3" t="inlineStr">
        <is>
          <t>A-1727</t>
        </is>
      </c>
      <c r="P459" s="3" t="inlineStr">
        <is>
          <t>LOW</t>
        </is>
      </c>
      <c r="Q459" s="3" t="inlineStr">
        <is>
          <t>Placeholder for cable support installation; includes tray installation hangers supports conduit bending/threading underground duct bank trenching/bedding/backfill</t>
        </is>
      </c>
      <c r="R459" s="3">
        <f>VLOOKUP($F459,Inputs!$D$6:$E$41,2,FALSE)</f>
        <v/>
      </c>
      <c r="S459" s="36">
        <f>VLOOKUP($E459,Inputs!$A$6:$B$13,2,FALSE)*Inputs!$B$2</f>
        <v/>
      </c>
      <c r="T459" s="35">
        <f>$L459*$S459</f>
        <v/>
      </c>
      <c r="U459" s="35">
        <f>$L459+$T459</f>
        <v/>
      </c>
    </row>
    <row r="460">
      <c r="A460" s="3" t="inlineStr">
        <is>
          <t>PKG-17::L1728</t>
        </is>
      </c>
      <c r="B460" s="3" t="inlineStr">
        <is>
          <t>PKG-17</t>
        </is>
      </c>
      <c r="C460" s="3" t="n"/>
      <c r="D460" s="3" t="inlineStr">
        <is>
          <t>L1728</t>
        </is>
      </c>
      <c r="E460" s="3" t="inlineStr">
        <is>
          <t>CD</t>
        </is>
      </c>
      <c r="F460" s="3" t="inlineStr">
        <is>
          <t>PKG-17</t>
        </is>
      </c>
      <c r="G460" s="3" t="n"/>
      <c r="H460" s="3" t="inlineStr">
        <is>
          <t>Cable Pulling and Termination - cable pulling terminations testing labeling (MV LV control cables ~6800m total)</t>
        </is>
      </c>
      <c r="I460" s="22" t="n">
        <v>1</v>
      </c>
      <c r="J460" s="3" t="inlineStr">
        <is>
          <t>LS</t>
        </is>
      </c>
      <c r="K460" s="39" t="n">
        <v>295000</v>
      </c>
      <c r="L460" s="35" t="n">
        <v>295000</v>
      </c>
      <c r="M460" s="3" t="inlineStr">
        <is>
          <t>CAD</t>
        </is>
      </c>
      <c r="N460" s="3" t="inlineStr">
        <is>
          <t>ALLOWANCE</t>
        </is>
      </c>
      <c r="O460" s="3" t="inlineStr">
        <is>
          <t>A-1728</t>
        </is>
      </c>
      <c r="P460" s="3" t="inlineStr">
        <is>
          <t>LOW</t>
        </is>
      </c>
      <c r="Q460" s="3" t="inlineStr">
        <is>
          <t>Placeholder for cable installation; includes pulling/training terminations at both ends megger testing hipot testing (MV) labeling - significant labor content</t>
        </is>
      </c>
      <c r="R460" s="3">
        <f>VLOOKUP($F460,Inputs!$D$6:$E$41,2,FALSE)</f>
        <v/>
      </c>
      <c r="S460" s="36">
        <f>VLOOKUP($E460,Inputs!$A$6:$B$13,2,FALSE)*Inputs!$B$2</f>
        <v/>
      </c>
      <c r="T460" s="35">
        <f>$L460*$S460</f>
        <v/>
      </c>
      <c r="U460" s="35">
        <f>$L460+$T460</f>
        <v/>
      </c>
    </row>
    <row r="461">
      <c r="A461" s="3" t="inlineStr">
        <is>
          <t>PKG-17::L1729</t>
        </is>
      </c>
      <c r="B461" s="3" t="inlineStr">
        <is>
          <t>PKG-17</t>
        </is>
      </c>
      <c r="C461" s="3" t="n"/>
      <c r="D461" s="3" t="inlineStr">
        <is>
          <t>L1729</t>
        </is>
      </c>
      <c r="E461" s="3" t="inlineStr">
        <is>
          <t>CD</t>
        </is>
      </c>
      <c r="F461" s="3" t="inlineStr">
        <is>
          <t>PKG-17</t>
        </is>
      </c>
      <c r="G461" s="3" t="n"/>
      <c r="H461" s="3" t="inlineStr">
        <is>
          <t>Electrical Testing and Commissioning Support - insulation testing continuity relay functional testing loop checks coordination with commissioning</t>
        </is>
      </c>
      <c r="I461" s="22" t="n">
        <v>1</v>
      </c>
      <c r="J461" s="3" t="inlineStr">
        <is>
          <t>LS</t>
        </is>
      </c>
      <c r="K461" s="39" t="n">
        <v>75000</v>
      </c>
      <c r="L461" s="35" t="n">
        <v>75000</v>
      </c>
      <c r="M461" s="3" t="inlineStr">
        <is>
          <t>CAD</t>
        </is>
      </c>
      <c r="N461" s="3" t="inlineStr">
        <is>
          <t>ALLOWANCE</t>
        </is>
      </c>
      <c r="O461" s="3" t="inlineStr">
        <is>
          <t>A-1729</t>
        </is>
      </c>
      <c r="P461" s="3" t="inlineStr">
        <is>
          <t>LOW</t>
        </is>
      </c>
      <c r="Q461" s="3" t="inlineStr">
        <is>
          <t>Placeholder for electrical testing; includes final insulation testing protection relay testing continuity checks pre-commissioning support</t>
        </is>
      </c>
      <c r="R461" s="3">
        <f>VLOOKUP($F461,Inputs!$D$6:$E$41,2,FALSE)</f>
        <v/>
      </c>
      <c r="S461" s="36">
        <f>VLOOKUP($E461,Inputs!$A$6:$B$13,2,FALSE)*Inputs!$B$2</f>
        <v/>
      </c>
      <c r="T461" s="35">
        <f>$L461*$S461</f>
        <v/>
      </c>
      <c r="U461" s="35">
        <f>$L461+$T461</f>
        <v/>
      </c>
    </row>
    <row r="462">
      <c r="A462" s="3" t="inlineStr">
        <is>
          <t>PKG-17::L1730</t>
        </is>
      </c>
      <c r="B462" s="3" t="inlineStr">
        <is>
          <t>PKG-17</t>
        </is>
      </c>
      <c r="C462" s="3" t="n"/>
      <c r="D462" s="3" t="inlineStr">
        <is>
          <t>L1730</t>
        </is>
      </c>
      <c r="E462" s="3" t="inlineStr">
        <is>
          <t>CI</t>
        </is>
      </c>
      <c r="F462" s="3" t="inlineStr">
        <is>
          <t>PKG-17</t>
        </is>
      </c>
      <c r="G462" s="3" t="n"/>
      <c r="H462" s="3" t="inlineStr">
        <is>
          <t>Construction Indirects - field supervision electrical safety QA/QC coordination (factor-based)</t>
        </is>
      </c>
      <c r="I462" s="22" t="n">
        <v>1</v>
      </c>
      <c r="J462" s="3" t="inlineStr">
        <is>
          <t>LS</t>
        </is>
      </c>
      <c r="K462" s="39" t="n">
        <v>188910</v>
      </c>
      <c r="L462" s="35" t="n">
        <v>188910</v>
      </c>
      <c r="M462" s="3" t="inlineStr">
        <is>
          <t>CAD</t>
        </is>
      </c>
      <c r="N462" s="3" t="inlineStr">
        <is>
          <t>PARAMETRIC</t>
        </is>
      </c>
      <c r="O462" s="3" t="inlineStr">
        <is>
          <t>D-1708</t>
        </is>
      </c>
      <c r="P462" s="3" t="inlineStr">
        <is>
          <t>LOW</t>
        </is>
      </c>
      <c r="Q462" s="3" t="inlineStr">
        <is>
          <t>18% of CD base ($1</t>
        </is>
      </c>
      <c r="R462" s="3">
        <f>VLOOKUP($F462,Inputs!$D$6:$E$41,2,FALSE)</f>
        <v/>
      </c>
      <c r="S462" s="36">
        <f>VLOOKUP($E462,Inputs!$A$6:$B$13,2,FALSE)*Inputs!$B$2</f>
        <v/>
      </c>
      <c r="T462" s="35">
        <f>$L462*$S462</f>
        <v/>
      </c>
      <c r="U462" s="35">
        <f>$L462+$T462</f>
        <v/>
      </c>
    </row>
    <row r="463">
      <c r="A463" s="3" t="inlineStr">
        <is>
          <t>PKG-17::L1731</t>
        </is>
      </c>
      <c r="B463" s="3" t="inlineStr">
        <is>
          <t>PKG-17</t>
        </is>
      </c>
      <c r="C463" s="3" t="n"/>
      <c r="D463" s="3" t="inlineStr">
        <is>
          <t>L1731</t>
        </is>
      </c>
      <c r="E463" s="3" t="inlineStr">
        <is>
          <t>PM</t>
        </is>
      </c>
      <c r="F463" s="3" t="inlineStr">
        <is>
          <t>PKG-17</t>
        </is>
      </c>
      <c r="G463" s="3" t="n"/>
      <c r="H463" s="3" t="inlineStr">
        <is>
          <t>EPCM / Project Management - PKG-17 allocation electrical engineering coordination (factor-based)</t>
        </is>
      </c>
      <c r="I463" s="22" t="n">
        <v>1</v>
      </c>
      <c r="J463" s="3" t="inlineStr">
        <is>
          <t>LS</t>
        </is>
      </c>
      <c r="K463" s="39" t="n">
        <v>197155</v>
      </c>
      <c r="L463" s="35" t="n">
        <v>197155</v>
      </c>
      <c r="M463" s="3" t="inlineStr">
        <is>
          <t>CAD</t>
        </is>
      </c>
      <c r="N463" s="3" t="inlineStr">
        <is>
          <t>PARAMETRIC</t>
        </is>
      </c>
      <c r="O463" s="3" t="inlineStr">
        <is>
          <t>D-1708</t>
        </is>
      </c>
      <c r="P463" s="3" t="inlineStr">
        <is>
          <t>MED</t>
        </is>
      </c>
      <c r="Q463" s="3" t="inlineStr">
        <is>
          <t>6% of (CD+CI+MAT+FRT) = 6% x ($1</t>
        </is>
      </c>
      <c r="R463" s="3">
        <f>VLOOKUP($F463,Inputs!$D$6:$E$41,2,FALSE)</f>
        <v/>
      </c>
      <c r="S463" s="36">
        <f>VLOOKUP($E463,Inputs!$A$6:$B$13,2,FALSE)*Inputs!$B$2</f>
        <v/>
      </c>
      <c r="T463" s="35">
        <f>$L463*$S463</f>
        <v/>
      </c>
      <c r="U463" s="35">
        <f>$L463+$T463</f>
        <v/>
      </c>
    </row>
    <row r="464">
      <c r="A464" s="3" t="inlineStr">
        <is>
          <t>PKG-17::L1732</t>
        </is>
      </c>
      <c r="B464" s="3" t="inlineStr">
        <is>
          <t>PKG-17</t>
        </is>
      </c>
      <c r="C464" s="3" t="n"/>
      <c r="D464" s="3" t="inlineStr">
        <is>
          <t>L1732</t>
        </is>
      </c>
      <c r="E464" s="3" t="inlineStr">
        <is>
          <t>P</t>
        </is>
      </c>
      <c r="F464" s="3" t="inlineStr">
        <is>
          <t>PKG-17</t>
        </is>
      </c>
      <c r="G464" s="3" t="n"/>
      <c r="H464" s="3" t="inlineStr">
        <is>
          <t>Procurement Services - electrical equipment vendor coordination expediting inspection FAT witness (factor-based)</t>
        </is>
      </c>
      <c r="I464" s="22" t="n">
        <v>1</v>
      </c>
      <c r="J464" s="3" t="inlineStr">
        <is>
          <t>LS</t>
        </is>
      </c>
      <c r="K464" s="39" t="n">
        <v>40950</v>
      </c>
      <c r="L464" s="35" t="n">
        <v>40950</v>
      </c>
      <c r="M464" s="3" t="inlineStr">
        <is>
          <t>CAD</t>
        </is>
      </c>
      <c r="N464" s="3" t="inlineStr">
        <is>
          <t>PARAMETRIC</t>
        </is>
      </c>
      <c r="O464" s="3" t="inlineStr">
        <is>
          <t>D-1708</t>
        </is>
      </c>
      <c r="P464" s="3" t="inlineStr">
        <is>
          <t>MED</t>
        </is>
      </c>
      <c r="Q464" s="3" t="inlineStr">
        <is>
          <t>2% of (MAT+FRT) = 2% x ($1</t>
        </is>
      </c>
      <c r="R464" s="3">
        <f>VLOOKUP($F464,Inputs!$D$6:$E$41,2,FALSE)</f>
        <v/>
      </c>
      <c r="S464" s="36">
        <f>VLOOKUP($E464,Inputs!$A$6:$B$13,2,FALSE)*Inputs!$B$2</f>
        <v/>
      </c>
      <c r="T464" s="35">
        <f>$L464*$S464</f>
        <v/>
      </c>
      <c r="U464" s="35">
        <f>$L464+$T464</f>
        <v/>
      </c>
    </row>
    <row r="465">
      <c r="A465" s="3" t="inlineStr">
        <is>
          <t>PKG-17::L1733</t>
        </is>
      </c>
      <c r="B465" s="3" t="inlineStr">
        <is>
          <t>PKG-17</t>
        </is>
      </c>
      <c r="C465" s="3" t="n"/>
      <c r="D465" s="3" t="inlineStr">
        <is>
          <t>L1733</t>
        </is>
      </c>
      <c r="E465" s="3" t="inlineStr">
        <is>
          <t>COM</t>
        </is>
      </c>
      <c r="F465" s="3" t="inlineStr">
        <is>
          <t>PKG-17</t>
        </is>
      </c>
      <c r="G465" s="3" t="n"/>
      <c r="H465" s="3" t="inlineStr">
        <is>
          <t>Electrical Systems Commissioning - protection relay functional testing integrated systems testing energization support acceptance</t>
        </is>
      </c>
      <c r="I465" s="22" t="n">
        <v>1</v>
      </c>
      <c r="J465" s="3" t="inlineStr">
        <is>
          <t>LS</t>
        </is>
      </c>
      <c r="K465" s="39" t="n">
        <v>96837</v>
      </c>
      <c r="L465" s="35" t="n">
        <v>96837</v>
      </c>
      <c r="M465" s="3" t="inlineStr">
        <is>
          <t>CAD</t>
        </is>
      </c>
      <c r="N465" s="3" t="inlineStr">
        <is>
          <t>PARAMETRIC</t>
        </is>
      </c>
      <c r="O465" s="3" t="inlineStr">
        <is>
          <t>D-1708</t>
        </is>
      </c>
      <c r="P465" s="3" t="inlineStr">
        <is>
          <t>LOW</t>
        </is>
      </c>
      <c r="Q465" s="3" t="inlineStr">
        <is>
          <t>3% of (CD+CI+MAT) = 3% x ($1</t>
        </is>
      </c>
      <c r="R465" s="3">
        <f>VLOOKUP($F465,Inputs!$D$6:$E$41,2,FALSE)</f>
        <v/>
      </c>
      <c r="S465" s="36">
        <f>VLOOKUP($E465,Inputs!$A$6:$B$13,2,FALSE)*Inputs!$B$2</f>
        <v/>
      </c>
      <c r="T465" s="35">
        <f>$L465*$S465</f>
        <v/>
      </c>
      <c r="U465" s="35">
        <f>$L465+$T465</f>
        <v/>
      </c>
    </row>
    <row r="466">
      <c r="A466" s="3" t="inlineStr">
        <is>
          <t>PKG-18::L-1801</t>
        </is>
      </c>
      <c r="B466" s="3" t="inlineStr">
        <is>
          <t>PKG-18</t>
        </is>
      </c>
      <c r="C466" s="3" t="inlineStr">
        <is>
          <t>DEL-18.01</t>
        </is>
      </c>
      <c r="D466" s="3" t="inlineStr">
        <is>
          <t>L-1801</t>
        </is>
      </c>
      <c r="E466" s="3" t="inlineStr">
        <is>
          <t>E</t>
        </is>
      </c>
      <c r="F466" s="3" t="inlineStr">
        <is>
          <t>PKG-18</t>
        </is>
      </c>
      <c r="G466" s="3" t="inlineStr">
        <is>
          <t>DEL-18.01</t>
        </is>
      </c>
      <c r="H466" s="3" t="inlineStr">
        <is>
          <t>Lighting Design Drawing Set - Exterior lighting layout</t>
        </is>
      </c>
      <c r="I466" s="22" t="n">
        <v>1</v>
      </c>
      <c r="J466" s="3" t="inlineStr">
        <is>
          <t>LS</t>
        </is>
      </c>
      <c r="K466" s="39" t="n">
        <v>13000</v>
      </c>
      <c r="L466" s="35" t="n">
        <v>13000</v>
      </c>
      <c r="M466" s="3" t="inlineStr">
        <is>
          <t>CAD</t>
        </is>
      </c>
      <c r="N466" s="3" t="inlineStr">
        <is>
          <t>ALLOWANCE</t>
        </is>
      </c>
      <c r="O466" s="3" t="inlineStr">
        <is>
          <t>A-1801; D-1806</t>
        </is>
      </c>
      <c r="P466" s="3" t="inlineStr">
        <is>
          <t>LOW</t>
        </is>
      </c>
      <c r="Q466" s="3" t="inlineStr">
        <is>
          <t>Drawing production for exterior lighting (poles and fixtures)</t>
        </is>
      </c>
      <c r="R466" s="3">
        <f>VLOOKUP($F466,Inputs!$D$6:$E$41,2,FALSE)</f>
        <v/>
      </c>
      <c r="S466" s="36">
        <f>VLOOKUP($E466,Inputs!$A$6:$B$13,2,FALSE)*Inputs!$B$2</f>
        <v/>
      </c>
      <c r="T466" s="35">
        <f>$L466*$S466</f>
        <v/>
      </c>
      <c r="U466" s="35">
        <f>$L466+$T466</f>
        <v/>
      </c>
    </row>
    <row r="467">
      <c r="A467" s="3" t="inlineStr">
        <is>
          <t>PKG-18::L-1802</t>
        </is>
      </c>
      <c r="B467" s="3" t="inlineStr">
        <is>
          <t>PKG-18</t>
        </is>
      </c>
      <c r="C467" s="3" t="inlineStr">
        <is>
          <t>DEL-18.01</t>
        </is>
      </c>
      <c r="D467" s="3" t="inlineStr">
        <is>
          <t>L-1802</t>
        </is>
      </c>
      <c r="E467" s="3" t="inlineStr">
        <is>
          <t>E</t>
        </is>
      </c>
      <c r="F467" s="3" t="inlineStr">
        <is>
          <t>PKG-18</t>
        </is>
      </c>
      <c r="G467" s="3" t="inlineStr">
        <is>
          <t>DEL-18.01</t>
        </is>
      </c>
      <c r="H467" s="3" t="inlineStr">
        <is>
          <t>Lighting Design Drawing Set - Interior lighting layout</t>
        </is>
      </c>
      <c r="I467" s="22" t="n">
        <v>1</v>
      </c>
      <c r="J467" s="3" t="inlineStr">
        <is>
          <t>LS</t>
        </is>
      </c>
      <c r="K467" s="39" t="n">
        <v>12000</v>
      </c>
      <c r="L467" s="35" t="n">
        <v>12000</v>
      </c>
      <c r="M467" s="3" t="inlineStr">
        <is>
          <t>CAD</t>
        </is>
      </c>
      <c r="N467" s="3" t="inlineStr">
        <is>
          <t>ALLOWANCE</t>
        </is>
      </c>
      <c r="O467" s="3" t="inlineStr">
        <is>
          <t>A-1803; D-1806</t>
        </is>
      </c>
      <c r="P467" s="3" t="inlineStr">
        <is>
          <t>LOW</t>
        </is>
      </c>
      <c r="Q467" s="3" t="inlineStr">
        <is>
          <t>Drawing production for interior lighting (buildings and process areas)</t>
        </is>
      </c>
      <c r="R467" s="3">
        <f>VLOOKUP($F467,Inputs!$D$6:$E$41,2,FALSE)</f>
        <v/>
      </c>
      <c r="S467" s="36">
        <f>VLOOKUP($E467,Inputs!$A$6:$B$13,2,FALSE)*Inputs!$B$2</f>
        <v/>
      </c>
      <c r="T467" s="35">
        <f>$L467*$S467</f>
        <v/>
      </c>
      <c r="U467" s="35">
        <f>$L467+$T467</f>
        <v/>
      </c>
    </row>
    <row r="468">
      <c r="A468" s="3" t="inlineStr">
        <is>
          <t>PKG-18::L-1803</t>
        </is>
      </c>
      <c r="B468" s="3" t="inlineStr">
        <is>
          <t>PKG-18</t>
        </is>
      </c>
      <c r="C468" s="3" t="inlineStr">
        <is>
          <t>DEL-18.01</t>
        </is>
      </c>
      <c r="D468" s="3" t="inlineStr">
        <is>
          <t>L-1803</t>
        </is>
      </c>
      <c r="E468" s="3" t="inlineStr">
        <is>
          <t>E</t>
        </is>
      </c>
      <c r="F468" s="3" t="inlineStr">
        <is>
          <t>PKG-18</t>
        </is>
      </c>
      <c r="G468" s="3" t="inlineStr">
        <is>
          <t>DEL-18.01</t>
        </is>
      </c>
      <c r="H468" s="3" t="inlineStr">
        <is>
          <t>Lighting Design Drawing Set - Emergency lighting layout</t>
        </is>
      </c>
      <c r="I468" s="22" t="n">
        <v>1</v>
      </c>
      <c r="J468" s="3" t="inlineStr">
        <is>
          <t>LS</t>
        </is>
      </c>
      <c r="K468" s="39" t="n">
        <v>5000</v>
      </c>
      <c r="L468" s="35" t="n">
        <v>5000</v>
      </c>
      <c r="M468" s="3" t="inlineStr">
        <is>
          <t>CAD</t>
        </is>
      </c>
      <c r="N468" s="3" t="inlineStr">
        <is>
          <t>ALLOWANCE</t>
        </is>
      </c>
      <c r="O468" s="3" t="inlineStr">
        <is>
          <t>A-1805; D-1806</t>
        </is>
      </c>
      <c r="P468" s="3" t="inlineStr">
        <is>
          <t>LOW</t>
        </is>
      </c>
      <c r="Q468" s="3" t="inlineStr">
        <is>
          <t>Drawing production for emergency and egress lighting</t>
        </is>
      </c>
      <c r="R468" s="3">
        <f>VLOOKUP($F468,Inputs!$D$6:$E$41,2,FALSE)</f>
        <v/>
      </c>
      <c r="S468" s="36">
        <f>VLOOKUP($E468,Inputs!$A$6:$B$13,2,FALSE)*Inputs!$B$2</f>
        <v/>
      </c>
      <c r="T468" s="35">
        <f>$L468*$S468</f>
        <v/>
      </c>
      <c r="U468" s="35">
        <f>$L468+$T468</f>
        <v/>
      </c>
    </row>
    <row r="469">
      <c r="A469" s="3" t="inlineStr">
        <is>
          <t>PKG-18::L-1804</t>
        </is>
      </c>
      <c r="B469" s="3" t="inlineStr">
        <is>
          <t>PKG-18</t>
        </is>
      </c>
      <c r="C469" s="3" t="inlineStr">
        <is>
          <t>DEL-18.02</t>
        </is>
      </c>
      <c r="D469" s="3" t="inlineStr">
        <is>
          <t>L-1804</t>
        </is>
      </c>
      <c r="E469" s="3" t="inlineStr">
        <is>
          <t>E</t>
        </is>
      </c>
      <c r="F469" s="3" t="inlineStr">
        <is>
          <t>PKG-18</t>
        </is>
      </c>
      <c r="G469" s="3" t="inlineStr">
        <is>
          <t>DEL-18.02</t>
        </is>
      </c>
      <c r="H469" s="3" t="inlineStr">
        <is>
          <t>Lighting Technical Specification - LED lighting spec</t>
        </is>
      </c>
      <c r="I469" s="22" t="n">
        <v>1</v>
      </c>
      <c r="J469" s="3" t="inlineStr">
        <is>
          <t>LS</t>
        </is>
      </c>
      <c r="K469" s="39" t="n">
        <v>13000</v>
      </c>
      <c r="L469" s="35" t="n">
        <v>13000</v>
      </c>
      <c r="M469" s="3" t="inlineStr">
        <is>
          <t>CAD</t>
        </is>
      </c>
      <c r="N469" s="3" t="inlineStr">
        <is>
          <t>ALLOWANCE</t>
        </is>
      </c>
      <c r="O469" s="3" t="inlineStr">
        <is>
          <t>D-1806</t>
        </is>
      </c>
      <c r="P469" s="3" t="inlineStr">
        <is>
          <t>LOW</t>
        </is>
      </c>
      <c r="Q469" s="3" t="inlineStr">
        <is>
          <t>Technical specification for LED fixtures and poles (CSI format)</t>
        </is>
      </c>
      <c r="R469" s="3">
        <f>VLOOKUP($F469,Inputs!$D$6:$E$41,2,FALSE)</f>
        <v/>
      </c>
      <c r="S469" s="36">
        <f>VLOOKUP($E469,Inputs!$A$6:$B$13,2,FALSE)*Inputs!$B$2</f>
        <v/>
      </c>
      <c r="T469" s="35">
        <f>$L469*$S469</f>
        <v/>
      </c>
      <c r="U469" s="35">
        <f>$L469+$T469</f>
        <v/>
      </c>
    </row>
    <row r="470">
      <c r="A470" s="3" t="inlineStr">
        <is>
          <t>PKG-18::L-1805</t>
        </is>
      </c>
      <c r="B470" s="3" t="inlineStr">
        <is>
          <t>PKG-18</t>
        </is>
      </c>
      <c r="C470" s="3" t="inlineStr">
        <is>
          <t>DEL-18.02</t>
        </is>
      </c>
      <c r="D470" s="3" t="inlineStr">
        <is>
          <t>L-1805</t>
        </is>
      </c>
      <c r="E470" s="3" t="inlineStr">
        <is>
          <t>E</t>
        </is>
      </c>
      <c r="F470" s="3" t="inlineStr">
        <is>
          <t>PKG-18</t>
        </is>
      </c>
      <c r="G470" s="3" t="inlineStr">
        <is>
          <t>DEL-18.02</t>
        </is>
      </c>
      <c r="H470" s="3" t="inlineStr">
        <is>
          <t>Lighting Technical Specification - Controls spec</t>
        </is>
      </c>
      <c r="I470" s="22" t="n">
        <v>1</v>
      </c>
      <c r="J470" s="3" t="inlineStr">
        <is>
          <t>LS</t>
        </is>
      </c>
      <c r="K470" s="39" t="n">
        <v>8000</v>
      </c>
      <c r="L470" s="35" t="n">
        <v>8000</v>
      </c>
      <c r="M470" s="3" t="inlineStr">
        <is>
          <t>CAD</t>
        </is>
      </c>
      <c r="N470" s="3" t="inlineStr">
        <is>
          <t>ALLOWANCE</t>
        </is>
      </c>
      <c r="O470" s="3" t="inlineStr">
        <is>
          <t>A-1824; D-1806</t>
        </is>
      </c>
      <c r="P470" s="3" t="inlineStr">
        <is>
          <t>LOW</t>
        </is>
      </c>
      <c r="Q470" s="3" t="inlineStr">
        <is>
          <t>Technical specification for lighting controls and integration</t>
        </is>
      </c>
      <c r="R470" s="3">
        <f>VLOOKUP($F470,Inputs!$D$6:$E$41,2,FALSE)</f>
        <v/>
      </c>
      <c r="S470" s="36">
        <f>VLOOKUP($E470,Inputs!$A$6:$B$13,2,FALSE)*Inputs!$B$2</f>
        <v/>
      </c>
      <c r="T470" s="35">
        <f>$L470*$S470</f>
        <v/>
      </c>
      <c r="U470" s="35">
        <f>$L470+$T470</f>
        <v/>
      </c>
    </row>
    <row r="471">
      <c r="A471" s="3" t="inlineStr">
        <is>
          <t>PKG-18::L-1806</t>
        </is>
      </c>
      <c r="B471" s="3" t="inlineStr">
        <is>
          <t>PKG-18</t>
        </is>
      </c>
      <c r="C471" s="3" t="inlineStr">
        <is>
          <t>DEL-18.02</t>
        </is>
      </c>
      <c r="D471" s="3" t="inlineStr">
        <is>
          <t>L-1806</t>
        </is>
      </c>
      <c r="E471" s="3" t="inlineStr">
        <is>
          <t>E</t>
        </is>
      </c>
      <c r="F471" s="3" t="inlineStr">
        <is>
          <t>PKG-18</t>
        </is>
      </c>
      <c r="G471" s="3" t="inlineStr">
        <is>
          <t>DEL-18.02</t>
        </is>
      </c>
      <c r="H471" s="3" t="inlineStr">
        <is>
          <t>Lighting Technical Specification - Emergency lighting spec</t>
        </is>
      </c>
      <c r="I471" s="22" t="n">
        <v>1</v>
      </c>
      <c r="J471" s="3" t="inlineStr">
        <is>
          <t>LS</t>
        </is>
      </c>
      <c r="K471" s="39" t="n">
        <v>4000</v>
      </c>
      <c r="L471" s="35" t="n">
        <v>4000</v>
      </c>
      <c r="M471" s="3" t="inlineStr">
        <is>
          <t>CAD</t>
        </is>
      </c>
      <c r="N471" s="3" t="inlineStr">
        <is>
          <t>ALLOWANCE</t>
        </is>
      </c>
      <c r="O471" s="3" t="inlineStr">
        <is>
          <t>A-1825; D-1806</t>
        </is>
      </c>
      <c r="P471" s="3" t="inlineStr">
        <is>
          <t>LOW</t>
        </is>
      </c>
      <c r="Q471" s="3" t="inlineStr">
        <is>
          <t>Technical specification for emergency lighting systems</t>
        </is>
      </c>
      <c r="R471" s="3">
        <f>VLOOKUP($F471,Inputs!$D$6:$E$41,2,FALSE)</f>
        <v/>
      </c>
      <c r="S471" s="36">
        <f>VLOOKUP($E471,Inputs!$A$6:$B$13,2,FALSE)*Inputs!$B$2</f>
        <v/>
      </c>
      <c r="T471" s="35">
        <f>$L471*$S471</f>
        <v/>
      </c>
      <c r="U471" s="35">
        <f>$L471+$T471</f>
        <v/>
      </c>
    </row>
    <row r="472">
      <c r="A472" s="3" t="inlineStr">
        <is>
          <t>PKG-18::L-1807</t>
        </is>
      </c>
      <c r="B472" s="3" t="inlineStr">
        <is>
          <t>PKG-18</t>
        </is>
      </c>
      <c r="C472" s="3" t="inlineStr">
        <is>
          <t>DEL-18.03</t>
        </is>
      </c>
      <c r="D472" s="3" t="inlineStr">
        <is>
          <t>L-1807</t>
        </is>
      </c>
      <c r="E472" s="3" t="inlineStr">
        <is>
          <t>E</t>
        </is>
      </c>
      <c r="F472" s="3" t="inlineStr">
        <is>
          <t>PKG-18</t>
        </is>
      </c>
      <c r="G472" s="3" t="inlineStr">
        <is>
          <t>DEL-18.03</t>
        </is>
      </c>
      <c r="H472" s="3" t="inlineStr">
        <is>
          <t>Lighting Design Calculations - Photometric analysis</t>
        </is>
      </c>
      <c r="I472" s="22" t="n">
        <v>1</v>
      </c>
      <c r="J472" s="3" t="inlineStr">
        <is>
          <t>LS</t>
        </is>
      </c>
      <c r="K472" s="39" t="n">
        <v>20000</v>
      </c>
      <c r="L472" s="35" t="n">
        <v>20000</v>
      </c>
      <c r="M472" s="3" t="inlineStr">
        <is>
          <t>CAD</t>
        </is>
      </c>
      <c r="N472" s="3" t="inlineStr">
        <is>
          <t>ALLOWANCE</t>
        </is>
      </c>
      <c r="O472" s="3" t="inlineStr">
        <is>
          <t>A-1823; D-1806</t>
        </is>
      </c>
      <c r="P472" s="3" t="inlineStr">
        <is>
          <t>LOW</t>
        </is>
      </c>
      <c r="Q472" s="3" t="inlineStr">
        <is>
          <t>Illumination calculations for exterior and interior areas (software modeling)</t>
        </is>
      </c>
      <c r="R472" s="3">
        <f>VLOOKUP($F472,Inputs!$D$6:$E$41,2,FALSE)</f>
        <v/>
      </c>
      <c r="S472" s="36">
        <f>VLOOKUP($E472,Inputs!$A$6:$B$13,2,FALSE)*Inputs!$B$2</f>
        <v/>
      </c>
      <c r="T472" s="35">
        <f>$L472*$S472</f>
        <v/>
      </c>
      <c r="U472" s="35">
        <f>$L472+$T472</f>
        <v/>
      </c>
    </row>
    <row r="473">
      <c r="A473" s="3" t="inlineStr">
        <is>
          <t>PKG-18::L-1808</t>
        </is>
      </c>
      <c r="B473" s="3" t="inlineStr">
        <is>
          <t>PKG-18</t>
        </is>
      </c>
      <c r="C473" s="3" t="inlineStr">
        <is>
          <t>DEL-18.04</t>
        </is>
      </c>
      <c r="D473" s="3" t="inlineStr">
        <is>
          <t>L-1808</t>
        </is>
      </c>
      <c r="E473" s="3" t="inlineStr">
        <is>
          <t>E</t>
        </is>
      </c>
      <c r="F473" s="3" t="inlineStr">
        <is>
          <t>PKG-18</t>
        </is>
      </c>
      <c r="G473" s="3" t="inlineStr">
        <is>
          <t>DEL-18.04</t>
        </is>
      </c>
      <c r="H473" s="3" t="inlineStr">
        <is>
          <t>Lighting Data Sheet Package - Fixture and pole data sheets</t>
        </is>
      </c>
      <c r="I473" s="22" t="n">
        <v>1</v>
      </c>
      <c r="J473" s="3" t="inlineStr">
        <is>
          <t>LS</t>
        </is>
      </c>
      <c r="K473" s="39" t="n">
        <v>5000</v>
      </c>
      <c r="L473" s="35" t="n">
        <v>5000</v>
      </c>
      <c r="M473" s="3" t="inlineStr">
        <is>
          <t>CAD</t>
        </is>
      </c>
      <c r="N473" s="3" t="inlineStr">
        <is>
          <t>ALLOWANCE</t>
        </is>
      </c>
      <c r="O473" s="3" t="inlineStr">
        <is>
          <t>D-1806</t>
        </is>
      </c>
      <c r="P473" s="3" t="inlineStr">
        <is>
          <t>LOW</t>
        </is>
      </c>
      <c r="Q473" s="3" t="inlineStr">
        <is>
          <t>Data sheet package for fixtures and poles (vendor submittals)</t>
        </is>
      </c>
      <c r="R473" s="3">
        <f>VLOOKUP($F473,Inputs!$D$6:$E$41,2,FALSE)</f>
        <v/>
      </c>
      <c r="S473" s="36">
        <f>VLOOKUP($E473,Inputs!$A$6:$B$13,2,FALSE)*Inputs!$B$2</f>
        <v/>
      </c>
      <c r="T473" s="35">
        <f>$L473*$S473</f>
        <v/>
      </c>
      <c r="U473" s="35">
        <f>$L473+$T473</f>
        <v/>
      </c>
    </row>
    <row r="474">
      <c r="A474" s="3" t="inlineStr">
        <is>
          <t>PKG-18::L-1809</t>
        </is>
      </c>
      <c r="B474" s="3" t="inlineStr">
        <is>
          <t>PKG-18</t>
        </is>
      </c>
      <c r="C474" s="3" t="inlineStr">
        <is>
          <t>DEL-18.05</t>
        </is>
      </c>
      <c r="D474" s="3" t="inlineStr">
        <is>
          <t>L-1809</t>
        </is>
      </c>
      <c r="E474" s="3" t="inlineStr">
        <is>
          <t>E</t>
        </is>
      </c>
      <c r="F474" s="3" t="inlineStr">
        <is>
          <t>PKG-18</t>
        </is>
      </c>
      <c r="G474" s="3" t="inlineStr">
        <is>
          <t>DEL-18.05</t>
        </is>
      </c>
      <c r="H474" s="3" t="inlineStr">
        <is>
          <t>Lighting Installation &amp; Test Records - Test documentation</t>
        </is>
      </c>
      <c r="I474" s="22" t="n">
        <v>1</v>
      </c>
      <c r="J474" s="3" t="inlineStr">
        <is>
          <t>LS</t>
        </is>
      </c>
      <c r="K474" s="39" t="n">
        <v>5000</v>
      </c>
      <c r="L474" s="35" t="n">
        <v>5000</v>
      </c>
      <c r="M474" s="3" t="inlineStr">
        <is>
          <t>CAD</t>
        </is>
      </c>
      <c r="N474" s="3" t="inlineStr">
        <is>
          <t>ALLOWANCE</t>
        </is>
      </c>
      <c r="O474" s="3" t="inlineStr">
        <is>
          <t>D-1806</t>
        </is>
      </c>
      <c r="P474" s="3" t="inlineStr">
        <is>
          <t>LOW</t>
        </is>
      </c>
      <c r="Q474" s="3" t="inlineStr">
        <is>
          <t>Installation and commissioning test records preparation</t>
        </is>
      </c>
      <c r="R474" s="3">
        <f>VLOOKUP($F474,Inputs!$D$6:$E$41,2,FALSE)</f>
        <v/>
      </c>
      <c r="S474" s="36">
        <f>VLOOKUP($E474,Inputs!$A$6:$B$13,2,FALSE)*Inputs!$B$2</f>
        <v/>
      </c>
      <c r="T474" s="35">
        <f>$L474*$S474</f>
        <v/>
      </c>
      <c r="U474" s="35">
        <f>$L474+$T474</f>
        <v/>
      </c>
    </row>
    <row r="475">
      <c r="A475" s="3" t="inlineStr">
        <is>
          <t>PKG-18::L-1810</t>
        </is>
      </c>
      <c r="B475" s="3" t="inlineStr">
        <is>
          <t>PKG-18</t>
        </is>
      </c>
      <c r="C475" s="3" t="n"/>
      <c r="D475" s="3" t="inlineStr">
        <is>
          <t>L-1810</t>
        </is>
      </c>
      <c r="E475" s="3" t="inlineStr">
        <is>
          <t>MAT</t>
        </is>
      </c>
      <c r="F475" s="3" t="inlineStr">
        <is>
          <t>PKG-18</t>
        </is>
      </c>
      <c r="G475" s="3" t="n"/>
      <c r="H475" s="3" t="inlineStr">
        <is>
          <t>Exterior LED area lights - Pole-mounted fixtures</t>
        </is>
      </c>
      <c r="I475" s="22" t="n">
        <v>40</v>
      </c>
      <c r="J475" s="3" t="inlineStr">
        <is>
          <t>EA</t>
        </is>
      </c>
      <c r="K475" s="39" t="n">
        <v>2200</v>
      </c>
      <c r="L475" s="35" t="n">
        <v>88000</v>
      </c>
      <c r="M475" s="3" t="inlineStr">
        <is>
          <t>CAD</t>
        </is>
      </c>
      <c r="N475" s="3" t="inlineStr">
        <is>
          <t>ALLOWANCE</t>
        </is>
      </c>
      <c r="O475" s="3" t="inlineStr">
        <is>
          <t>A-1801; A-1809; D-1806</t>
        </is>
      </c>
      <c r="P475" s="3" t="inlineStr">
        <is>
          <t>LOW</t>
        </is>
      </c>
      <c r="Q475" s="3" t="inlineStr">
        <is>
          <t>LED area lights (150-300W equivalent; IP65+; marine-grade; mid-range qty)</t>
        </is>
      </c>
      <c r="R475" s="3">
        <f>VLOOKUP($F475,Inputs!$D$6:$E$41,2,FALSE)</f>
        <v/>
      </c>
      <c r="S475" s="36">
        <f>VLOOKUP($E475,Inputs!$A$6:$B$13,2,FALSE)*Inputs!$B$2</f>
        <v/>
      </c>
      <c r="T475" s="35">
        <f>$L475*$S475</f>
        <v/>
      </c>
      <c r="U475" s="35">
        <f>$L475+$T475</f>
        <v/>
      </c>
    </row>
    <row r="476">
      <c r="A476" s="3" t="inlineStr">
        <is>
          <t>PKG-18::L-1811</t>
        </is>
      </c>
      <c r="B476" s="3" t="inlineStr">
        <is>
          <t>PKG-18</t>
        </is>
      </c>
      <c r="C476" s="3" t="n"/>
      <c r="D476" s="3" t="inlineStr">
        <is>
          <t>L-1811</t>
        </is>
      </c>
      <c r="E476" s="3" t="inlineStr">
        <is>
          <t>MAT</t>
        </is>
      </c>
      <c r="F476" s="3" t="inlineStr">
        <is>
          <t>PKG-18</t>
        </is>
      </c>
      <c r="G476" s="3" t="n"/>
      <c r="H476" s="3" t="inlineStr">
        <is>
          <t>Exterior LED wall packs - Building-mounted fixtures</t>
        </is>
      </c>
      <c r="I476" s="22" t="n">
        <v>25</v>
      </c>
      <c r="J476" s="3" t="inlineStr">
        <is>
          <t>EA</t>
        </is>
      </c>
      <c r="K476" s="39" t="n">
        <v>800</v>
      </c>
      <c r="L476" s="35" t="n">
        <v>20000</v>
      </c>
      <c r="M476" s="3" t="inlineStr">
        <is>
          <t>CAD</t>
        </is>
      </c>
      <c r="N476" s="3" t="inlineStr">
        <is>
          <t>ALLOWANCE</t>
        </is>
      </c>
      <c r="O476" s="3" t="inlineStr">
        <is>
          <t>A-1802; A-1809; D-1806</t>
        </is>
      </c>
      <c r="P476" s="3" t="inlineStr">
        <is>
          <t>LOW</t>
        </is>
      </c>
      <c r="Q476" s="3" t="inlineStr">
        <is>
          <t>LED wall packs (50-100W equivalent; IP65+; building-mounted)</t>
        </is>
      </c>
      <c r="R476" s="3">
        <f>VLOOKUP($F476,Inputs!$D$6:$E$41,2,FALSE)</f>
        <v/>
      </c>
      <c r="S476" s="36">
        <f>VLOOKUP($E476,Inputs!$A$6:$B$13,2,FALSE)*Inputs!$B$2</f>
        <v/>
      </c>
      <c r="T476" s="35">
        <f>$L476*$S476</f>
        <v/>
      </c>
      <c r="U476" s="35">
        <f>$L476+$T476</f>
        <v/>
      </c>
    </row>
    <row r="477">
      <c r="A477" s="3" t="inlineStr">
        <is>
          <t>PKG-18::L-1812</t>
        </is>
      </c>
      <c r="B477" s="3" t="inlineStr">
        <is>
          <t>PKG-18</t>
        </is>
      </c>
      <c r="C477" s="3" t="n"/>
      <c r="D477" s="3" t="inlineStr">
        <is>
          <t>L-1812</t>
        </is>
      </c>
      <c r="E477" s="3" t="inlineStr">
        <is>
          <t>MAT</t>
        </is>
      </c>
      <c r="F477" s="3" t="inlineStr">
        <is>
          <t>PKG-18</t>
        </is>
      </c>
      <c r="G477" s="3" t="n"/>
      <c r="H477" s="3" t="inlineStr">
        <is>
          <t>Interior high-bay LED fixtures</t>
        </is>
      </c>
      <c r="I477" s="22" t="n">
        <v>50</v>
      </c>
      <c r="J477" s="3" t="inlineStr">
        <is>
          <t>EA</t>
        </is>
      </c>
      <c r="K477" s="39" t="n">
        <v>1100</v>
      </c>
      <c r="L477" s="35" t="n">
        <v>55000</v>
      </c>
      <c r="M477" s="3" t="inlineStr">
        <is>
          <t>CAD</t>
        </is>
      </c>
      <c r="N477" s="3" t="inlineStr">
        <is>
          <t>ALLOWANCE</t>
        </is>
      </c>
      <c r="O477" s="3" t="inlineStr">
        <is>
          <t>A-1803; A-1810; D-1806</t>
        </is>
      </c>
      <c r="P477" s="3" t="inlineStr">
        <is>
          <t>LOW</t>
        </is>
      </c>
      <c r="Q477" s="3" t="inlineStr">
        <is>
          <t>High-bay LED fixtures (100-200W equivalent; IP54+; warehouse/process areas)</t>
        </is>
      </c>
      <c r="R477" s="3">
        <f>VLOOKUP($F477,Inputs!$D$6:$E$41,2,FALSE)</f>
        <v/>
      </c>
      <c r="S477" s="36">
        <f>VLOOKUP($E477,Inputs!$A$6:$B$13,2,FALSE)*Inputs!$B$2</f>
        <v/>
      </c>
      <c r="T477" s="35">
        <f>$L477*$S477</f>
        <v/>
      </c>
      <c r="U477" s="35">
        <f>$L477+$T477</f>
        <v/>
      </c>
    </row>
    <row r="478">
      <c r="A478" s="3" t="inlineStr">
        <is>
          <t>PKG-18::L-1813</t>
        </is>
      </c>
      <c r="B478" s="3" t="inlineStr">
        <is>
          <t>PKG-18</t>
        </is>
      </c>
      <c r="C478" s="3" t="n"/>
      <c r="D478" s="3" t="inlineStr">
        <is>
          <t>L-1813</t>
        </is>
      </c>
      <c r="E478" s="3" t="inlineStr">
        <is>
          <t>MAT</t>
        </is>
      </c>
      <c r="F478" s="3" t="inlineStr">
        <is>
          <t>PKG-18</t>
        </is>
      </c>
      <c r="G478" s="3" t="n"/>
      <c r="H478" s="3" t="inlineStr">
        <is>
          <t>Interior office/control room LED fixtures</t>
        </is>
      </c>
      <c r="I478" s="22" t="n">
        <v>40</v>
      </c>
      <c r="J478" s="3" t="inlineStr">
        <is>
          <t>EA</t>
        </is>
      </c>
      <c r="K478" s="39" t="n">
        <v>450</v>
      </c>
      <c r="L478" s="35" t="n">
        <v>18000</v>
      </c>
      <c r="M478" s="3" t="inlineStr">
        <is>
          <t>CAD</t>
        </is>
      </c>
      <c r="N478" s="3" t="inlineStr">
        <is>
          <t>ALLOWANCE</t>
        </is>
      </c>
      <c r="O478" s="3" t="inlineStr">
        <is>
          <t>A-1804; A-1811; D-1806</t>
        </is>
      </c>
      <c r="P478" s="3" t="inlineStr">
        <is>
          <t>LOW</t>
        </is>
      </c>
      <c r="Q478" s="3" t="inlineStr">
        <is>
          <t>Office LED fixtures (troffer or linear; IP20-40; offices and control rooms)</t>
        </is>
      </c>
      <c r="R478" s="3">
        <f>VLOOKUP($F478,Inputs!$D$6:$E$41,2,FALSE)</f>
        <v/>
      </c>
      <c r="S478" s="36">
        <f>VLOOKUP($E478,Inputs!$A$6:$B$13,2,FALSE)*Inputs!$B$2</f>
        <v/>
      </c>
      <c r="T478" s="35">
        <f>$L478*$S478</f>
        <v/>
      </c>
      <c r="U478" s="35">
        <f>$L478+$T478</f>
        <v/>
      </c>
    </row>
    <row r="479">
      <c r="A479" s="3" t="inlineStr">
        <is>
          <t>PKG-18::L-1814</t>
        </is>
      </c>
      <c r="B479" s="3" t="inlineStr">
        <is>
          <t>PKG-18</t>
        </is>
      </c>
      <c r="C479" s="3" t="n"/>
      <c r="D479" s="3" t="inlineStr">
        <is>
          <t>L-1814</t>
        </is>
      </c>
      <c r="E479" s="3" t="inlineStr">
        <is>
          <t>MAT</t>
        </is>
      </c>
      <c r="F479" s="3" t="inlineStr">
        <is>
          <t>PKG-18</t>
        </is>
      </c>
      <c r="G479" s="3" t="n"/>
      <c r="H479" s="3" t="inlineStr">
        <is>
          <t>Emergency battery-backed LED fixtures</t>
        </is>
      </c>
      <c r="I479" s="22" t="n">
        <v>32</v>
      </c>
      <c r="J479" s="3" t="inlineStr">
        <is>
          <t>EA</t>
        </is>
      </c>
      <c r="K479" s="39" t="n">
        <v>750</v>
      </c>
      <c r="L479" s="35" t="n">
        <v>24000</v>
      </c>
      <c r="M479" s="3" t="inlineStr">
        <is>
          <t>CAD</t>
        </is>
      </c>
      <c r="N479" s="3" t="inlineStr">
        <is>
          <t>ALLOWANCE</t>
        </is>
      </c>
      <c r="O479" s="3" t="inlineStr">
        <is>
          <t>A-1805; A-1812; D-1806</t>
        </is>
      </c>
      <c r="P479" s="3" t="inlineStr">
        <is>
          <t>LOW</t>
        </is>
      </c>
      <c r="Q479" s="3" t="inlineStr">
        <is>
          <t>Emergency LED fixtures with integral battery backup (90-min duration per NFPA 101)</t>
        </is>
      </c>
      <c r="R479" s="3">
        <f>VLOOKUP($F479,Inputs!$D$6:$E$41,2,FALSE)</f>
        <v/>
      </c>
      <c r="S479" s="36">
        <f>VLOOKUP($E479,Inputs!$A$6:$B$13,2,FALSE)*Inputs!$B$2</f>
        <v/>
      </c>
      <c r="T479" s="35">
        <f>$L479*$S479</f>
        <v/>
      </c>
      <c r="U479" s="35">
        <f>$L479+$T479</f>
        <v/>
      </c>
    </row>
    <row r="480">
      <c r="A480" s="3" t="inlineStr">
        <is>
          <t>PKG-18::L-1815</t>
        </is>
      </c>
      <c r="B480" s="3" t="inlineStr">
        <is>
          <t>PKG-18</t>
        </is>
      </c>
      <c r="C480" s="3" t="n"/>
      <c r="D480" s="3" t="inlineStr">
        <is>
          <t>L-1815</t>
        </is>
      </c>
      <c r="E480" s="3" t="inlineStr">
        <is>
          <t>MAT</t>
        </is>
      </c>
      <c r="F480" s="3" t="inlineStr">
        <is>
          <t>PKG-18</t>
        </is>
      </c>
      <c r="G480" s="3" t="n"/>
      <c r="H480" s="3" t="inlineStr">
        <is>
          <t>Lighting control sensors and devices</t>
        </is>
      </c>
      <c r="I480" s="22" t="n">
        <v>25</v>
      </c>
      <c r="J480" s="3" t="inlineStr">
        <is>
          <t>EA</t>
        </is>
      </c>
      <c r="K480" s="39" t="n">
        <v>1000</v>
      </c>
      <c r="L480" s="35" t="n">
        <v>25000</v>
      </c>
      <c r="M480" s="3" t="inlineStr">
        <is>
          <t>CAD</t>
        </is>
      </c>
      <c r="N480" s="3" t="inlineStr">
        <is>
          <t>ALLOWANCE</t>
        </is>
      </c>
      <c r="O480" s="3" t="inlineStr">
        <is>
          <t>A-1806; A-1813; D-1806</t>
        </is>
      </c>
      <c r="P480" s="3" t="inlineStr">
        <is>
          <t>LOW</t>
        </is>
      </c>
      <c r="Q480" s="3" t="inlineStr">
        <is>
          <t>Occupancy sensors; photocells; switches; contactors; integration devices</t>
        </is>
      </c>
      <c r="R480" s="3">
        <f>VLOOKUP($F480,Inputs!$D$6:$E$41,2,FALSE)</f>
        <v/>
      </c>
      <c r="S480" s="36">
        <f>VLOOKUP($E480,Inputs!$A$6:$B$13,2,FALSE)*Inputs!$B$2</f>
        <v/>
      </c>
      <c r="T480" s="35">
        <f>$L480*$S480</f>
        <v/>
      </c>
      <c r="U480" s="35">
        <f>$L480+$T480</f>
        <v/>
      </c>
    </row>
    <row r="481">
      <c r="A481" s="3" t="inlineStr">
        <is>
          <t>PKG-18::L-1816</t>
        </is>
      </c>
      <c r="B481" s="3" t="inlineStr">
        <is>
          <t>PKG-18</t>
        </is>
      </c>
      <c r="C481" s="3" t="n"/>
      <c r="D481" s="3" t="inlineStr">
        <is>
          <t>L-1816</t>
        </is>
      </c>
      <c r="E481" s="3" t="inlineStr">
        <is>
          <t>MAT</t>
        </is>
      </c>
      <c r="F481" s="3" t="inlineStr">
        <is>
          <t>PKG-18</t>
        </is>
      </c>
      <c r="G481" s="3" t="n"/>
      <c r="H481" s="3" t="inlineStr">
        <is>
          <t>Exterior lighting poles - Steel or aluminum</t>
        </is>
      </c>
      <c r="I481" s="22" t="n">
        <v>40</v>
      </c>
      <c r="J481" s="3" t="inlineStr">
        <is>
          <t>EA</t>
        </is>
      </c>
      <c r="K481" s="39" t="n">
        <v>6000</v>
      </c>
      <c r="L481" s="35" t="n">
        <v>240000</v>
      </c>
      <c r="M481" s="3" t="inlineStr">
        <is>
          <t>CAD</t>
        </is>
      </c>
      <c r="N481" s="3" t="inlineStr">
        <is>
          <t>ALLOWANCE</t>
        </is>
      </c>
      <c r="O481" s="3" t="inlineStr">
        <is>
          <t>A-1807; A-1814; D-1806</t>
        </is>
      </c>
      <c r="P481" s="3" t="inlineStr">
        <is>
          <t>LOW</t>
        </is>
      </c>
      <c r="Q481" s="3" t="inlineStr">
        <is>
          <t>Lighting poles (30-40 ft; steel or aluminum; galvanized or powder-coated; marine-grade; base plate and anchor bolts; excludes foundation)</t>
        </is>
      </c>
      <c r="R481" s="3">
        <f>VLOOKUP($F481,Inputs!$D$6:$E$41,2,FALSE)</f>
        <v/>
      </c>
      <c r="S481" s="36">
        <f>VLOOKUP($E481,Inputs!$A$6:$B$13,2,FALSE)*Inputs!$B$2</f>
        <v/>
      </c>
      <c r="T481" s="35">
        <f>$L481*$S481</f>
        <v/>
      </c>
      <c r="U481" s="35">
        <f>$L481+$T481</f>
        <v/>
      </c>
    </row>
    <row r="482">
      <c r="A482" s="3" t="inlineStr">
        <is>
          <t>PKG-18::L-1817</t>
        </is>
      </c>
      <c r="B482" s="3" t="inlineStr">
        <is>
          <t>PKG-18</t>
        </is>
      </c>
      <c r="C482" s="3" t="n"/>
      <c r="D482" s="3" t="inlineStr">
        <is>
          <t>L-1817</t>
        </is>
      </c>
      <c r="E482" s="3" t="inlineStr">
        <is>
          <t>MAT</t>
        </is>
      </c>
      <c r="F482" s="3" t="inlineStr">
        <is>
          <t>PKG-18</t>
        </is>
      </c>
      <c r="G482" s="3" t="n"/>
      <c r="H482" s="3" t="inlineStr">
        <is>
          <t>Hazardous area lighting fixtures - Explosion-proof</t>
        </is>
      </c>
      <c r="I482" s="22" t="n">
        <v>8</v>
      </c>
      <c r="J482" s="3" t="inlineStr">
        <is>
          <t>EA</t>
        </is>
      </c>
      <c r="K482" s="39" t="n">
        <v>4000</v>
      </c>
      <c r="L482" s="35" t="n">
        <v>32000</v>
      </c>
      <c r="M482" s="3" t="inlineStr">
        <is>
          <t>CAD</t>
        </is>
      </c>
      <c r="N482" s="3" t="inlineStr">
        <is>
          <t>ALLOWANCE</t>
        </is>
      </c>
      <c r="O482" s="3" t="inlineStr">
        <is>
          <t>A-1808; A-1821; D-1806</t>
        </is>
      </c>
      <c r="P482" s="3" t="inlineStr">
        <is>
          <t>LOW</t>
        </is>
      </c>
      <c r="Q482" s="3" t="inlineStr">
        <is>
          <t>Explosion-proof or Class I Div 1/2 LED fixtures for classified areas (10-20% of total fixtures assumed)</t>
        </is>
      </c>
      <c r="R482" s="3">
        <f>VLOOKUP($F482,Inputs!$D$6:$E$41,2,FALSE)</f>
        <v/>
      </c>
      <c r="S482" s="36">
        <f>VLOOKUP($E482,Inputs!$A$6:$B$13,2,FALSE)*Inputs!$B$2</f>
        <v/>
      </c>
      <c r="T482" s="35">
        <f>$L482*$S482</f>
        <v/>
      </c>
      <c r="U482" s="35">
        <f>$L482+$T482</f>
        <v/>
      </c>
    </row>
    <row r="483">
      <c r="A483" s="3" t="inlineStr">
        <is>
          <t>PKG-18::L-1818</t>
        </is>
      </c>
      <c r="B483" s="3" t="inlineStr">
        <is>
          <t>PKG-18</t>
        </is>
      </c>
      <c r="C483" s="3" t="n"/>
      <c r="D483" s="3" t="inlineStr">
        <is>
          <t>L-1818</t>
        </is>
      </c>
      <c r="E483" s="3" t="inlineStr">
        <is>
          <t>MAT</t>
        </is>
      </c>
      <c r="F483" s="3" t="inlineStr">
        <is>
          <t>PKG-18</t>
        </is>
      </c>
      <c r="G483" s="3" t="n"/>
      <c r="H483" s="3" t="inlineStr">
        <is>
          <t>Wiring and conduit - Branch circuits</t>
        </is>
      </c>
      <c r="I483" s="22" t="n">
        <v>1</v>
      </c>
      <c r="J483" s="3" t="inlineStr">
        <is>
          <t>LS</t>
        </is>
      </c>
      <c r="K483" s="39" t="n">
        <v>45000</v>
      </c>
      <c r="L483" s="35" t="n">
        <v>45000</v>
      </c>
      <c r="M483" s="3" t="inlineStr">
        <is>
          <t>CAD</t>
        </is>
      </c>
      <c r="N483" s="3" t="inlineStr">
        <is>
          <t>ALLOWANCE</t>
        </is>
      </c>
      <c r="O483" s="3" t="inlineStr">
        <is>
          <t>A-1818; A-1827; D-1806</t>
        </is>
      </c>
      <c r="P483" s="3" t="inlineStr">
        <is>
          <t>LOW</t>
        </is>
      </c>
      <c r="Q483" s="3" t="inlineStr">
        <is>
          <t>Lighting circuit wiring; conduit; boxes; connectors; accessories (extent TBD pending layouts)</t>
        </is>
      </c>
      <c r="R483" s="3">
        <f>VLOOKUP($F483,Inputs!$D$6:$E$41,2,FALSE)</f>
        <v/>
      </c>
      <c r="S483" s="36">
        <f>VLOOKUP($E483,Inputs!$A$6:$B$13,2,FALSE)*Inputs!$B$2</f>
        <v/>
      </c>
      <c r="T483" s="35">
        <f>$L483*$S483</f>
        <v/>
      </c>
      <c r="U483" s="35">
        <f>$L483+$T483</f>
        <v/>
      </c>
    </row>
    <row r="484">
      <c r="A484" s="3" t="inlineStr">
        <is>
          <t>PKG-18::L-1819</t>
        </is>
      </c>
      <c r="B484" s="3" t="inlineStr">
        <is>
          <t>PKG-18</t>
        </is>
      </c>
      <c r="C484" s="3" t="n"/>
      <c r="D484" s="3" t="inlineStr">
        <is>
          <t>L-1819</t>
        </is>
      </c>
      <c r="E484" s="3" t="inlineStr">
        <is>
          <t>MAT</t>
        </is>
      </c>
      <c r="F484" s="3" t="inlineStr">
        <is>
          <t>PKG-18</t>
        </is>
      </c>
      <c r="G484" s="3" t="n"/>
      <c r="H484" s="3" t="inlineStr">
        <is>
          <t>Lighting control panel and integration hardware</t>
        </is>
      </c>
      <c r="I484" s="22" t="n">
        <v>1</v>
      </c>
      <c r="J484" s="3" t="inlineStr">
        <is>
          <t>LS</t>
        </is>
      </c>
      <c r="K484" s="39" t="n">
        <v>28000</v>
      </c>
      <c r="L484" s="35" t="n">
        <v>28000</v>
      </c>
      <c r="M484" s="3" t="inlineStr">
        <is>
          <t>CAD</t>
        </is>
      </c>
      <c r="N484" s="3" t="inlineStr">
        <is>
          <t>ALLOWANCE</t>
        </is>
      </c>
      <c r="O484" s="3" t="inlineStr">
        <is>
          <t>A-1824; D-1806</t>
        </is>
      </c>
      <c r="P484" s="3" t="inlineStr">
        <is>
          <t>LOW</t>
        </is>
      </c>
      <c r="Q484" s="3" t="inlineStr">
        <is>
          <t>Control panels; relays; communication modules; integration with PKG-19 (scope TBD)</t>
        </is>
      </c>
      <c r="R484" s="3">
        <f>VLOOKUP($F484,Inputs!$D$6:$E$41,2,FALSE)</f>
        <v/>
      </c>
      <c r="S484" s="36">
        <f>VLOOKUP($E484,Inputs!$A$6:$B$13,2,FALSE)*Inputs!$B$2</f>
        <v/>
      </c>
      <c r="T484" s="35">
        <f>$L484*$S484</f>
        <v/>
      </c>
      <c r="U484" s="35">
        <f>$L484+$T484</f>
        <v/>
      </c>
    </row>
    <row r="485">
      <c r="A485" s="3" t="inlineStr">
        <is>
          <t>PKG-18::L-1820</t>
        </is>
      </c>
      <c r="B485" s="3" t="inlineStr">
        <is>
          <t>PKG-18</t>
        </is>
      </c>
      <c r="C485" s="3" t="n"/>
      <c r="D485" s="3" t="inlineStr">
        <is>
          <t>L-1820</t>
        </is>
      </c>
      <c r="E485" s="3" t="inlineStr">
        <is>
          <t>CD</t>
        </is>
      </c>
      <c r="F485" s="3" t="inlineStr">
        <is>
          <t>PKG-18</t>
        </is>
      </c>
      <c r="G485" s="3" t="n"/>
      <c r="H485" s="3" t="inlineStr">
        <is>
          <t>Exterior pole installation - Setting and wiring</t>
        </is>
      </c>
      <c r="I485" s="22" t="n">
        <v>40</v>
      </c>
      <c r="J485" s="3" t="inlineStr">
        <is>
          <t>EA</t>
        </is>
      </c>
      <c r="K485" s="39" t="n">
        <v>1500</v>
      </c>
      <c r="L485" s="35" t="n">
        <v>60000</v>
      </c>
      <c r="M485" s="3" t="inlineStr">
        <is>
          <t>CAD</t>
        </is>
      </c>
      <c r="N485" s="3" t="inlineStr">
        <is>
          <t>ALLOWANCE</t>
        </is>
      </c>
      <c r="O485" s="3" t="inlineStr">
        <is>
          <t>A-1807; A-1815; D-1806</t>
        </is>
      </c>
      <c r="P485" s="3" t="inlineStr">
        <is>
          <t>LOW</t>
        </is>
      </c>
      <c r="Q485" s="3" t="inlineStr">
        <is>
          <t>Pole erection; alignment; grounding; wiring to fixture (excludes foundation by civil)</t>
        </is>
      </c>
      <c r="R485" s="3">
        <f>VLOOKUP($F485,Inputs!$D$6:$E$41,2,FALSE)</f>
        <v/>
      </c>
      <c r="S485" s="36">
        <f>VLOOKUP($E485,Inputs!$A$6:$B$13,2,FALSE)*Inputs!$B$2</f>
        <v/>
      </c>
      <c r="T485" s="35">
        <f>$L485*$S485</f>
        <v/>
      </c>
      <c r="U485" s="35">
        <f>$L485+$T485</f>
        <v/>
      </c>
    </row>
    <row r="486">
      <c r="A486" s="3" t="inlineStr">
        <is>
          <t>PKG-18::L-1821</t>
        </is>
      </c>
      <c r="B486" s="3" t="inlineStr">
        <is>
          <t>PKG-18</t>
        </is>
      </c>
      <c r="C486" s="3" t="n"/>
      <c r="D486" s="3" t="inlineStr">
        <is>
          <t>L-1821</t>
        </is>
      </c>
      <c r="E486" s="3" t="inlineStr">
        <is>
          <t>CD</t>
        </is>
      </c>
      <c r="F486" s="3" t="inlineStr">
        <is>
          <t>PKG-18</t>
        </is>
      </c>
      <c r="G486" s="3" t="n"/>
      <c r="H486" s="3" t="inlineStr">
        <is>
          <t>Exterior fixture installation - Pole-mounted and wall-mounted</t>
        </is>
      </c>
      <c r="I486" s="22" t="n">
        <v>65</v>
      </c>
      <c r="J486" s="3" t="inlineStr">
        <is>
          <t>EA</t>
        </is>
      </c>
      <c r="K486" s="39" t="n">
        <v>540</v>
      </c>
      <c r="L486" s="35" t="n">
        <v>35000</v>
      </c>
      <c r="M486" s="3" t="inlineStr">
        <is>
          <t>CAD</t>
        </is>
      </c>
      <c r="N486" s="3" t="inlineStr">
        <is>
          <t>ALLOWANCE</t>
        </is>
      </c>
      <c r="O486" s="3" t="inlineStr">
        <is>
          <t>A-1801; A-1802; A-1815; D-1806</t>
        </is>
      </c>
      <c r="P486" s="3" t="inlineStr">
        <is>
          <t>LOW</t>
        </is>
      </c>
      <c r="Q486" s="3" t="inlineStr">
        <is>
          <t>Mounting of exterior fixtures to poles or building walls; aiming and alignment</t>
        </is>
      </c>
      <c r="R486" s="3">
        <f>VLOOKUP($F486,Inputs!$D$6:$E$41,2,FALSE)</f>
        <v/>
      </c>
      <c r="S486" s="36">
        <f>VLOOKUP($E486,Inputs!$A$6:$B$13,2,FALSE)*Inputs!$B$2</f>
        <v/>
      </c>
      <c r="T486" s="35">
        <f>$L486*$S486</f>
        <v/>
      </c>
      <c r="U486" s="35">
        <f>$L486+$T486</f>
        <v/>
      </c>
    </row>
    <row r="487">
      <c r="A487" s="3" t="inlineStr">
        <is>
          <t>PKG-18::L-1822</t>
        </is>
      </c>
      <c r="B487" s="3" t="inlineStr">
        <is>
          <t>PKG-18</t>
        </is>
      </c>
      <c r="C487" s="3" t="n"/>
      <c r="D487" s="3" t="inlineStr">
        <is>
          <t>L-1822</t>
        </is>
      </c>
      <c r="E487" s="3" t="inlineStr">
        <is>
          <t>CD</t>
        </is>
      </c>
      <c r="F487" s="3" t="inlineStr">
        <is>
          <t>PKG-18</t>
        </is>
      </c>
      <c r="G487" s="3" t="n"/>
      <c r="H487" s="3" t="inlineStr">
        <is>
          <t>Interior fixture installation - High-bay and office</t>
        </is>
      </c>
      <c r="I487" s="22" t="n">
        <v>90</v>
      </c>
      <c r="J487" s="3" t="inlineStr">
        <is>
          <t>EA</t>
        </is>
      </c>
      <c r="K487" s="39" t="n">
        <v>200</v>
      </c>
      <c r="L487" s="35" t="n">
        <v>18000</v>
      </c>
      <c r="M487" s="3" t="inlineStr">
        <is>
          <t>CAD</t>
        </is>
      </c>
      <c r="N487" s="3" t="inlineStr">
        <is>
          <t>ALLOWANCE</t>
        </is>
      </c>
      <c r="O487" s="3" t="inlineStr">
        <is>
          <t>A-1803; A-1804; A-1816; D-1806</t>
        </is>
      </c>
      <c r="P487" s="3" t="inlineStr">
        <is>
          <t>LOW</t>
        </is>
      </c>
      <c r="Q487" s="3" t="inlineStr">
        <is>
          <t>Mounting of interior fixtures to ceilings or walls; includes wiring to fixtures</t>
        </is>
      </c>
      <c r="R487" s="3">
        <f>VLOOKUP($F487,Inputs!$D$6:$E$41,2,FALSE)</f>
        <v/>
      </c>
      <c r="S487" s="36">
        <f>VLOOKUP($E487,Inputs!$A$6:$B$13,2,FALSE)*Inputs!$B$2</f>
        <v/>
      </c>
      <c r="T487" s="35">
        <f>$L487*$S487</f>
        <v/>
      </c>
      <c r="U487" s="35">
        <f>$L487+$T487</f>
        <v/>
      </c>
    </row>
    <row r="488">
      <c r="A488" s="3" t="inlineStr">
        <is>
          <t>PKG-18::L-1823</t>
        </is>
      </c>
      <c r="B488" s="3" t="inlineStr">
        <is>
          <t>PKG-18</t>
        </is>
      </c>
      <c r="C488" s="3" t="n"/>
      <c r="D488" s="3" t="inlineStr">
        <is>
          <t>L-1823</t>
        </is>
      </c>
      <c r="E488" s="3" t="inlineStr">
        <is>
          <t>CD</t>
        </is>
      </c>
      <c r="F488" s="3" t="inlineStr">
        <is>
          <t>PKG-18</t>
        </is>
      </c>
      <c r="G488" s="3" t="n"/>
      <c r="H488" s="3" t="inlineStr">
        <is>
          <t>Emergency lighting installation</t>
        </is>
      </c>
      <c r="I488" s="22" t="n">
        <v>32</v>
      </c>
      <c r="J488" s="3" t="inlineStr">
        <is>
          <t>EA</t>
        </is>
      </c>
      <c r="K488" s="39" t="n">
        <v>310</v>
      </c>
      <c r="L488" s="35" t="n">
        <v>10000</v>
      </c>
      <c r="M488" s="3" t="inlineStr">
        <is>
          <t>CAD</t>
        </is>
      </c>
      <c r="N488" s="3" t="inlineStr">
        <is>
          <t>ALLOWANCE</t>
        </is>
      </c>
      <c r="O488" s="3" t="inlineStr">
        <is>
          <t>A-1805; A-1816; D-1806</t>
        </is>
      </c>
      <c r="P488" s="3" t="inlineStr">
        <is>
          <t>LOW</t>
        </is>
      </c>
      <c r="Q488" s="3" t="inlineStr">
        <is>
          <t>Emergency fixture installation and battery backup wiring</t>
        </is>
      </c>
      <c r="R488" s="3">
        <f>VLOOKUP($F488,Inputs!$D$6:$E$41,2,FALSE)</f>
        <v/>
      </c>
      <c r="S488" s="36">
        <f>VLOOKUP($E488,Inputs!$A$6:$B$13,2,FALSE)*Inputs!$B$2</f>
        <v/>
      </c>
      <c r="T488" s="35">
        <f>$L488*$S488</f>
        <v/>
      </c>
      <c r="U488" s="35">
        <f>$L488+$T488</f>
        <v/>
      </c>
    </row>
    <row r="489">
      <c r="A489" s="3" t="inlineStr">
        <is>
          <t>PKG-18::L-1824</t>
        </is>
      </c>
      <c r="B489" s="3" t="inlineStr">
        <is>
          <t>PKG-18</t>
        </is>
      </c>
      <c r="C489" s="3" t="n"/>
      <c r="D489" s="3" t="inlineStr">
        <is>
          <t>L-1824</t>
        </is>
      </c>
      <c r="E489" s="3" t="inlineStr">
        <is>
          <t>CD</t>
        </is>
      </c>
      <c r="F489" s="3" t="inlineStr">
        <is>
          <t>PKG-18</t>
        </is>
      </c>
      <c r="G489" s="3" t="n"/>
      <c r="H489" s="3" t="inlineStr">
        <is>
          <t>Lighting controls installation and programming</t>
        </is>
      </c>
      <c r="I489" s="22" t="n">
        <v>1</v>
      </c>
      <c r="J489" s="3" t="inlineStr">
        <is>
          <t>LS</t>
        </is>
      </c>
      <c r="K489" s="39" t="n">
        <v>35000</v>
      </c>
      <c r="L489" s="35" t="n">
        <v>35000</v>
      </c>
      <c r="M489" s="3" t="inlineStr">
        <is>
          <t>CAD</t>
        </is>
      </c>
      <c r="N489" s="3" t="inlineStr">
        <is>
          <t>ALLOWANCE</t>
        </is>
      </c>
      <c r="O489" s="3" t="inlineStr">
        <is>
          <t>A-1817; A-1824; D-1806</t>
        </is>
      </c>
      <c r="P489" s="3" t="inlineStr">
        <is>
          <t>LOW</t>
        </is>
      </c>
      <c r="Q489" s="3" t="inlineStr">
        <is>
          <t>Installation of sensors; switches; control panels; system programming and integration with PKG-19</t>
        </is>
      </c>
      <c r="R489" s="3">
        <f>VLOOKUP($F489,Inputs!$D$6:$E$41,2,FALSE)</f>
        <v/>
      </c>
      <c r="S489" s="36">
        <f>VLOOKUP($E489,Inputs!$A$6:$B$13,2,FALSE)*Inputs!$B$2</f>
        <v/>
      </c>
      <c r="T489" s="35">
        <f>$L489*$S489</f>
        <v/>
      </c>
      <c r="U489" s="35">
        <f>$L489+$T489</f>
        <v/>
      </c>
    </row>
    <row r="490">
      <c r="A490" s="3" t="inlineStr">
        <is>
          <t>PKG-18::L-1825</t>
        </is>
      </c>
      <c r="B490" s="3" t="inlineStr">
        <is>
          <t>PKG-18</t>
        </is>
      </c>
      <c r="C490" s="3" t="n"/>
      <c r="D490" s="3" t="inlineStr">
        <is>
          <t>L-1825</t>
        </is>
      </c>
      <c r="E490" s="3" t="inlineStr">
        <is>
          <t>CD</t>
        </is>
      </c>
      <c r="F490" s="3" t="inlineStr">
        <is>
          <t>PKG-18</t>
        </is>
      </c>
      <c r="G490" s="3" t="n"/>
      <c r="H490" s="3" t="inlineStr">
        <is>
          <t>Circuit wiring and terminations</t>
        </is>
      </c>
      <c r="I490" s="22" t="n">
        <v>1</v>
      </c>
      <c r="J490" s="3" t="inlineStr">
        <is>
          <t>LS</t>
        </is>
      </c>
      <c r="K490" s="39" t="n">
        <v>100000</v>
      </c>
      <c r="L490" s="35" t="n">
        <v>100000</v>
      </c>
      <c r="M490" s="3" t="inlineStr">
        <is>
          <t>CAD</t>
        </is>
      </c>
      <c r="N490" s="3" t="inlineStr">
        <is>
          <t>ALLOWANCE</t>
        </is>
      </c>
      <c r="O490" s="3" t="inlineStr">
        <is>
          <t>A-1818; A-1827; D-1806</t>
        </is>
      </c>
      <c r="P490" s="3" t="inlineStr">
        <is>
          <t>LOW</t>
        </is>
      </c>
      <c r="Q490" s="3" t="inlineStr">
        <is>
          <t>Lighting circuit wiring; panel terminations; testing; labeling (labor portion)</t>
        </is>
      </c>
      <c r="R490" s="3">
        <f>VLOOKUP($F490,Inputs!$D$6:$E$41,2,FALSE)</f>
        <v/>
      </c>
      <c r="S490" s="36">
        <f>VLOOKUP($E490,Inputs!$A$6:$B$13,2,FALSE)*Inputs!$B$2</f>
        <v/>
      </c>
      <c r="T490" s="35">
        <f>$L490*$S490</f>
        <v/>
      </c>
      <c r="U490" s="35">
        <f>$L490+$T490</f>
        <v/>
      </c>
    </row>
    <row r="491">
      <c r="A491" s="3" t="inlineStr">
        <is>
          <t>PKG-18::L-1826</t>
        </is>
      </c>
      <c r="B491" s="3" t="inlineStr">
        <is>
          <t>PKG-18</t>
        </is>
      </c>
      <c r="C491" s="3" t="n"/>
      <c r="D491" s="3" t="inlineStr">
        <is>
          <t>L-1826</t>
        </is>
      </c>
      <c r="E491" s="3" t="inlineStr">
        <is>
          <t>CD</t>
        </is>
      </c>
      <c r="F491" s="3" t="inlineStr">
        <is>
          <t>PKG-18</t>
        </is>
      </c>
      <c r="G491" s="3" t="n"/>
      <c r="H491" s="3" t="inlineStr">
        <is>
          <t>Hazardous area fixture installation premium</t>
        </is>
      </c>
      <c r="I491" s="22" t="n">
        <v>8</v>
      </c>
      <c r="J491" s="3" t="inlineStr">
        <is>
          <t>EA</t>
        </is>
      </c>
      <c r="K491" s="39" t="n">
        <v>875</v>
      </c>
      <c r="L491" s="35" t="n">
        <v>7000</v>
      </c>
      <c r="M491" s="3" t="inlineStr">
        <is>
          <t>CAD</t>
        </is>
      </c>
      <c r="N491" s="3" t="inlineStr">
        <is>
          <t>ALLOWANCE</t>
        </is>
      </c>
      <c r="O491" s="3" t="inlineStr">
        <is>
          <t>A-1808; A-1821; D-1806</t>
        </is>
      </c>
      <c r="P491" s="3" t="inlineStr">
        <is>
          <t>LOW</t>
        </is>
      </c>
      <c r="Q491" s="3" t="inlineStr">
        <is>
          <t>Additional labor for explosion-proof fixture installation (sealing; grounding; special tools)</t>
        </is>
      </c>
      <c r="R491" s="3">
        <f>VLOOKUP($F491,Inputs!$D$6:$E$41,2,FALSE)</f>
        <v/>
      </c>
      <c r="S491" s="36">
        <f>VLOOKUP($E491,Inputs!$A$6:$B$13,2,FALSE)*Inputs!$B$2</f>
        <v/>
      </c>
      <c r="T491" s="35">
        <f>$L491*$S491</f>
        <v/>
      </c>
      <c r="U491" s="35">
        <f>$L491+$T491</f>
        <v/>
      </c>
    </row>
    <row r="492">
      <c r="A492" s="3" t="inlineStr">
        <is>
          <t>PKG-18::L-1827</t>
        </is>
      </c>
      <c r="B492" s="3" t="inlineStr">
        <is>
          <t>PKG-18</t>
        </is>
      </c>
      <c r="C492" s="3" t="n"/>
      <c r="D492" s="3" t="inlineStr">
        <is>
          <t>L-1827</t>
        </is>
      </c>
      <c r="E492" s="3" t="inlineStr">
        <is>
          <t>CI</t>
        </is>
      </c>
      <c r="F492" s="3" t="inlineStr">
        <is>
          <t>PKG-18</t>
        </is>
      </c>
      <c r="G492" s="3" t="n"/>
      <c r="H492" s="3" t="inlineStr">
        <is>
          <t>Construction indirects - Field supervision and QA/QC</t>
        </is>
      </c>
      <c r="I492" s="22" t="n">
        <v>1</v>
      </c>
      <c r="J492" s="3" t="inlineStr">
        <is>
          <t>LS</t>
        </is>
      </c>
      <c r="K492" s="39" t="n">
        <v>47700</v>
      </c>
      <c r="L492" s="35" t="n">
        <v>47700</v>
      </c>
      <c r="M492" s="3" t="inlineStr">
        <is>
          <t>CAD</t>
        </is>
      </c>
      <c r="N492" s="3" t="inlineStr">
        <is>
          <t>PARAMETRIC</t>
        </is>
      </c>
      <c r="O492" s="3" t="inlineStr">
        <is>
          <t>D-1807 (18% of CD)</t>
        </is>
      </c>
      <c r="P492" s="3" t="inlineStr">
        <is>
          <t>MED</t>
        </is>
      </c>
      <c r="Q492" s="3" t="inlineStr">
        <is>
          <t>Field supervision; electrical safety oversight; installation QA/QC (18% of $265;000 CD)</t>
        </is>
      </c>
      <c r="R492" s="3">
        <f>VLOOKUP($F492,Inputs!$D$6:$E$41,2,FALSE)</f>
        <v/>
      </c>
      <c r="S492" s="36">
        <f>VLOOKUP($E492,Inputs!$A$6:$B$13,2,FALSE)*Inputs!$B$2</f>
        <v/>
      </c>
      <c r="T492" s="35">
        <f>$L492*$S492</f>
        <v/>
      </c>
      <c r="U492" s="35">
        <f>$L492+$T492</f>
        <v/>
      </c>
    </row>
    <row r="493">
      <c r="A493" s="3" t="inlineStr">
        <is>
          <t>PKG-18::L-1828</t>
        </is>
      </c>
      <c r="B493" s="3" t="inlineStr">
        <is>
          <t>PKG-18</t>
        </is>
      </c>
      <c r="C493" s="3" t="n"/>
      <c r="D493" s="3" t="inlineStr">
        <is>
          <t>L-1828</t>
        </is>
      </c>
      <c r="E493" s="3" t="inlineStr">
        <is>
          <t>PM</t>
        </is>
      </c>
      <c r="F493" s="3" t="inlineStr">
        <is>
          <t>PKG-18</t>
        </is>
      </c>
      <c r="G493" s="3" t="n"/>
      <c r="H493" s="3" t="inlineStr">
        <is>
          <t>EPCM / Project management - Lighting coordination</t>
        </is>
      </c>
      <c r="I493" s="22" t="n">
        <v>1</v>
      </c>
      <c r="J493" s="3" t="inlineStr">
        <is>
          <t>LS</t>
        </is>
      </c>
      <c r="K493" s="39" t="n">
        <v>78540</v>
      </c>
      <c r="L493" s="35" t="n">
        <v>78540</v>
      </c>
      <c r="M493" s="3" t="inlineStr">
        <is>
          <t>CAD</t>
        </is>
      </c>
      <c r="N493" s="3" t="inlineStr">
        <is>
          <t>PARAMETRIC</t>
        </is>
      </c>
      <c r="O493" s="3" t="inlineStr">
        <is>
          <t>D-1807 (6% of CD+CI+MAT)</t>
        </is>
      </c>
      <c r="P493" s="3" t="inlineStr">
        <is>
          <t>MED</t>
        </is>
      </c>
      <c r="Q493" s="3" t="inlineStr">
        <is>
          <t>Electrical engineering coordination; interface management with PKG-17; PKG-19; PKG-21 (6% of $787;700)</t>
        </is>
      </c>
      <c r="R493" s="3">
        <f>VLOOKUP($F493,Inputs!$D$6:$E$41,2,FALSE)</f>
        <v/>
      </c>
      <c r="S493" s="36">
        <f>VLOOKUP($E493,Inputs!$A$6:$B$13,2,FALSE)*Inputs!$B$2</f>
        <v/>
      </c>
      <c r="T493" s="35">
        <f>$L493*$S493</f>
        <v/>
      </c>
      <c r="U493" s="35">
        <f>$L493+$T493</f>
        <v/>
      </c>
    </row>
    <row r="494">
      <c r="A494" s="3" t="inlineStr">
        <is>
          <t>PKG-18::L-1829</t>
        </is>
      </c>
      <c r="B494" s="3" t="inlineStr">
        <is>
          <t>PKG-18</t>
        </is>
      </c>
      <c r="C494" s="3" t="n"/>
      <c r="D494" s="3" t="inlineStr">
        <is>
          <t>L-1829</t>
        </is>
      </c>
      <c r="E494" s="3" t="inlineStr">
        <is>
          <t>P</t>
        </is>
      </c>
      <c r="F494" s="3" t="inlineStr">
        <is>
          <t>PKG-18</t>
        </is>
      </c>
      <c r="G494" s="3" t="n"/>
      <c r="H494" s="3" t="inlineStr">
        <is>
          <t>Procurement services - Vendor coordination and expediting</t>
        </is>
      </c>
      <c r="I494" s="22" t="n">
        <v>1</v>
      </c>
      <c r="J494" s="3" t="inlineStr">
        <is>
          <t>LS</t>
        </is>
      </c>
      <c r="K494" s="39" t="n">
        <v>9500</v>
      </c>
      <c r="L494" s="35" t="n">
        <v>9500</v>
      </c>
      <c r="M494" s="3" t="inlineStr">
        <is>
          <t>CAD</t>
        </is>
      </c>
      <c r="N494" s="3" t="inlineStr">
        <is>
          <t>PARAMETRIC</t>
        </is>
      </c>
      <c r="O494" s="3" t="inlineStr">
        <is>
          <t>D-1807 (2% of MAT)</t>
        </is>
      </c>
      <c r="P494" s="3" t="inlineStr">
        <is>
          <t>MED</t>
        </is>
      </c>
      <c r="Q494" s="3" t="inlineStr">
        <is>
          <t>Fixture and equipment procurement; vendor coordination; expediting (2% of $475;000 MAT)</t>
        </is>
      </c>
      <c r="R494" s="3">
        <f>VLOOKUP($F494,Inputs!$D$6:$E$41,2,FALSE)</f>
        <v/>
      </c>
      <c r="S494" s="36">
        <f>VLOOKUP($E494,Inputs!$A$6:$B$13,2,FALSE)*Inputs!$B$2</f>
        <v/>
      </c>
      <c r="T494" s="35">
        <f>$L494*$S494</f>
        <v/>
      </c>
      <c r="U494" s="35">
        <f>$L494+$T494</f>
        <v/>
      </c>
    </row>
    <row r="495">
      <c r="A495" s="3" t="inlineStr">
        <is>
          <t>PKG-18::L-1830</t>
        </is>
      </c>
      <c r="B495" s="3" t="inlineStr">
        <is>
          <t>PKG-18</t>
        </is>
      </c>
      <c r="C495" s="3" t="n"/>
      <c r="D495" s="3" t="inlineStr">
        <is>
          <t>L-1830</t>
        </is>
      </c>
      <c r="E495" s="3" t="inlineStr">
        <is>
          <t>COM</t>
        </is>
      </c>
      <c r="F495" s="3" t="inlineStr">
        <is>
          <t>PKG-18</t>
        </is>
      </c>
      <c r="G495" s="3" t="n"/>
      <c r="H495" s="3" t="inlineStr">
        <is>
          <t>Commissioning - Illumination testing and functional testing</t>
        </is>
      </c>
      <c r="I495" s="22" t="n">
        <v>1</v>
      </c>
      <c r="J495" s="3" t="inlineStr">
        <is>
          <t>LS</t>
        </is>
      </c>
      <c r="K495" s="39" t="n">
        <v>166596</v>
      </c>
      <c r="L495" s="35" t="n">
        <v>166596</v>
      </c>
      <c r="M495" s="3" t="inlineStr">
        <is>
          <t>CAD</t>
        </is>
      </c>
      <c r="N495" s="3" t="inlineStr">
        <is>
          <t>PARAMETRIC</t>
        </is>
      </c>
      <c r="O495" s="3" t="inlineStr">
        <is>
          <t>D-1808 (Enhanced for testing scope)</t>
        </is>
      </c>
      <c r="P495" s="3" t="inlineStr">
        <is>
          <t>MED</t>
        </is>
      </c>
      <c r="Q495" s="3" t="inlineStr">
        <is>
          <t>Field illumination testing (exterior and interior); emergency duration testing; control functional testing; training; acceptance</t>
        </is>
      </c>
      <c r="R495" s="3">
        <f>VLOOKUP($F495,Inputs!$D$6:$E$41,2,FALSE)</f>
        <v/>
      </c>
      <c r="S495" s="36">
        <f>VLOOKUP($E495,Inputs!$A$6:$B$13,2,FALSE)*Inputs!$B$2</f>
        <v/>
      </c>
      <c r="T495" s="35">
        <f>$L495*$S495</f>
        <v/>
      </c>
      <c r="U495" s="35">
        <f>$L495+$T495</f>
        <v/>
      </c>
    </row>
    <row r="496">
      <c r="A496" s="3" t="inlineStr">
        <is>
          <t>PKG-19::L-001</t>
        </is>
      </c>
      <c r="B496" s="3" t="inlineStr">
        <is>
          <t>PKG-19</t>
        </is>
      </c>
      <c r="C496" s="3" t="inlineStr">
        <is>
          <t>DEL-19.01</t>
        </is>
      </c>
      <c r="D496" s="3" t="inlineStr">
        <is>
          <t>L-001</t>
        </is>
      </c>
      <c r="E496" s="3" t="inlineStr">
        <is>
          <t>E</t>
        </is>
      </c>
      <c r="F496" s="3" t="inlineStr">
        <is>
          <t>PKG-19</t>
        </is>
      </c>
      <c r="G496" s="3" t="inlineStr">
        <is>
          <t>DEL-19.01</t>
        </is>
      </c>
      <c r="H496" s="3" t="inlineStr">
        <is>
          <t>Control system architecture design</t>
        </is>
      </c>
      <c r="I496" s="22" t="n">
        <v>1</v>
      </c>
      <c r="J496" s="3" t="inlineStr">
        <is>
          <t>LS</t>
        </is>
      </c>
      <c r="K496" s="39" t="n">
        <v>30000</v>
      </c>
      <c r="L496" s="35" t="n">
        <v>30000</v>
      </c>
      <c r="M496" s="3" t="inlineStr">
        <is>
          <t>CAD</t>
        </is>
      </c>
      <c r="N496" s="3" t="inlineStr">
        <is>
          <t>ALLOWANCE</t>
        </is>
      </c>
      <c r="O496" s="3" t="inlineStr">
        <is>
          <t>A-015</t>
        </is>
      </c>
      <c r="P496" s="3" t="inlineStr">
        <is>
          <t>LOW</t>
        </is>
      </c>
      <c r="Q496" s="3" t="inlineStr">
        <is>
          <t>System architecture and network design</t>
        </is>
      </c>
      <c r="R496" s="3">
        <f>VLOOKUP($F496,Inputs!$D$6:$E$41,2,FALSE)</f>
        <v/>
      </c>
      <c r="S496" s="36">
        <f>VLOOKUP($E496,Inputs!$A$6:$B$13,2,FALSE)*Inputs!$B$2</f>
        <v/>
      </c>
      <c r="T496" s="35">
        <f>$L496*$S496</f>
        <v/>
      </c>
      <c r="U496" s="35">
        <f>$L496+$T496</f>
        <v/>
      </c>
    </row>
    <row r="497">
      <c r="A497" s="3" t="inlineStr">
        <is>
          <t>PKG-19::L-002</t>
        </is>
      </c>
      <c r="B497" s="3" t="inlineStr">
        <is>
          <t>PKG-19</t>
        </is>
      </c>
      <c r="C497" s="3" t="inlineStr">
        <is>
          <t>DEL-19.01</t>
        </is>
      </c>
      <c r="D497" s="3" t="inlineStr">
        <is>
          <t>L-002</t>
        </is>
      </c>
      <c r="E497" s="3" t="inlineStr">
        <is>
          <t>E</t>
        </is>
      </c>
      <c r="F497" s="3" t="inlineStr">
        <is>
          <t>PKG-19</t>
        </is>
      </c>
      <c r="G497" s="3" t="inlineStr">
        <is>
          <t>DEL-19.01</t>
        </is>
      </c>
      <c r="H497" s="3" t="inlineStr">
        <is>
          <t>Control system design drawings</t>
        </is>
      </c>
      <c r="I497" s="22" t="n">
        <v>1</v>
      </c>
      <c r="J497" s="3" t="inlineStr">
        <is>
          <t>LS</t>
        </is>
      </c>
      <c r="K497" s="39" t="n">
        <v>30000</v>
      </c>
      <c r="L497" s="35" t="n">
        <v>30000</v>
      </c>
      <c r="M497" s="3" t="inlineStr">
        <is>
          <t>CAD</t>
        </is>
      </c>
      <c r="N497" s="3" t="inlineStr">
        <is>
          <t>ALLOWANCE</t>
        </is>
      </c>
      <c r="O497" s="3" t="inlineStr">
        <is>
          <t>A-015</t>
        </is>
      </c>
      <c r="P497" s="3" t="inlineStr">
        <is>
          <t>LOW</t>
        </is>
      </c>
      <c r="Q497" s="3" t="inlineStr">
        <is>
          <t>Cabinet layouts HMI arrangement drawings</t>
        </is>
      </c>
      <c r="R497" s="3">
        <f>VLOOKUP($F497,Inputs!$D$6:$E$41,2,FALSE)</f>
        <v/>
      </c>
      <c r="S497" s="36">
        <f>VLOOKUP($E497,Inputs!$A$6:$B$13,2,FALSE)*Inputs!$B$2</f>
        <v/>
      </c>
      <c r="T497" s="35">
        <f>$L497*$S497</f>
        <v/>
      </c>
      <c r="U497" s="35">
        <f>$L497+$T497</f>
        <v/>
      </c>
    </row>
    <row r="498">
      <c r="A498" s="3" t="inlineStr">
        <is>
          <t>PKG-19::L-003</t>
        </is>
      </c>
      <c r="B498" s="3" t="inlineStr">
        <is>
          <t>PKG-19</t>
        </is>
      </c>
      <c r="C498" s="3" t="inlineStr">
        <is>
          <t>DEL-19.02</t>
        </is>
      </c>
      <c r="D498" s="3" t="inlineStr">
        <is>
          <t>L-003</t>
        </is>
      </c>
      <c r="E498" s="3" t="inlineStr">
        <is>
          <t>E</t>
        </is>
      </c>
      <c r="F498" s="3" t="inlineStr">
        <is>
          <t>PKG-19</t>
        </is>
      </c>
      <c r="G498" s="3" t="inlineStr">
        <is>
          <t>DEL-19.02</t>
        </is>
      </c>
      <c r="H498" s="3" t="inlineStr">
        <is>
          <t>DCS/PLC technical specification</t>
        </is>
      </c>
      <c r="I498" s="22" t="n">
        <v>1</v>
      </c>
      <c r="J498" s="3" t="inlineStr">
        <is>
          <t>LS</t>
        </is>
      </c>
      <c r="K498" s="39" t="n">
        <v>20000</v>
      </c>
      <c r="L498" s="35" t="n">
        <v>20000</v>
      </c>
      <c r="M498" s="3" t="inlineStr">
        <is>
          <t>CAD</t>
        </is>
      </c>
      <c r="N498" s="3" t="inlineStr">
        <is>
          <t>ALLOWANCE</t>
        </is>
      </c>
      <c r="O498" s="3" t="inlineStr">
        <is>
          <t>A-016</t>
        </is>
      </c>
      <c r="P498" s="3" t="inlineStr">
        <is>
          <t>LOW</t>
        </is>
      </c>
      <c r="Q498" s="3" t="inlineStr">
        <is>
          <t>Technical specification document</t>
        </is>
      </c>
      <c r="R498" s="3">
        <f>VLOOKUP($F498,Inputs!$D$6:$E$41,2,FALSE)</f>
        <v/>
      </c>
      <c r="S498" s="36">
        <f>VLOOKUP($E498,Inputs!$A$6:$B$13,2,FALSE)*Inputs!$B$2</f>
        <v/>
      </c>
      <c r="T498" s="35">
        <f>$L498*$S498</f>
        <v/>
      </c>
      <c r="U498" s="35">
        <f>$L498+$T498</f>
        <v/>
      </c>
    </row>
    <row r="499">
      <c r="A499" s="3" t="inlineStr">
        <is>
          <t>PKG-19::L-004</t>
        </is>
      </c>
      <c r="B499" s="3" t="inlineStr">
        <is>
          <t>PKG-19</t>
        </is>
      </c>
      <c r="C499" s="3" t="inlineStr">
        <is>
          <t>DEL-19.02</t>
        </is>
      </c>
      <c r="D499" s="3" t="inlineStr">
        <is>
          <t>L-004</t>
        </is>
      </c>
      <c r="E499" s="3" t="inlineStr">
        <is>
          <t>E</t>
        </is>
      </c>
      <c r="F499" s="3" t="inlineStr">
        <is>
          <t>PKG-19</t>
        </is>
      </c>
      <c r="G499" s="3" t="inlineStr">
        <is>
          <t>DEL-19.02</t>
        </is>
      </c>
      <c r="H499" s="3" t="inlineStr">
        <is>
          <t>HMI and historian specification</t>
        </is>
      </c>
      <c r="I499" s="22" t="n">
        <v>1</v>
      </c>
      <c r="J499" s="3" t="inlineStr">
        <is>
          <t>LS</t>
        </is>
      </c>
      <c r="K499" s="39" t="n">
        <v>20000</v>
      </c>
      <c r="L499" s="35" t="n">
        <v>20000</v>
      </c>
      <c r="M499" s="3" t="inlineStr">
        <is>
          <t>CAD</t>
        </is>
      </c>
      <c r="N499" s="3" t="inlineStr">
        <is>
          <t>ALLOWANCE</t>
        </is>
      </c>
      <c r="O499" s="3" t="inlineStr">
        <is>
          <t>A-016</t>
        </is>
      </c>
      <c r="P499" s="3" t="inlineStr">
        <is>
          <t>LOW</t>
        </is>
      </c>
      <c r="Q499" s="3" t="inlineStr">
        <is>
          <t>HMI and historian technical specs</t>
        </is>
      </c>
      <c r="R499" s="3">
        <f>VLOOKUP($F499,Inputs!$D$6:$E$41,2,FALSE)</f>
        <v/>
      </c>
      <c r="S499" s="36">
        <f>VLOOKUP($E499,Inputs!$A$6:$B$13,2,FALSE)*Inputs!$B$2</f>
        <v/>
      </c>
      <c r="T499" s="35">
        <f>$L499*$S499</f>
        <v/>
      </c>
      <c r="U499" s="35">
        <f>$L499+$T499</f>
        <v/>
      </c>
    </row>
    <row r="500">
      <c r="A500" s="3" t="inlineStr">
        <is>
          <t>PKG-19::L-005</t>
        </is>
      </c>
      <c r="B500" s="3" t="inlineStr">
        <is>
          <t>PKG-19</t>
        </is>
      </c>
      <c r="C500" s="3" t="inlineStr">
        <is>
          <t>DEL-19.03</t>
        </is>
      </c>
      <c r="D500" s="3" t="inlineStr">
        <is>
          <t>L-005</t>
        </is>
      </c>
      <c r="E500" s="3" t="inlineStr">
        <is>
          <t>E</t>
        </is>
      </c>
      <c r="F500" s="3" t="inlineStr">
        <is>
          <t>PKG-19</t>
        </is>
      </c>
      <c r="G500" s="3" t="inlineStr">
        <is>
          <t>DEL-19.03</t>
        </is>
      </c>
      <c r="H500" s="3" t="inlineStr">
        <is>
          <t>Data sheet package preparation</t>
        </is>
      </c>
      <c r="I500" s="22" t="n">
        <v>1</v>
      </c>
      <c r="J500" s="3" t="inlineStr">
        <is>
          <t>LS</t>
        </is>
      </c>
      <c r="K500" s="39" t="n">
        <v>20000</v>
      </c>
      <c r="L500" s="35" t="n">
        <v>20000</v>
      </c>
      <c r="M500" s="3" t="inlineStr">
        <is>
          <t>CAD</t>
        </is>
      </c>
      <c r="N500" s="3" t="inlineStr">
        <is>
          <t>ALLOWANCE</t>
        </is>
      </c>
      <c r="O500" s="3" t="inlineStr">
        <is>
          <t>A-017</t>
        </is>
      </c>
      <c r="P500" s="3" t="inlineStr">
        <is>
          <t>LOW</t>
        </is>
      </c>
      <c r="Q500" s="3" t="inlineStr">
        <is>
          <t>Vendor submittal review and approval</t>
        </is>
      </c>
      <c r="R500" s="3">
        <f>VLOOKUP($F500,Inputs!$D$6:$E$41,2,FALSE)</f>
        <v/>
      </c>
      <c r="S500" s="36">
        <f>VLOOKUP($E500,Inputs!$A$6:$B$13,2,FALSE)*Inputs!$B$2</f>
        <v/>
      </c>
      <c r="T500" s="35">
        <f>$L500*$S500</f>
        <v/>
      </c>
      <c r="U500" s="35">
        <f>$L500+$T500</f>
        <v/>
      </c>
    </row>
    <row r="501">
      <c r="A501" s="3" t="inlineStr">
        <is>
          <t>PKG-19::L-006</t>
        </is>
      </c>
      <c r="B501" s="3" t="inlineStr">
        <is>
          <t>PKG-19</t>
        </is>
      </c>
      <c r="C501" s="3" t="inlineStr">
        <is>
          <t>DEL-19.04</t>
        </is>
      </c>
      <c r="D501" s="3" t="inlineStr">
        <is>
          <t>L-006</t>
        </is>
      </c>
      <c r="E501" s="3" t="inlineStr">
        <is>
          <t>E</t>
        </is>
      </c>
      <c r="F501" s="3" t="inlineStr">
        <is>
          <t>PKG-19</t>
        </is>
      </c>
      <c r="G501" s="3" t="inlineStr">
        <is>
          <t>DEL-19.04</t>
        </is>
      </c>
      <c r="H501" s="3" t="inlineStr">
        <is>
          <t>PLC/DCS application software development</t>
        </is>
      </c>
      <c r="I501" s="22" t="n">
        <v>1</v>
      </c>
      <c r="J501" s="3" t="inlineStr">
        <is>
          <t>LS</t>
        </is>
      </c>
      <c r="K501" s="39" t="n">
        <v>80000</v>
      </c>
      <c r="L501" s="35" t="n">
        <v>80000</v>
      </c>
      <c r="M501" s="3" t="inlineStr">
        <is>
          <t>CAD</t>
        </is>
      </c>
      <c r="N501" s="3" t="inlineStr">
        <is>
          <t>ALLOWANCE</t>
        </is>
      </c>
      <c r="O501" s="3" t="inlineStr">
        <is>
          <t>A-018</t>
        </is>
      </c>
      <c r="P501" s="3" t="inlineStr">
        <is>
          <t>LOW</t>
        </is>
      </c>
      <c r="Q501" s="3" t="inlineStr">
        <is>
          <t>Control logic interlocks sequences</t>
        </is>
      </c>
      <c r="R501" s="3">
        <f>VLOOKUP($F501,Inputs!$D$6:$E$41,2,FALSE)</f>
        <v/>
      </c>
      <c r="S501" s="36">
        <f>VLOOKUP($E501,Inputs!$A$6:$B$13,2,FALSE)*Inputs!$B$2</f>
        <v/>
      </c>
      <c r="T501" s="35">
        <f>$L501*$S501</f>
        <v/>
      </c>
      <c r="U501" s="35">
        <f>$L501+$T501</f>
        <v/>
      </c>
    </row>
    <row r="502">
      <c r="A502" s="3" t="inlineStr">
        <is>
          <t>PKG-19::L-007</t>
        </is>
      </c>
      <c r="B502" s="3" t="inlineStr">
        <is>
          <t>PKG-19</t>
        </is>
      </c>
      <c r="C502" s="3" t="inlineStr">
        <is>
          <t>DEL-19.04</t>
        </is>
      </c>
      <c r="D502" s="3" t="inlineStr">
        <is>
          <t>L-007</t>
        </is>
      </c>
      <c r="E502" s="3" t="inlineStr">
        <is>
          <t>E</t>
        </is>
      </c>
      <c r="F502" s="3" t="inlineStr">
        <is>
          <t>PKG-19</t>
        </is>
      </c>
      <c r="G502" s="3" t="inlineStr">
        <is>
          <t>DEL-19.04</t>
        </is>
      </c>
      <c r="H502" s="3" t="inlineStr">
        <is>
          <t>HMI graphics development</t>
        </is>
      </c>
      <c r="I502" s="22" t="n">
        <v>1</v>
      </c>
      <c r="J502" s="3" t="inlineStr">
        <is>
          <t>LS</t>
        </is>
      </c>
      <c r="K502" s="39" t="n">
        <v>30000</v>
      </c>
      <c r="L502" s="35" t="n">
        <v>30000</v>
      </c>
      <c r="M502" s="3" t="inlineStr">
        <is>
          <t>CAD</t>
        </is>
      </c>
      <c r="N502" s="3" t="inlineStr">
        <is>
          <t>ALLOWANCE</t>
        </is>
      </c>
      <c r="O502" s="3" t="inlineStr">
        <is>
          <t>A-018</t>
        </is>
      </c>
      <c r="P502" s="3" t="inlineStr">
        <is>
          <t>LOW</t>
        </is>
      </c>
      <c r="Q502" s="3" t="inlineStr">
        <is>
          <t>40-60 HMI screens estimated</t>
        </is>
      </c>
      <c r="R502" s="3">
        <f>VLOOKUP($F502,Inputs!$D$6:$E$41,2,FALSE)</f>
        <v/>
      </c>
      <c r="S502" s="36">
        <f>VLOOKUP($E502,Inputs!$A$6:$B$13,2,FALSE)*Inputs!$B$2</f>
        <v/>
      </c>
      <c r="T502" s="35">
        <f>$L502*$S502</f>
        <v/>
      </c>
      <c r="U502" s="35">
        <f>$L502+$T502</f>
        <v/>
      </c>
    </row>
    <row r="503">
      <c r="A503" s="3" t="inlineStr">
        <is>
          <t>PKG-19::L-008</t>
        </is>
      </c>
      <c r="B503" s="3" t="inlineStr">
        <is>
          <t>PKG-19</t>
        </is>
      </c>
      <c r="C503" s="3" t="inlineStr">
        <is>
          <t>DEL-19.04</t>
        </is>
      </c>
      <c r="D503" s="3" t="inlineStr">
        <is>
          <t>L-008</t>
        </is>
      </c>
      <c r="E503" s="3" t="inlineStr">
        <is>
          <t>E</t>
        </is>
      </c>
      <c r="F503" s="3" t="inlineStr">
        <is>
          <t>PKG-19</t>
        </is>
      </c>
      <c r="G503" s="3" t="inlineStr">
        <is>
          <t>DEL-19.04</t>
        </is>
      </c>
      <c r="H503" s="3" t="inlineStr">
        <is>
          <t>Historian configuration</t>
        </is>
      </c>
      <c r="I503" s="22" t="n">
        <v>1</v>
      </c>
      <c r="J503" s="3" t="inlineStr">
        <is>
          <t>LS</t>
        </is>
      </c>
      <c r="K503" s="39" t="n">
        <v>10000</v>
      </c>
      <c r="L503" s="35" t="n">
        <v>10000</v>
      </c>
      <c r="M503" s="3" t="inlineStr">
        <is>
          <t>CAD</t>
        </is>
      </c>
      <c r="N503" s="3" t="inlineStr">
        <is>
          <t>ALLOWANCE</t>
        </is>
      </c>
      <c r="O503" s="3" t="inlineStr">
        <is>
          <t>A-018</t>
        </is>
      </c>
      <c r="P503" s="3" t="inlineStr">
        <is>
          <t>LOW</t>
        </is>
      </c>
      <c r="Q503" s="3" t="inlineStr">
        <is>
          <t>Tag database trending reporting</t>
        </is>
      </c>
      <c r="R503" s="3">
        <f>VLOOKUP($F503,Inputs!$D$6:$E$41,2,FALSE)</f>
        <v/>
      </c>
      <c r="S503" s="36">
        <f>VLOOKUP($E503,Inputs!$A$6:$B$13,2,FALSE)*Inputs!$B$2</f>
        <v/>
      </c>
      <c r="T503" s="35">
        <f>$L503*$S503</f>
        <v/>
      </c>
      <c r="U503" s="35">
        <f>$L503+$T503</f>
        <v/>
      </c>
    </row>
    <row r="504">
      <c r="A504" s="3" t="inlineStr">
        <is>
          <t>PKG-19::L-009</t>
        </is>
      </c>
      <c r="B504" s="3" t="inlineStr">
        <is>
          <t>PKG-19</t>
        </is>
      </c>
      <c r="C504" s="3" t="n"/>
      <c r="D504" s="3" t="inlineStr">
        <is>
          <t>L-009</t>
        </is>
      </c>
      <c r="E504" s="3" t="inlineStr">
        <is>
          <t>PM</t>
        </is>
      </c>
      <c r="F504" s="3" t="inlineStr">
        <is>
          <t>PKG-19</t>
        </is>
      </c>
      <c r="G504" s="3" t="n"/>
      <c r="H504" s="3" t="inlineStr">
        <is>
          <t>Project management - control systems</t>
        </is>
      </c>
      <c r="I504" s="22" t="n">
        <v>1</v>
      </c>
      <c r="J504" s="3" t="inlineStr">
        <is>
          <t>LS</t>
        </is>
      </c>
      <c r="K504" s="39" t="n">
        <v>120000</v>
      </c>
      <c r="L504" s="35" t="n">
        <v>120000</v>
      </c>
      <c r="M504" s="3" t="inlineStr">
        <is>
          <t>CAD</t>
        </is>
      </c>
      <c r="N504" s="3" t="inlineStr">
        <is>
          <t>PARAMETRIC</t>
        </is>
      </c>
      <c r="O504" s="3" t="inlineStr">
        <is>
          <t>D-010</t>
        </is>
      </c>
      <c r="P504" s="3" t="inlineStr">
        <is>
          <t>LOW</t>
        </is>
      </c>
      <c r="Q504" s="3" t="inlineStr">
        <is>
          <t>6% of CD+CI+MAT per fallback model</t>
        </is>
      </c>
      <c r="R504" s="3">
        <f>VLOOKUP($F504,Inputs!$D$6:$E$41,2,FALSE)</f>
        <v/>
      </c>
      <c r="S504" s="36">
        <f>VLOOKUP($E504,Inputs!$A$6:$B$13,2,FALSE)*Inputs!$B$2</f>
        <v/>
      </c>
      <c r="T504" s="35">
        <f>$L504*$S504</f>
        <v/>
      </c>
      <c r="U504" s="35">
        <f>$L504+$T504</f>
        <v/>
      </c>
    </row>
    <row r="505">
      <c r="A505" s="3" t="inlineStr">
        <is>
          <t>PKG-19::L-010</t>
        </is>
      </c>
      <c r="B505" s="3" t="inlineStr">
        <is>
          <t>PKG-19</t>
        </is>
      </c>
      <c r="C505" s="3" t="n"/>
      <c r="D505" s="3" t="inlineStr">
        <is>
          <t>L-010</t>
        </is>
      </c>
      <c r="E505" s="3" t="inlineStr">
        <is>
          <t>P</t>
        </is>
      </c>
      <c r="F505" s="3" t="inlineStr">
        <is>
          <t>PKG-19</t>
        </is>
      </c>
      <c r="G505" s="3" t="n"/>
      <c r="H505" s="3" t="inlineStr">
        <is>
          <t>Procurement services - control systems</t>
        </is>
      </c>
      <c r="I505" s="22" t="n">
        <v>1</v>
      </c>
      <c r="J505" s="3" t="inlineStr">
        <is>
          <t>LS</t>
        </is>
      </c>
      <c r="K505" s="39" t="n">
        <v>18000</v>
      </c>
      <c r="L505" s="35" t="n">
        <v>18000</v>
      </c>
      <c r="M505" s="3" t="inlineStr">
        <is>
          <t>CAD</t>
        </is>
      </c>
      <c r="N505" s="3" t="inlineStr">
        <is>
          <t>PARAMETRIC</t>
        </is>
      </c>
      <c r="O505" s="3" t="inlineStr">
        <is>
          <t>D-010</t>
        </is>
      </c>
      <c r="P505" s="3" t="inlineStr">
        <is>
          <t>LOW</t>
        </is>
      </c>
      <c r="Q505" s="3" t="inlineStr">
        <is>
          <t>2% of MAT per fallback model</t>
        </is>
      </c>
      <c r="R505" s="3">
        <f>VLOOKUP($F505,Inputs!$D$6:$E$41,2,FALSE)</f>
        <v/>
      </c>
      <c r="S505" s="36">
        <f>VLOOKUP($E505,Inputs!$A$6:$B$13,2,FALSE)*Inputs!$B$2</f>
        <v/>
      </c>
      <c r="T505" s="35">
        <f>$L505*$S505</f>
        <v/>
      </c>
      <c r="U505" s="35">
        <f>$L505+$T505</f>
        <v/>
      </c>
    </row>
    <row r="506">
      <c r="A506" s="3" t="inlineStr">
        <is>
          <t>PKG-19::L-011</t>
        </is>
      </c>
      <c r="B506" s="3" t="inlineStr">
        <is>
          <t>PKG-19</t>
        </is>
      </c>
      <c r="C506" s="3" t="n"/>
      <c r="D506" s="3" t="inlineStr">
        <is>
          <t>L-011</t>
        </is>
      </c>
      <c r="E506" s="3" t="inlineStr">
        <is>
          <t>MAT</t>
        </is>
      </c>
      <c r="F506" s="3" t="inlineStr">
        <is>
          <t>PKG-19</t>
        </is>
      </c>
      <c r="G506" s="3" t="n"/>
      <c r="H506" s="3" t="inlineStr">
        <is>
          <t>DCS/PLC controllers (redundant pair)</t>
        </is>
      </c>
      <c r="I506" s="22" t="n">
        <v>2</v>
      </c>
      <c r="J506" s="3" t="inlineStr">
        <is>
          <t>EA</t>
        </is>
      </c>
      <c r="K506" s="39" t="n">
        <v>90000</v>
      </c>
      <c r="L506" s="35" t="n">
        <v>180000</v>
      </c>
      <c r="M506" s="3" t="inlineStr">
        <is>
          <t>CAD</t>
        </is>
      </c>
      <c r="N506" s="3" t="inlineStr">
        <is>
          <t>ALLOWANCE</t>
        </is>
      </c>
      <c r="O506" s="3" t="inlineStr">
        <is>
          <t>A-003</t>
        </is>
      </c>
      <c r="P506" s="3" t="inlineStr">
        <is>
          <t>LOW</t>
        </is>
      </c>
      <c r="Q506" s="3" t="inlineStr">
        <is>
          <t>Primary and standby controllers</t>
        </is>
      </c>
      <c r="R506" s="3">
        <f>VLOOKUP($F506,Inputs!$D$6:$E$41,2,FALSE)</f>
        <v/>
      </c>
      <c r="S506" s="36">
        <f>VLOOKUP($E506,Inputs!$A$6:$B$13,2,FALSE)*Inputs!$B$2</f>
        <v/>
      </c>
      <c r="T506" s="35">
        <f>$L506*$S506</f>
        <v/>
      </c>
      <c r="U506" s="35">
        <f>$L506+$T506</f>
        <v/>
      </c>
    </row>
    <row r="507">
      <c r="A507" s="3" t="inlineStr">
        <is>
          <t>PKG-19::L-012</t>
        </is>
      </c>
      <c r="B507" s="3" t="inlineStr">
        <is>
          <t>PKG-19</t>
        </is>
      </c>
      <c r="C507" s="3" t="n"/>
      <c r="D507" s="3" t="inlineStr">
        <is>
          <t>L-012</t>
        </is>
      </c>
      <c r="E507" s="3" t="inlineStr">
        <is>
          <t>MAT</t>
        </is>
      </c>
      <c r="F507" s="3" t="inlineStr">
        <is>
          <t>PKG-19</t>
        </is>
      </c>
      <c r="G507" s="3" t="n"/>
      <c r="H507" s="3" t="inlineStr">
        <is>
          <t>I/O modules and racks</t>
        </is>
      </c>
      <c r="I507" s="22" t="n">
        <v>1</v>
      </c>
      <c r="J507" s="3" t="inlineStr">
        <is>
          <t>LS</t>
        </is>
      </c>
      <c r="K507" s="39" t="n">
        <v>120000</v>
      </c>
      <c r="L507" s="35" t="n">
        <v>120000</v>
      </c>
      <c r="M507" s="3" t="inlineStr">
        <is>
          <t>CAD</t>
        </is>
      </c>
      <c r="N507" s="3" t="inlineStr">
        <is>
          <t>ALLOWANCE</t>
        </is>
      </c>
      <c r="O507" s="3" t="inlineStr">
        <is>
          <t>A-007</t>
        </is>
      </c>
      <c r="P507" s="3" t="inlineStr">
        <is>
          <t>LOW</t>
        </is>
      </c>
      <c r="Q507" s="3" t="inlineStr">
        <is>
          <t>40-50 modules for 600-800 I/O points</t>
        </is>
      </c>
      <c r="R507" s="3">
        <f>VLOOKUP($F507,Inputs!$D$6:$E$41,2,FALSE)</f>
        <v/>
      </c>
      <c r="S507" s="36">
        <f>VLOOKUP($E507,Inputs!$A$6:$B$13,2,FALSE)*Inputs!$B$2</f>
        <v/>
      </c>
      <c r="T507" s="35">
        <f>$L507*$S507</f>
        <v/>
      </c>
      <c r="U507" s="35">
        <f>$L507+$T507</f>
        <v/>
      </c>
    </row>
    <row r="508">
      <c r="A508" s="3" t="inlineStr">
        <is>
          <t>PKG-19::L-013</t>
        </is>
      </c>
      <c r="B508" s="3" t="inlineStr">
        <is>
          <t>PKG-19</t>
        </is>
      </c>
      <c r="C508" s="3" t="n"/>
      <c r="D508" s="3" t="inlineStr">
        <is>
          <t>L-013</t>
        </is>
      </c>
      <c r="E508" s="3" t="inlineStr">
        <is>
          <t>MAT</t>
        </is>
      </c>
      <c r="F508" s="3" t="inlineStr">
        <is>
          <t>PKG-19</t>
        </is>
      </c>
      <c r="G508" s="3" t="n"/>
      <c r="H508" s="3" t="inlineStr">
        <is>
          <t>HMI workstations (control room)</t>
        </is>
      </c>
      <c r="I508" s="22" t="n">
        <v>3</v>
      </c>
      <c r="J508" s="3" t="inlineStr">
        <is>
          <t>EA</t>
        </is>
      </c>
      <c r="K508" s="39" t="n">
        <v>25000</v>
      </c>
      <c r="L508" s="35" t="n">
        <v>75000</v>
      </c>
      <c r="M508" s="3" t="inlineStr">
        <is>
          <t>CAD</t>
        </is>
      </c>
      <c r="N508" s="3" t="inlineStr">
        <is>
          <t>ALLOWANCE</t>
        </is>
      </c>
      <c r="O508" s="3" t="inlineStr">
        <is>
          <t>A-004</t>
        </is>
      </c>
      <c r="P508" s="3" t="inlineStr">
        <is>
          <t>LOW</t>
        </is>
      </c>
      <c r="Q508" s="3" t="inlineStr">
        <is>
          <t>2 operator + 1 engineering station</t>
        </is>
      </c>
      <c r="R508" s="3">
        <f>VLOOKUP($F508,Inputs!$D$6:$E$41,2,FALSE)</f>
        <v/>
      </c>
      <c r="S508" s="36">
        <f>VLOOKUP($E508,Inputs!$A$6:$B$13,2,FALSE)*Inputs!$B$2</f>
        <v/>
      </c>
      <c r="T508" s="35">
        <f>$L508*$S508</f>
        <v/>
      </c>
      <c r="U508" s="35">
        <f>$L508+$T508</f>
        <v/>
      </c>
    </row>
    <row r="509">
      <c r="A509" s="3" t="inlineStr">
        <is>
          <t>PKG-19::L-014</t>
        </is>
      </c>
      <c r="B509" s="3" t="inlineStr">
        <is>
          <t>PKG-19</t>
        </is>
      </c>
      <c r="C509" s="3" t="n"/>
      <c r="D509" s="3" t="inlineStr">
        <is>
          <t>L-014</t>
        </is>
      </c>
      <c r="E509" s="3" t="inlineStr">
        <is>
          <t>MAT</t>
        </is>
      </c>
      <c r="F509" s="3" t="inlineStr">
        <is>
          <t>PKG-19</t>
        </is>
      </c>
      <c r="G509" s="3" t="n"/>
      <c r="H509" s="3" t="inlineStr">
        <is>
          <t>Remote HMI panels</t>
        </is>
      </c>
      <c r="I509" s="22" t="n">
        <v>3</v>
      </c>
      <c r="J509" s="3" t="inlineStr">
        <is>
          <t>EA</t>
        </is>
      </c>
      <c r="K509" s="39" t="n">
        <v>15000</v>
      </c>
      <c r="L509" s="35" t="n">
        <v>45000</v>
      </c>
      <c r="M509" s="3" t="inlineStr">
        <is>
          <t>CAD</t>
        </is>
      </c>
      <c r="N509" s="3" t="inlineStr">
        <is>
          <t>ALLOWANCE</t>
        </is>
      </c>
      <c r="O509" s="3" t="inlineStr">
        <is>
          <t>A-005</t>
        </is>
      </c>
      <c r="P509" s="3" t="inlineStr">
        <is>
          <t>LOW</t>
        </is>
      </c>
      <c r="Q509" s="3" t="inlineStr">
        <is>
          <t>Railcar tankfarm marine areas</t>
        </is>
      </c>
      <c r="R509" s="3">
        <f>VLOOKUP($F509,Inputs!$D$6:$E$41,2,FALSE)</f>
        <v/>
      </c>
      <c r="S509" s="36">
        <f>VLOOKUP($E509,Inputs!$A$6:$B$13,2,FALSE)*Inputs!$B$2</f>
        <v/>
      </c>
      <c r="T509" s="35">
        <f>$L509*$S509</f>
        <v/>
      </c>
      <c r="U509" s="35">
        <f>$L509+$T509</f>
        <v/>
      </c>
    </row>
    <row r="510">
      <c r="A510" s="3" t="inlineStr">
        <is>
          <t>PKG-19::L-015</t>
        </is>
      </c>
      <c r="B510" s="3" t="inlineStr">
        <is>
          <t>PKG-19</t>
        </is>
      </c>
      <c r="C510" s="3" t="n"/>
      <c r="D510" s="3" t="inlineStr">
        <is>
          <t>L-015</t>
        </is>
      </c>
      <c r="E510" s="3" t="inlineStr">
        <is>
          <t>MAT</t>
        </is>
      </c>
      <c r="F510" s="3" t="inlineStr">
        <is>
          <t>PKG-19</t>
        </is>
      </c>
      <c r="G510" s="3" t="n"/>
      <c r="H510" s="3" t="inlineStr">
        <is>
          <t>Historian server and software</t>
        </is>
      </c>
      <c r="I510" s="22" t="n">
        <v>1</v>
      </c>
      <c r="J510" s="3" t="inlineStr">
        <is>
          <t>LS</t>
        </is>
      </c>
      <c r="K510" s="39" t="n">
        <v>80000</v>
      </c>
      <c r="L510" s="35" t="n">
        <v>80000</v>
      </c>
      <c r="M510" s="3" t="inlineStr">
        <is>
          <t>CAD</t>
        </is>
      </c>
      <c r="N510" s="3" t="inlineStr">
        <is>
          <t>ALLOWANCE</t>
        </is>
      </c>
      <c r="O510" s="3" t="inlineStr">
        <is>
          <t>A-008</t>
        </is>
      </c>
      <c r="P510" s="3" t="inlineStr">
        <is>
          <t>LOW</t>
        </is>
      </c>
      <c r="Q510" s="3" t="inlineStr">
        <is>
          <t>Server hardware + historian license</t>
        </is>
      </c>
      <c r="R510" s="3">
        <f>VLOOKUP($F510,Inputs!$D$6:$E$41,2,FALSE)</f>
        <v/>
      </c>
      <c r="S510" s="36">
        <f>VLOOKUP($E510,Inputs!$A$6:$B$13,2,FALSE)*Inputs!$B$2</f>
        <v/>
      </c>
      <c r="T510" s="35">
        <f>$L510*$S510</f>
        <v/>
      </c>
      <c r="U510" s="35">
        <f>$L510+$T510</f>
        <v/>
      </c>
    </row>
    <row r="511">
      <c r="A511" s="3" t="inlineStr">
        <is>
          <t>PKG-19::L-016</t>
        </is>
      </c>
      <c r="B511" s="3" t="inlineStr">
        <is>
          <t>PKG-19</t>
        </is>
      </c>
      <c r="C511" s="3" t="n"/>
      <c r="D511" s="3" t="inlineStr">
        <is>
          <t>L-016</t>
        </is>
      </c>
      <c r="E511" s="3" t="inlineStr">
        <is>
          <t>MAT</t>
        </is>
      </c>
      <c r="F511" s="3" t="inlineStr">
        <is>
          <t>PKG-19</t>
        </is>
      </c>
      <c r="G511" s="3" t="n"/>
      <c r="H511" s="3" t="inlineStr">
        <is>
          <t>Industrial network switches</t>
        </is>
      </c>
      <c r="I511" s="22" t="n">
        <v>10</v>
      </c>
      <c r="J511" s="3" t="inlineStr">
        <is>
          <t>EA</t>
        </is>
      </c>
      <c r="K511" s="39" t="n">
        <v>6000</v>
      </c>
      <c r="L511" s="35" t="n">
        <v>60000</v>
      </c>
      <c r="M511" s="3" t="inlineStr">
        <is>
          <t>CAD</t>
        </is>
      </c>
      <c r="N511" s="3" t="inlineStr">
        <is>
          <t>ALLOWANCE</t>
        </is>
      </c>
      <c r="O511" s="3" t="inlineStr">
        <is>
          <t>A-009</t>
        </is>
      </c>
      <c r="P511" s="3" t="inlineStr">
        <is>
          <t>LOW</t>
        </is>
      </c>
      <c r="Q511" s="3" t="inlineStr">
        <is>
          <t>Managed industrial Ethernet switches</t>
        </is>
      </c>
      <c r="R511" s="3">
        <f>VLOOKUP($F511,Inputs!$D$6:$E$41,2,FALSE)</f>
        <v/>
      </c>
      <c r="S511" s="36">
        <f>VLOOKUP($E511,Inputs!$A$6:$B$13,2,FALSE)*Inputs!$B$2</f>
        <v/>
      </c>
      <c r="T511" s="35">
        <f>$L511*$S511</f>
        <v/>
      </c>
      <c r="U511" s="35">
        <f>$L511+$T511</f>
        <v/>
      </c>
    </row>
    <row r="512">
      <c r="A512" s="3" t="inlineStr">
        <is>
          <t>PKG-19::L-017</t>
        </is>
      </c>
      <c r="B512" s="3" t="inlineStr">
        <is>
          <t>PKG-19</t>
        </is>
      </c>
      <c r="C512" s="3" t="n"/>
      <c r="D512" s="3" t="inlineStr">
        <is>
          <t>L-017</t>
        </is>
      </c>
      <c r="E512" s="3" t="inlineStr">
        <is>
          <t>MAT</t>
        </is>
      </c>
      <c r="F512" s="3" t="inlineStr">
        <is>
          <t>PKG-19</t>
        </is>
      </c>
      <c r="G512" s="3" t="n"/>
      <c r="H512" s="3" t="inlineStr">
        <is>
          <t>Fiber optic infrastructure</t>
        </is>
      </c>
      <c r="I512" s="22" t="n">
        <v>2000</v>
      </c>
      <c r="J512" s="3" t="inlineStr">
        <is>
          <t>M</t>
        </is>
      </c>
      <c r="K512" s="39" t="n">
        <v>40</v>
      </c>
      <c r="L512" s="35" t="n">
        <v>80000</v>
      </c>
      <c r="M512" s="3" t="inlineStr">
        <is>
          <t>CAD</t>
        </is>
      </c>
      <c r="N512" s="3" t="inlineStr">
        <is>
          <t>ALLOWANCE</t>
        </is>
      </c>
      <c r="O512" s="3" t="inlineStr">
        <is>
          <t>A-010</t>
        </is>
      </c>
      <c r="P512" s="3" t="inlineStr">
        <is>
          <t>LOW</t>
        </is>
      </c>
      <c r="Q512" s="3" t="inlineStr">
        <is>
          <t>Fiber backbone tankfarm to control room</t>
        </is>
      </c>
      <c r="R512" s="3">
        <f>VLOOKUP($F512,Inputs!$D$6:$E$41,2,FALSE)</f>
        <v/>
      </c>
      <c r="S512" s="36">
        <f>VLOOKUP($E512,Inputs!$A$6:$B$13,2,FALSE)*Inputs!$B$2</f>
        <v/>
      </c>
      <c r="T512" s="35">
        <f>$L512*$S512</f>
        <v/>
      </c>
      <c r="U512" s="35">
        <f>$L512+$T512</f>
        <v/>
      </c>
    </row>
    <row r="513">
      <c r="A513" s="3" t="inlineStr">
        <is>
          <t>PKG-19::L-018</t>
        </is>
      </c>
      <c r="B513" s="3" t="inlineStr">
        <is>
          <t>PKG-19</t>
        </is>
      </c>
      <c r="C513" s="3" t="n"/>
      <c r="D513" s="3" t="inlineStr">
        <is>
          <t>L-018</t>
        </is>
      </c>
      <c r="E513" s="3" t="inlineStr">
        <is>
          <t>MAT</t>
        </is>
      </c>
      <c r="F513" s="3" t="inlineStr">
        <is>
          <t>PKG-19</t>
        </is>
      </c>
      <c r="G513" s="3" t="n"/>
      <c r="H513" s="3" t="inlineStr">
        <is>
          <t>Control cabinets and enclosures</t>
        </is>
      </c>
      <c r="I513" s="22" t="n">
        <v>8</v>
      </c>
      <c r="J513" s="3" t="inlineStr">
        <is>
          <t>EA</t>
        </is>
      </c>
      <c r="K513" s="39" t="n">
        <v>15000</v>
      </c>
      <c r="L513" s="35" t="n">
        <v>120000</v>
      </c>
      <c r="M513" s="3" t="inlineStr">
        <is>
          <t>CAD</t>
        </is>
      </c>
      <c r="N513" s="3" t="inlineStr">
        <is>
          <t>ALLOWANCE</t>
        </is>
      </c>
      <c r="O513" s="3" t="inlineStr">
        <is>
          <t>A-011</t>
        </is>
      </c>
      <c r="P513" s="3" t="inlineStr">
        <is>
          <t>LOW</t>
        </is>
      </c>
      <c r="Q513" s="3" t="inlineStr">
        <is>
          <t>Main panel + field junction boxes</t>
        </is>
      </c>
      <c r="R513" s="3">
        <f>VLOOKUP($F513,Inputs!$D$6:$E$41,2,FALSE)</f>
        <v/>
      </c>
      <c r="S513" s="36">
        <f>VLOOKUP($E513,Inputs!$A$6:$B$13,2,FALSE)*Inputs!$B$2</f>
        <v/>
      </c>
      <c r="T513" s="35">
        <f>$L513*$S513</f>
        <v/>
      </c>
      <c r="U513" s="35">
        <f>$L513+$T513</f>
        <v/>
      </c>
    </row>
    <row r="514">
      <c r="A514" s="3" t="inlineStr">
        <is>
          <t>PKG-19::L-019</t>
        </is>
      </c>
      <c r="B514" s="3" t="inlineStr">
        <is>
          <t>PKG-19</t>
        </is>
      </c>
      <c r="C514" s="3" t="n"/>
      <c r="D514" s="3" t="inlineStr">
        <is>
          <t>L-019</t>
        </is>
      </c>
      <c r="E514" s="3" t="inlineStr">
        <is>
          <t>MAT</t>
        </is>
      </c>
      <c r="F514" s="3" t="inlineStr">
        <is>
          <t>PKG-19</t>
        </is>
      </c>
      <c r="G514" s="3" t="n"/>
      <c r="H514" s="3" t="inlineStr">
        <is>
          <t>Control system software licenses</t>
        </is>
      </c>
      <c r="I514" s="22" t="n">
        <v>1</v>
      </c>
      <c r="J514" s="3" t="inlineStr">
        <is>
          <t>LS</t>
        </is>
      </c>
      <c r="K514" s="39" t="n">
        <v>100000</v>
      </c>
      <c r="L514" s="35" t="n">
        <v>100000</v>
      </c>
      <c r="M514" s="3" t="inlineStr">
        <is>
          <t>CAD</t>
        </is>
      </c>
      <c r="N514" s="3" t="inlineStr">
        <is>
          <t>ALLOWANCE</t>
        </is>
      </c>
      <c r="O514" s="3" t="inlineStr">
        <is>
          <t>A-019</t>
        </is>
      </c>
      <c r="P514" s="3" t="inlineStr">
        <is>
          <t>LOW</t>
        </is>
      </c>
      <c r="Q514" s="3" t="inlineStr">
        <is>
          <t>DCS/PLC HMI historian licenses</t>
        </is>
      </c>
      <c r="R514" s="3">
        <f>VLOOKUP($F514,Inputs!$D$6:$E$41,2,FALSE)</f>
        <v/>
      </c>
      <c r="S514" s="36">
        <f>VLOOKUP($E514,Inputs!$A$6:$B$13,2,FALSE)*Inputs!$B$2</f>
        <v/>
      </c>
      <c r="T514" s="35">
        <f>$L514*$S514</f>
        <v/>
      </c>
      <c r="U514" s="35">
        <f>$L514+$T514</f>
        <v/>
      </c>
    </row>
    <row r="515">
      <c r="A515" s="3" t="inlineStr">
        <is>
          <t>PKG-19::L-020</t>
        </is>
      </c>
      <c r="B515" s="3" t="inlineStr">
        <is>
          <t>PKG-19</t>
        </is>
      </c>
      <c r="C515" s="3" t="n"/>
      <c r="D515" s="3" t="inlineStr">
        <is>
          <t>L-020</t>
        </is>
      </c>
      <c r="E515" s="3" t="inlineStr">
        <is>
          <t>MAT</t>
        </is>
      </c>
      <c r="F515" s="3" t="inlineStr">
        <is>
          <t>PKG-19</t>
        </is>
      </c>
      <c r="G515" s="3" t="n"/>
      <c r="H515" s="3" t="inlineStr">
        <is>
          <t>Miscellaneous cables and terminations</t>
        </is>
      </c>
      <c r="I515" s="22" t="n">
        <v>1</v>
      </c>
      <c r="J515" s="3" t="inlineStr">
        <is>
          <t>LS</t>
        </is>
      </c>
      <c r="K515" s="39" t="n">
        <v>60000</v>
      </c>
      <c r="L515" s="35" t="n">
        <v>60000</v>
      </c>
      <c r="M515" s="3" t="inlineStr">
        <is>
          <t>CAD</t>
        </is>
      </c>
      <c r="N515" s="3" t="inlineStr">
        <is>
          <t>ALLOWANCE</t>
        </is>
      </c>
      <c r="O515" s="3" t="inlineStr">
        <is>
          <t>A-020</t>
        </is>
      </c>
      <c r="P515" s="3" t="inlineStr">
        <is>
          <t>LOW</t>
        </is>
      </c>
      <c r="Q515" s="3" t="inlineStr">
        <is>
          <t>Control cables patch cables terminations</t>
        </is>
      </c>
      <c r="R515" s="3">
        <f>VLOOKUP($F515,Inputs!$D$6:$E$41,2,FALSE)</f>
        <v/>
      </c>
      <c r="S515" s="36">
        <f>VLOOKUP($E515,Inputs!$A$6:$B$13,2,FALSE)*Inputs!$B$2</f>
        <v/>
      </c>
      <c r="T515" s="35">
        <f>$L515*$S515</f>
        <v/>
      </c>
      <c r="U515" s="35">
        <f>$L515+$T515</f>
        <v/>
      </c>
    </row>
    <row r="516">
      <c r="A516" s="3" t="inlineStr">
        <is>
          <t>PKG-19::L-021</t>
        </is>
      </c>
      <c r="B516" s="3" t="inlineStr">
        <is>
          <t>PKG-19</t>
        </is>
      </c>
      <c r="C516" s="3" t="n"/>
      <c r="D516" s="3" t="inlineStr">
        <is>
          <t>L-021</t>
        </is>
      </c>
      <c r="E516" s="3" t="inlineStr">
        <is>
          <t>CD</t>
        </is>
      </c>
      <c r="F516" s="3" t="inlineStr">
        <is>
          <t>PKG-19</t>
        </is>
      </c>
      <c r="G516" s="3" t="n"/>
      <c r="H516" s="3" t="inlineStr">
        <is>
          <t>Control cabinet installation</t>
        </is>
      </c>
      <c r="I516" s="22" t="n">
        <v>8</v>
      </c>
      <c r="J516" s="3" t="inlineStr">
        <is>
          <t>EA</t>
        </is>
      </c>
      <c r="K516" s="39" t="n">
        <v>8000</v>
      </c>
      <c r="L516" s="35" t="n">
        <v>64000</v>
      </c>
      <c r="M516" s="3" t="inlineStr">
        <is>
          <t>CAD</t>
        </is>
      </c>
      <c r="N516" s="3" t="inlineStr">
        <is>
          <t>ALLOWANCE</t>
        </is>
      </c>
      <c r="O516" s="3" t="inlineStr">
        <is>
          <t>A-011</t>
        </is>
      </c>
      <c r="P516" s="3" t="inlineStr">
        <is>
          <t>LOW</t>
        </is>
      </c>
      <c r="Q516" s="3" t="inlineStr">
        <is>
          <t>Cabinet setting alignment termination</t>
        </is>
      </c>
      <c r="R516" s="3">
        <f>VLOOKUP($F516,Inputs!$D$6:$E$41,2,FALSE)</f>
        <v/>
      </c>
      <c r="S516" s="36">
        <f>VLOOKUP($E516,Inputs!$A$6:$B$13,2,FALSE)*Inputs!$B$2</f>
        <v/>
      </c>
      <c r="T516" s="35">
        <f>$L516*$S516</f>
        <v/>
      </c>
      <c r="U516" s="35">
        <f>$L516+$T516</f>
        <v/>
      </c>
    </row>
    <row r="517">
      <c r="A517" s="3" t="inlineStr">
        <is>
          <t>PKG-19::L-022</t>
        </is>
      </c>
      <c r="B517" s="3" t="inlineStr">
        <is>
          <t>PKG-19</t>
        </is>
      </c>
      <c r="C517" s="3" t="n"/>
      <c r="D517" s="3" t="inlineStr">
        <is>
          <t>L-022</t>
        </is>
      </c>
      <c r="E517" s="3" t="inlineStr">
        <is>
          <t>CD</t>
        </is>
      </c>
      <c r="F517" s="3" t="inlineStr">
        <is>
          <t>PKG-19</t>
        </is>
      </c>
      <c r="G517" s="3" t="n"/>
      <c r="H517" s="3" t="inlineStr">
        <is>
          <t>Control system wiring and termination</t>
        </is>
      </c>
      <c r="I517" s="22" t="n">
        <v>1</v>
      </c>
      <c r="J517" s="3" t="inlineStr">
        <is>
          <t>LS</t>
        </is>
      </c>
      <c r="K517" s="39" t="n">
        <v>150000</v>
      </c>
      <c r="L517" s="35" t="n">
        <v>150000</v>
      </c>
      <c r="M517" s="3" t="inlineStr">
        <is>
          <t>CAD</t>
        </is>
      </c>
      <c r="N517" s="3" t="inlineStr">
        <is>
          <t>ALLOWANCE</t>
        </is>
      </c>
      <c r="O517" s="3" t="inlineStr">
        <is>
          <t>A-020</t>
        </is>
      </c>
      <c r="P517" s="3" t="inlineStr">
        <is>
          <t>LOW</t>
        </is>
      </c>
      <c r="Q517" s="3" t="inlineStr">
        <is>
          <t>Field wiring to I/O modules</t>
        </is>
      </c>
      <c r="R517" s="3">
        <f>VLOOKUP($F517,Inputs!$D$6:$E$41,2,FALSE)</f>
        <v/>
      </c>
      <c r="S517" s="36">
        <f>VLOOKUP($E517,Inputs!$A$6:$B$13,2,FALSE)*Inputs!$B$2</f>
        <v/>
      </c>
      <c r="T517" s="35">
        <f>$L517*$S517</f>
        <v/>
      </c>
      <c r="U517" s="35">
        <f>$L517+$T517</f>
        <v/>
      </c>
    </row>
    <row r="518">
      <c r="A518" s="3" t="inlineStr">
        <is>
          <t>PKG-19::L-023</t>
        </is>
      </c>
      <c r="B518" s="3" t="inlineStr">
        <is>
          <t>PKG-19</t>
        </is>
      </c>
      <c r="C518" s="3" t="n"/>
      <c r="D518" s="3" t="inlineStr">
        <is>
          <t>L-023</t>
        </is>
      </c>
      <c r="E518" s="3" t="inlineStr">
        <is>
          <t>CD</t>
        </is>
      </c>
      <c r="F518" s="3" t="inlineStr">
        <is>
          <t>PKG-19</t>
        </is>
      </c>
      <c r="G518" s="3" t="n"/>
      <c r="H518" s="3" t="inlineStr">
        <is>
          <t>Network installation (fiber and copper)</t>
        </is>
      </c>
      <c r="I518" s="22" t="n">
        <v>1</v>
      </c>
      <c r="J518" s="3" t="inlineStr">
        <is>
          <t>LS</t>
        </is>
      </c>
      <c r="K518" s="39" t="n">
        <v>80000</v>
      </c>
      <c r="L518" s="35" t="n">
        <v>80000</v>
      </c>
      <c r="M518" s="3" t="inlineStr">
        <is>
          <t>CAD</t>
        </is>
      </c>
      <c r="N518" s="3" t="inlineStr">
        <is>
          <t>ALLOWANCE</t>
        </is>
      </c>
      <c r="O518" s="3" t="inlineStr">
        <is>
          <t>A-010</t>
        </is>
      </c>
      <c r="P518" s="3" t="inlineStr">
        <is>
          <t>LOW</t>
        </is>
      </c>
      <c r="Q518" s="3" t="inlineStr">
        <is>
          <t>Fiber optic and Ethernet installation</t>
        </is>
      </c>
      <c r="R518" s="3">
        <f>VLOOKUP($F518,Inputs!$D$6:$E$41,2,FALSE)</f>
        <v/>
      </c>
      <c r="S518" s="36">
        <f>VLOOKUP($E518,Inputs!$A$6:$B$13,2,FALSE)*Inputs!$B$2</f>
        <v/>
      </c>
      <c r="T518" s="35">
        <f>$L518*$S518</f>
        <v/>
      </c>
      <c r="U518" s="35">
        <f>$L518+$T518</f>
        <v/>
      </c>
    </row>
    <row r="519">
      <c r="A519" s="3" t="inlineStr">
        <is>
          <t>PKG-19::L-024</t>
        </is>
      </c>
      <c r="B519" s="3" t="inlineStr">
        <is>
          <t>PKG-19</t>
        </is>
      </c>
      <c r="C519" s="3" t="n"/>
      <c r="D519" s="3" t="inlineStr">
        <is>
          <t>L-024</t>
        </is>
      </c>
      <c r="E519" s="3" t="inlineStr">
        <is>
          <t>CD</t>
        </is>
      </c>
      <c r="F519" s="3" t="inlineStr">
        <is>
          <t>PKG-19</t>
        </is>
      </c>
      <c r="G519" s="3" t="n"/>
      <c r="H519" s="3" t="inlineStr">
        <is>
          <t>HMI and server installation</t>
        </is>
      </c>
      <c r="I519" s="22" t="n">
        <v>1</v>
      </c>
      <c r="J519" s="3" t="inlineStr">
        <is>
          <t>LS</t>
        </is>
      </c>
      <c r="K519" s="39" t="n">
        <v>30000</v>
      </c>
      <c r="L519" s="35" t="n">
        <v>30000</v>
      </c>
      <c r="M519" s="3" t="inlineStr">
        <is>
          <t>CAD</t>
        </is>
      </c>
      <c r="N519" s="3" t="inlineStr">
        <is>
          <t>ALLOWANCE</t>
        </is>
      </c>
      <c r="O519" s="3" t="inlineStr">
        <is>
          <t>A-004</t>
        </is>
      </c>
      <c r="P519" s="3" t="inlineStr">
        <is>
          <t>LOW</t>
        </is>
      </c>
      <c r="Q519" s="3" t="inlineStr">
        <is>
          <t>Control room equipment installation</t>
        </is>
      </c>
      <c r="R519" s="3">
        <f>VLOOKUP($F519,Inputs!$D$6:$E$41,2,FALSE)</f>
        <v/>
      </c>
      <c r="S519" s="36">
        <f>VLOOKUP($E519,Inputs!$A$6:$B$13,2,FALSE)*Inputs!$B$2</f>
        <v/>
      </c>
      <c r="T519" s="35">
        <f>$L519*$S519</f>
        <v/>
      </c>
      <c r="U519" s="35">
        <f>$L519+$T519</f>
        <v/>
      </c>
    </row>
    <row r="520">
      <c r="A520" s="3" t="inlineStr">
        <is>
          <t>PKG-19::L-025</t>
        </is>
      </c>
      <c r="B520" s="3" t="inlineStr">
        <is>
          <t>PKG-19</t>
        </is>
      </c>
      <c r="C520" s="3" t="n"/>
      <c r="D520" s="3" t="inlineStr">
        <is>
          <t>L-025</t>
        </is>
      </c>
      <c r="E520" s="3" t="inlineStr">
        <is>
          <t>CD</t>
        </is>
      </c>
      <c r="F520" s="3" t="inlineStr">
        <is>
          <t>PKG-19</t>
        </is>
      </c>
      <c r="G520" s="3" t="n"/>
      <c r="H520" s="3" t="inlineStr">
        <is>
          <t>Remote HMI installation</t>
        </is>
      </c>
      <c r="I520" s="22" t="n">
        <v>3</v>
      </c>
      <c r="J520" s="3" t="inlineStr">
        <is>
          <t>EA</t>
        </is>
      </c>
      <c r="K520" s="39" t="n">
        <v>8000</v>
      </c>
      <c r="L520" s="35" t="n">
        <v>24000</v>
      </c>
      <c r="M520" s="3" t="inlineStr">
        <is>
          <t>CAD</t>
        </is>
      </c>
      <c r="N520" s="3" t="inlineStr">
        <is>
          <t>ALLOWANCE</t>
        </is>
      </c>
      <c r="O520" s="3" t="inlineStr">
        <is>
          <t>A-005</t>
        </is>
      </c>
      <c r="P520" s="3" t="inlineStr">
        <is>
          <t>LOW</t>
        </is>
      </c>
      <c r="Q520" s="3" t="inlineStr">
        <is>
          <t>Field HMI panel installation</t>
        </is>
      </c>
      <c r="R520" s="3">
        <f>VLOOKUP($F520,Inputs!$D$6:$E$41,2,FALSE)</f>
        <v/>
      </c>
      <c r="S520" s="36">
        <f>VLOOKUP($E520,Inputs!$A$6:$B$13,2,FALSE)*Inputs!$B$2</f>
        <v/>
      </c>
      <c r="T520" s="35">
        <f>$L520*$S520</f>
        <v/>
      </c>
      <c r="U520" s="35">
        <f>$L520+$T520</f>
        <v/>
      </c>
    </row>
    <row r="521">
      <c r="A521" s="3" t="inlineStr">
        <is>
          <t>PKG-19::L-026</t>
        </is>
      </c>
      <c r="B521" s="3" t="inlineStr">
        <is>
          <t>PKG-19</t>
        </is>
      </c>
      <c r="C521" s="3" t="inlineStr">
        <is>
          <t>DEL-19.05</t>
        </is>
      </c>
      <c r="D521" s="3" t="inlineStr">
        <is>
          <t>L-026</t>
        </is>
      </c>
      <c r="E521" s="3" t="inlineStr">
        <is>
          <t>CD</t>
        </is>
      </c>
      <c r="F521" s="3" t="inlineStr">
        <is>
          <t>PKG-19</t>
        </is>
      </c>
      <c r="G521" s="3" t="inlineStr">
        <is>
          <t>DEL-19.05</t>
        </is>
      </c>
      <c r="H521" s="3" t="inlineStr">
        <is>
          <t>Installation quality records</t>
        </is>
      </c>
      <c r="I521" s="22" t="n">
        <v>1</v>
      </c>
      <c r="J521" s="3" t="inlineStr">
        <is>
          <t>LS</t>
        </is>
      </c>
      <c r="K521" s="39" t="n">
        <v>32000</v>
      </c>
      <c r="L521" s="35" t="n">
        <v>32000</v>
      </c>
      <c r="M521" s="3" t="inlineStr">
        <is>
          <t>CAD</t>
        </is>
      </c>
      <c r="N521" s="3" t="inlineStr">
        <is>
          <t>ALLOWANCE</t>
        </is>
      </c>
      <c r="O521" s="3" t="inlineStr">
        <is>
          <t>A-021</t>
        </is>
      </c>
      <c r="P521" s="3" t="inlineStr">
        <is>
          <t>LOW</t>
        </is>
      </c>
      <c r="Q521" s="3" t="inlineStr">
        <is>
          <t>QA/QC documentation completion</t>
        </is>
      </c>
      <c r="R521" s="3">
        <f>VLOOKUP($F521,Inputs!$D$6:$E$41,2,FALSE)</f>
        <v/>
      </c>
      <c r="S521" s="36">
        <f>VLOOKUP($E521,Inputs!$A$6:$B$13,2,FALSE)*Inputs!$B$2</f>
        <v/>
      </c>
      <c r="T521" s="35">
        <f>$L521*$S521</f>
        <v/>
      </c>
      <c r="U521" s="35">
        <f>$L521+$T521</f>
        <v/>
      </c>
    </row>
    <row r="522">
      <c r="A522" s="3" t="inlineStr">
        <is>
          <t>PKG-19::L-027</t>
        </is>
      </c>
      <c r="B522" s="3" t="inlineStr">
        <is>
          <t>PKG-19</t>
        </is>
      </c>
      <c r="C522" s="3" t="n"/>
      <c r="D522" s="3" t="inlineStr">
        <is>
          <t>L-027</t>
        </is>
      </c>
      <c r="E522" s="3" t="inlineStr">
        <is>
          <t>CI</t>
        </is>
      </c>
      <c r="F522" s="3" t="inlineStr">
        <is>
          <t>PKG-19</t>
        </is>
      </c>
      <c r="G522" s="3" t="n"/>
      <c r="H522" s="3" t="inlineStr">
        <is>
          <t>Construction indirects - control systems</t>
        </is>
      </c>
      <c r="I522" s="22" t="n">
        <v>1</v>
      </c>
      <c r="J522" s="3" t="inlineStr">
        <is>
          <t>LS</t>
        </is>
      </c>
      <c r="K522" s="39" t="n">
        <v>68000</v>
      </c>
      <c r="L522" s="35" t="n">
        <v>68000</v>
      </c>
      <c r="M522" s="3" t="inlineStr">
        <is>
          <t>CAD</t>
        </is>
      </c>
      <c r="N522" s="3" t="inlineStr">
        <is>
          <t>PARAMETRIC</t>
        </is>
      </c>
      <c r="O522" s="3" t="inlineStr">
        <is>
          <t>D-010</t>
        </is>
      </c>
      <c r="P522" s="3" t="inlineStr">
        <is>
          <t>LOW</t>
        </is>
      </c>
      <c r="Q522" s="3" t="inlineStr">
        <is>
          <t>18% of CD per fallback model</t>
        </is>
      </c>
      <c r="R522" s="3">
        <f>VLOOKUP($F522,Inputs!$D$6:$E$41,2,FALSE)</f>
        <v/>
      </c>
      <c r="S522" s="36">
        <f>VLOOKUP($E522,Inputs!$A$6:$B$13,2,FALSE)*Inputs!$B$2</f>
        <v/>
      </c>
      <c r="T522" s="35">
        <f>$L522*$S522</f>
        <v/>
      </c>
      <c r="U522" s="35">
        <f>$L522+$T522</f>
        <v/>
      </c>
    </row>
    <row r="523">
      <c r="A523" s="3" t="inlineStr">
        <is>
          <t>PKG-19::L-028</t>
        </is>
      </c>
      <c r="B523" s="3" t="inlineStr">
        <is>
          <t>PKG-19</t>
        </is>
      </c>
      <c r="C523" s="3" t="n"/>
      <c r="D523" s="3" t="inlineStr">
        <is>
          <t>L-028</t>
        </is>
      </c>
      <c r="E523" s="3" t="inlineStr">
        <is>
          <t>COM</t>
        </is>
      </c>
      <c r="F523" s="3" t="inlineStr">
        <is>
          <t>PKG-19</t>
        </is>
      </c>
      <c r="G523" s="3" t="n"/>
      <c r="H523" s="3" t="inlineStr">
        <is>
          <t>Factory acceptance test (FAT)</t>
        </is>
      </c>
      <c r="I523" s="22" t="n">
        <v>1</v>
      </c>
      <c r="J523" s="3" t="inlineStr">
        <is>
          <t>LS</t>
        </is>
      </c>
      <c r="K523" s="39" t="n">
        <v>25000</v>
      </c>
      <c r="L523" s="35" t="n">
        <v>25000</v>
      </c>
      <c r="M523" s="3" t="inlineStr">
        <is>
          <t>CAD</t>
        </is>
      </c>
      <c r="N523" s="3" t="inlineStr">
        <is>
          <t>ALLOWANCE</t>
        </is>
      </c>
      <c r="O523" s="3" t="inlineStr">
        <is>
          <t>A-022</t>
        </is>
      </c>
      <c r="P523" s="3" t="inlineStr">
        <is>
          <t>LOW</t>
        </is>
      </c>
      <c r="Q523" s="3" t="inlineStr">
        <is>
          <t>FAT at vendor facility</t>
        </is>
      </c>
      <c r="R523" s="3">
        <f>VLOOKUP($F523,Inputs!$D$6:$E$41,2,FALSE)</f>
        <v/>
      </c>
      <c r="S523" s="36">
        <f>VLOOKUP($E523,Inputs!$A$6:$B$13,2,FALSE)*Inputs!$B$2</f>
        <v/>
      </c>
      <c r="T523" s="35">
        <f>$L523*$S523</f>
        <v/>
      </c>
      <c r="U523" s="35">
        <f>$L523+$T523</f>
        <v/>
      </c>
    </row>
    <row r="524">
      <c r="A524" s="3" t="inlineStr">
        <is>
          <t>PKG-19::L-029</t>
        </is>
      </c>
      <c r="B524" s="3" t="inlineStr">
        <is>
          <t>PKG-19</t>
        </is>
      </c>
      <c r="C524" s="3" t="n"/>
      <c r="D524" s="3" t="inlineStr">
        <is>
          <t>L-029</t>
        </is>
      </c>
      <c r="E524" s="3" t="inlineStr">
        <is>
          <t>COM</t>
        </is>
      </c>
      <c r="F524" s="3" t="inlineStr">
        <is>
          <t>PKG-19</t>
        </is>
      </c>
      <c r="G524" s="3" t="n"/>
      <c r="H524" s="3" t="inlineStr">
        <is>
          <t>Site acceptance test (SAT)</t>
        </is>
      </c>
      <c r="I524" s="22" t="n">
        <v>1</v>
      </c>
      <c r="J524" s="3" t="inlineStr">
        <is>
          <t>LS</t>
        </is>
      </c>
      <c r="K524" s="39" t="n">
        <v>20000</v>
      </c>
      <c r="L524" s="35" t="n">
        <v>20000</v>
      </c>
      <c r="M524" s="3" t="inlineStr">
        <is>
          <t>CAD</t>
        </is>
      </c>
      <c r="N524" s="3" t="inlineStr">
        <is>
          <t>ALLOWANCE</t>
        </is>
      </c>
      <c r="O524" s="3" t="inlineStr">
        <is>
          <t>A-022</t>
        </is>
      </c>
      <c r="P524" s="3" t="inlineStr">
        <is>
          <t>LOW</t>
        </is>
      </c>
      <c r="Q524" s="3" t="inlineStr">
        <is>
          <t>On-site testing with field devices</t>
        </is>
      </c>
      <c r="R524" s="3">
        <f>VLOOKUP($F524,Inputs!$D$6:$E$41,2,FALSE)</f>
        <v/>
      </c>
      <c r="S524" s="36">
        <f>VLOOKUP($E524,Inputs!$A$6:$B$13,2,FALSE)*Inputs!$B$2</f>
        <v/>
      </c>
      <c r="T524" s="35">
        <f>$L524*$S524</f>
        <v/>
      </c>
      <c r="U524" s="35">
        <f>$L524+$T524</f>
        <v/>
      </c>
    </row>
    <row r="525">
      <c r="A525" s="3" t="inlineStr">
        <is>
          <t>PKG-19::L-030</t>
        </is>
      </c>
      <c r="B525" s="3" t="inlineStr">
        <is>
          <t>PKG-19</t>
        </is>
      </c>
      <c r="C525" s="3" t="n"/>
      <c r="D525" s="3" t="inlineStr">
        <is>
          <t>L-030</t>
        </is>
      </c>
      <c r="E525" s="3" t="inlineStr">
        <is>
          <t>COM</t>
        </is>
      </c>
      <c r="F525" s="3" t="inlineStr">
        <is>
          <t>PKG-19</t>
        </is>
      </c>
      <c r="G525" s="3" t="n"/>
      <c r="H525" s="3" t="inlineStr">
        <is>
          <t>Commissioning support</t>
        </is>
      </c>
      <c r="I525" s="22" t="n">
        <v>1</v>
      </c>
      <c r="J525" s="3" t="inlineStr">
        <is>
          <t>LS</t>
        </is>
      </c>
      <c r="K525" s="39" t="n">
        <v>10000</v>
      </c>
      <c r="L525" s="35" t="n">
        <v>10000</v>
      </c>
      <c r="M525" s="3" t="inlineStr">
        <is>
          <t>CAD</t>
        </is>
      </c>
      <c r="N525" s="3" t="inlineStr">
        <is>
          <t>ALLOWANCE</t>
        </is>
      </c>
      <c r="O525" s="3" t="inlineStr">
        <is>
          <t>A-022</t>
        </is>
      </c>
      <c r="P525" s="3" t="inlineStr">
        <is>
          <t>LOW</t>
        </is>
      </c>
      <c r="Q525" s="3" t="inlineStr">
        <is>
          <t>Vendor commissioning assistance</t>
        </is>
      </c>
      <c r="R525" s="3">
        <f>VLOOKUP($F525,Inputs!$D$6:$E$41,2,FALSE)</f>
        <v/>
      </c>
      <c r="S525" s="36">
        <f>VLOOKUP($E525,Inputs!$A$6:$B$13,2,FALSE)*Inputs!$B$2</f>
        <v/>
      </c>
      <c r="T525" s="35">
        <f>$L525*$S525</f>
        <v/>
      </c>
      <c r="U525" s="35">
        <f>$L525+$T525</f>
        <v/>
      </c>
    </row>
    <row r="526">
      <c r="A526" s="3" t="inlineStr">
        <is>
          <t>PKG-20::L001</t>
        </is>
      </c>
      <c r="B526" s="3" t="inlineStr">
        <is>
          <t>PKG-20</t>
        </is>
      </c>
      <c r="C526" s="3" t="inlineStr">
        <is>
          <t>DEL-20.01</t>
        </is>
      </c>
      <c r="D526" s="3" t="inlineStr">
        <is>
          <t>L001</t>
        </is>
      </c>
      <c r="E526" s="3" t="inlineStr">
        <is>
          <t>E</t>
        </is>
      </c>
      <c r="F526" s="3" t="inlineStr">
        <is>
          <t>PKG-20</t>
        </is>
      </c>
      <c r="G526" s="3" t="inlineStr">
        <is>
          <t>DEL-20.01</t>
        </is>
      </c>
      <c r="H526" s="3" t="inlineStr">
        <is>
          <t>Instrumentation Design Drawing Set - instrument location plans installation details cable schedules</t>
        </is>
      </c>
      <c r="I526" s="22" t="n">
        <v>1</v>
      </c>
      <c r="J526" s="3" t="inlineStr">
        <is>
          <t>LS</t>
        </is>
      </c>
      <c r="K526" s="39" t="n">
        <v>85000</v>
      </c>
      <c r="L526" s="35" t="n">
        <v>85000</v>
      </c>
      <c r="M526" s="3" t="inlineStr">
        <is>
          <t>CAD</t>
        </is>
      </c>
      <c r="N526" s="3" t="inlineStr">
        <is>
          <t>ALLOWANCE</t>
        </is>
      </c>
      <c r="O526" s="3" t="inlineStr">
        <is>
          <t>A-011</t>
        </is>
      </c>
      <c r="P526" s="3" t="inlineStr">
        <is>
          <t>LOW</t>
        </is>
      </c>
      <c r="Q526" s="3" t="inlineStr">
        <is>
          <t>~35 sheets at $2.5k/sheet average for I&amp;C</t>
        </is>
      </c>
      <c r="R526" s="3">
        <f>VLOOKUP($F526,Inputs!$D$6:$E$41,2,FALSE)</f>
        <v/>
      </c>
      <c r="S526" s="36">
        <f>VLOOKUP($E526,Inputs!$A$6:$B$13,2,FALSE)*Inputs!$B$2</f>
        <v/>
      </c>
      <c r="T526" s="35">
        <f>$L526*$S526</f>
        <v/>
      </c>
      <c r="U526" s="35">
        <f>$L526+$T526</f>
        <v/>
      </c>
    </row>
    <row r="527">
      <c r="A527" s="3" t="inlineStr">
        <is>
          <t>PKG-20::L002</t>
        </is>
      </c>
      <c r="B527" s="3" t="inlineStr">
        <is>
          <t>PKG-20</t>
        </is>
      </c>
      <c r="C527" s="3" t="inlineStr">
        <is>
          <t>DEL-20.02</t>
        </is>
      </c>
      <c r="D527" s="3" t="inlineStr">
        <is>
          <t>L002</t>
        </is>
      </c>
      <c r="E527" s="3" t="inlineStr">
        <is>
          <t>E</t>
        </is>
      </c>
      <c r="F527" s="3" t="inlineStr">
        <is>
          <t>PKG-20</t>
        </is>
      </c>
      <c r="G527" s="3" t="inlineStr">
        <is>
          <t>DEL-20.02</t>
        </is>
      </c>
      <c r="H527" s="3" t="inlineStr">
        <is>
          <t>Instrumentation Technical Specification - level pressure temperature specification development</t>
        </is>
      </c>
      <c r="I527" s="22" t="n">
        <v>1</v>
      </c>
      <c r="J527" s="3" t="inlineStr">
        <is>
          <t>LS</t>
        </is>
      </c>
      <c r="K527" s="39" t="n">
        <v>55000</v>
      </c>
      <c r="L527" s="35" t="n">
        <v>55000</v>
      </c>
      <c r="M527" s="3" t="inlineStr">
        <is>
          <t>CAD</t>
        </is>
      </c>
      <c r="N527" s="3" t="inlineStr">
        <is>
          <t>ALLOWANCE</t>
        </is>
      </c>
      <c r="O527" s="3" t="inlineStr">
        <is>
          <t>A-012</t>
        </is>
      </c>
      <c r="P527" s="3" t="inlineStr">
        <is>
          <t>LOW</t>
        </is>
      </c>
      <c r="Q527" s="3" t="inlineStr">
        <is>
          <t>~220 hours at $250/hr for I&amp;C engineer</t>
        </is>
      </c>
      <c r="R527" s="3">
        <f>VLOOKUP($F527,Inputs!$D$6:$E$41,2,FALSE)</f>
        <v/>
      </c>
      <c r="S527" s="36">
        <f>VLOOKUP($E527,Inputs!$A$6:$B$13,2,FALSE)*Inputs!$B$2</f>
        <v/>
      </c>
      <c r="T527" s="35">
        <f>$L527*$S527</f>
        <v/>
      </c>
      <c r="U527" s="35">
        <f>$L527+$T527</f>
        <v/>
      </c>
    </row>
    <row r="528">
      <c r="A528" s="3" t="inlineStr">
        <is>
          <t>PKG-20::L003</t>
        </is>
      </c>
      <c r="B528" s="3" t="inlineStr">
        <is>
          <t>PKG-20</t>
        </is>
      </c>
      <c r="C528" s="3" t="inlineStr">
        <is>
          <t>DEL-20.03</t>
        </is>
      </c>
      <c r="D528" s="3" t="inlineStr">
        <is>
          <t>L003</t>
        </is>
      </c>
      <c r="E528" s="3" t="inlineStr">
        <is>
          <t>E</t>
        </is>
      </c>
      <c r="F528" s="3" t="inlineStr">
        <is>
          <t>PKG-20</t>
        </is>
      </c>
      <c r="G528" s="3" t="inlineStr">
        <is>
          <t>DEL-20.03</t>
        </is>
      </c>
      <c r="H528" s="3" t="inlineStr">
        <is>
          <t>Instrumentation Design Calculations - instrument sizing calculations range selection verification</t>
        </is>
      </c>
      <c r="I528" s="22" t="n">
        <v>1</v>
      </c>
      <c r="J528" s="3" t="inlineStr">
        <is>
          <t>LS</t>
        </is>
      </c>
      <c r="K528" s="39" t="n">
        <v>35000</v>
      </c>
      <c r="L528" s="35" t="n">
        <v>35000</v>
      </c>
      <c r="M528" s="3" t="inlineStr">
        <is>
          <t>CAD</t>
        </is>
      </c>
      <c r="N528" s="3" t="inlineStr">
        <is>
          <t>ALLOWANCE</t>
        </is>
      </c>
      <c r="O528" s="3" t="inlineStr">
        <is>
          <t>A-013</t>
        </is>
      </c>
      <c r="P528" s="3" t="inlineStr">
        <is>
          <t>LOW</t>
        </is>
      </c>
      <c r="Q528" s="3" t="inlineStr">
        <is>
          <t>~140 hours at $250/hr for I&amp;C engineer</t>
        </is>
      </c>
      <c r="R528" s="3">
        <f>VLOOKUP($F528,Inputs!$D$6:$E$41,2,FALSE)</f>
        <v/>
      </c>
      <c r="S528" s="36">
        <f>VLOOKUP($E528,Inputs!$A$6:$B$13,2,FALSE)*Inputs!$B$2</f>
        <v/>
      </c>
      <c r="T528" s="35">
        <f>$L528*$S528</f>
        <v/>
      </c>
      <c r="U528" s="35">
        <f>$L528+$T528</f>
        <v/>
      </c>
    </row>
    <row r="529">
      <c r="A529" s="3" t="inlineStr">
        <is>
          <t>PKG-20::L004</t>
        </is>
      </c>
      <c r="B529" s="3" t="inlineStr">
        <is>
          <t>PKG-20</t>
        </is>
      </c>
      <c r="C529" s="3" t="inlineStr">
        <is>
          <t>DEL-20.04</t>
        </is>
      </c>
      <c r="D529" s="3" t="inlineStr">
        <is>
          <t>L004</t>
        </is>
      </c>
      <c r="E529" s="3" t="inlineStr">
        <is>
          <t>E</t>
        </is>
      </c>
      <c r="F529" s="3" t="inlineStr">
        <is>
          <t>PKG-20</t>
        </is>
      </c>
      <c r="G529" s="3" t="inlineStr">
        <is>
          <t>DEL-20.04</t>
        </is>
      </c>
      <c r="H529" s="3" t="inlineStr">
        <is>
          <t>Instrumentation Data Sheet Package - level pressure temperature flow instrument data sheets</t>
        </is>
      </c>
      <c r="I529" s="22" t="n">
        <v>1</v>
      </c>
      <c r="J529" s="3" t="inlineStr">
        <is>
          <t>LS</t>
        </is>
      </c>
      <c r="K529" s="39" t="n">
        <v>65000</v>
      </c>
      <c r="L529" s="35" t="n">
        <v>65000</v>
      </c>
      <c r="M529" s="3" t="inlineStr">
        <is>
          <t>CAD</t>
        </is>
      </c>
      <c r="N529" s="3" t="inlineStr">
        <is>
          <t>ALLOWANCE</t>
        </is>
      </c>
      <c r="O529" s="3" t="inlineStr">
        <is>
          <t>A-014</t>
        </is>
      </c>
      <c r="P529" s="3" t="inlineStr">
        <is>
          <t>LOW</t>
        </is>
      </c>
      <c r="Q529" s="3" t="inlineStr">
        <is>
          <t>~106 instrument data sheets at $600/sheet average</t>
        </is>
      </c>
      <c r="R529" s="3">
        <f>VLOOKUP($F529,Inputs!$D$6:$E$41,2,FALSE)</f>
        <v/>
      </c>
      <c r="S529" s="36">
        <f>VLOOKUP($E529,Inputs!$A$6:$B$13,2,FALSE)*Inputs!$B$2</f>
        <v/>
      </c>
      <c r="T529" s="35">
        <f>$L529*$S529</f>
        <v/>
      </c>
      <c r="U529" s="35">
        <f>$L529+$T529</f>
        <v/>
      </c>
    </row>
    <row r="530">
      <c r="A530" s="3" t="inlineStr">
        <is>
          <t>PKG-20::L005</t>
        </is>
      </c>
      <c r="B530" s="3" t="inlineStr">
        <is>
          <t>PKG-20</t>
        </is>
      </c>
      <c r="C530" s="3" t="inlineStr">
        <is>
          <t>DEL-20.05</t>
        </is>
      </c>
      <c r="D530" s="3" t="inlineStr">
        <is>
          <t>L005</t>
        </is>
      </c>
      <c r="E530" s="3" t="inlineStr">
        <is>
          <t>E</t>
        </is>
      </c>
      <c r="F530" s="3" t="inlineStr">
        <is>
          <t>PKG-20</t>
        </is>
      </c>
      <c r="G530" s="3" t="inlineStr">
        <is>
          <t>DEL-20.05</t>
        </is>
      </c>
      <c r="H530" s="3" t="inlineStr">
        <is>
          <t>Instrumentation Installation &amp; Test Records - calibration procedures loop check records FAT documentation</t>
        </is>
      </c>
      <c r="I530" s="22" t="n">
        <v>1</v>
      </c>
      <c r="J530" s="3" t="inlineStr">
        <is>
          <t>LS</t>
        </is>
      </c>
      <c r="K530" s="39" t="n">
        <v>40000</v>
      </c>
      <c r="L530" s="35" t="n">
        <v>40000</v>
      </c>
      <c r="M530" s="3" t="inlineStr">
        <is>
          <t>CAD</t>
        </is>
      </c>
      <c r="N530" s="3" t="inlineStr">
        <is>
          <t>ALLOWANCE</t>
        </is>
      </c>
      <c r="O530" s="3" t="inlineStr">
        <is>
          <t>A-015</t>
        </is>
      </c>
      <c r="P530" s="3" t="inlineStr">
        <is>
          <t>LOW</t>
        </is>
      </c>
      <c r="Q530" s="3" t="inlineStr">
        <is>
          <t>~160 hours at $250/hr QA/QC engineer</t>
        </is>
      </c>
      <c r="R530" s="3">
        <f>VLOOKUP($F530,Inputs!$D$6:$E$41,2,FALSE)</f>
        <v/>
      </c>
      <c r="S530" s="36">
        <f>VLOOKUP($E530,Inputs!$A$6:$B$13,2,FALSE)*Inputs!$B$2</f>
        <v/>
      </c>
      <c r="T530" s="35">
        <f>$L530*$S530</f>
        <v/>
      </c>
      <c r="U530" s="35">
        <f>$L530+$T530</f>
        <v/>
      </c>
    </row>
    <row r="531">
      <c r="A531" s="3" t="inlineStr">
        <is>
          <t>PKG-20::L006</t>
        </is>
      </c>
      <c r="B531" s="3" t="inlineStr">
        <is>
          <t>PKG-20</t>
        </is>
      </c>
      <c r="C531" s="3" t="n"/>
      <c r="D531" s="3" t="inlineStr">
        <is>
          <t>L006</t>
        </is>
      </c>
      <c r="E531" s="3" t="inlineStr">
        <is>
          <t>MAT</t>
        </is>
      </c>
      <c r="F531" s="3" t="inlineStr">
        <is>
          <t>PKG-20</t>
        </is>
      </c>
      <c r="G531" s="3" t="n"/>
      <c r="H531" s="3" t="inlineStr">
        <is>
          <t>Tank Level Transmitters - guided wave radar level transmitters (3 tanks × 2 per tank redundant)</t>
        </is>
      </c>
      <c r="I531" s="22" t="n">
        <v>6</v>
      </c>
      <c r="J531" s="3" t="inlineStr">
        <is>
          <t>EA</t>
        </is>
      </c>
      <c r="K531" s="39" t="n">
        <v>8500</v>
      </c>
      <c r="L531" s="35" t="n">
        <v>51000</v>
      </c>
      <c r="M531" s="3" t="inlineStr">
        <is>
          <t>CAD</t>
        </is>
      </c>
      <c r="N531" s="3" t="inlineStr">
        <is>
          <t>ALLOWANCE</t>
        </is>
      </c>
      <c r="O531" s="3" t="inlineStr">
        <is>
          <t>A-004</t>
        </is>
      </c>
      <c r="P531" s="3" t="inlineStr">
        <is>
          <t>LOW</t>
        </is>
      </c>
      <c r="Q531" s="3" t="inlineStr">
        <is>
          <t>HART protocol GWR transmitters for viscous oil service</t>
        </is>
      </c>
      <c r="R531" s="3">
        <f>VLOOKUP($F531,Inputs!$D$6:$E$41,2,FALSE)</f>
        <v/>
      </c>
      <c r="S531" s="36">
        <f>VLOOKUP($E531,Inputs!$A$6:$B$13,2,FALSE)*Inputs!$B$2</f>
        <v/>
      </c>
      <c r="T531" s="35">
        <f>$L531*$S531</f>
        <v/>
      </c>
      <c r="U531" s="35">
        <f>$L531+$T531</f>
        <v/>
      </c>
    </row>
    <row r="532">
      <c r="A532" s="3" t="inlineStr">
        <is>
          <t>PKG-20::L007</t>
        </is>
      </c>
      <c r="B532" s="3" t="inlineStr">
        <is>
          <t>PKG-20</t>
        </is>
      </c>
      <c r="C532" s="3" t="n"/>
      <c r="D532" s="3" t="inlineStr">
        <is>
          <t>L007</t>
        </is>
      </c>
      <c r="E532" s="3" t="inlineStr">
        <is>
          <t>MAT</t>
        </is>
      </c>
      <c r="F532" s="3" t="inlineStr">
        <is>
          <t>PKG-20</t>
        </is>
      </c>
      <c r="G532" s="3" t="n"/>
      <c r="H532" s="3" t="inlineStr">
        <is>
          <t>Tank Level Switches - high/high-high level switches for overflow protection (3 tanks × 2 per tank)</t>
        </is>
      </c>
      <c r="I532" s="22" t="n">
        <v>6</v>
      </c>
      <c r="J532" s="3" t="inlineStr">
        <is>
          <t>EA</t>
        </is>
      </c>
      <c r="K532" s="39" t="n">
        <v>3500</v>
      </c>
      <c r="L532" s="35" t="n">
        <v>21000</v>
      </c>
      <c r="M532" s="3" t="inlineStr">
        <is>
          <t>CAD</t>
        </is>
      </c>
      <c r="N532" s="3" t="inlineStr">
        <is>
          <t>ALLOWANCE</t>
        </is>
      </c>
      <c r="O532" s="3" t="inlineStr">
        <is>
          <t>A-004</t>
        </is>
      </c>
      <c r="P532" s="3" t="inlineStr">
        <is>
          <t>LOW</t>
        </is>
      </c>
      <c r="Q532" s="3" t="inlineStr">
        <is>
          <t>Vibrating fork or float type switches</t>
        </is>
      </c>
      <c r="R532" s="3">
        <f>VLOOKUP($F532,Inputs!$D$6:$E$41,2,FALSE)</f>
        <v/>
      </c>
      <c r="S532" s="36">
        <f>VLOOKUP($E532,Inputs!$A$6:$B$13,2,FALSE)*Inputs!$B$2</f>
        <v/>
      </c>
      <c r="T532" s="35">
        <f>$L532*$S532</f>
        <v/>
      </c>
      <c r="U532" s="35">
        <f>$L532+$T532</f>
        <v/>
      </c>
    </row>
    <row r="533">
      <c r="A533" s="3" t="inlineStr">
        <is>
          <t>PKG-20::L008</t>
        </is>
      </c>
      <c r="B533" s="3" t="inlineStr">
        <is>
          <t>PKG-20</t>
        </is>
      </c>
      <c r="C533" s="3" t="n"/>
      <c r="D533" s="3" t="inlineStr">
        <is>
          <t>L008</t>
        </is>
      </c>
      <c r="E533" s="3" t="inlineStr">
        <is>
          <t>MAT</t>
        </is>
      </c>
      <c r="F533" s="3" t="inlineStr">
        <is>
          <t>PKG-20</t>
        </is>
      </c>
      <c r="G533" s="3" t="n"/>
      <c r="H533" s="3" t="inlineStr">
        <is>
          <t>Tank Temperature Elements - RTD assemblies with thermowells (3 tanks × 2 per tank)</t>
        </is>
      </c>
      <c r="I533" s="22" t="n">
        <v>6</v>
      </c>
      <c r="J533" s="3" t="inlineStr">
        <is>
          <t>EA</t>
        </is>
      </c>
      <c r="K533" s="39" t="n">
        <v>2800</v>
      </c>
      <c r="L533" s="35" t="n">
        <v>16800</v>
      </c>
      <c r="M533" s="3" t="inlineStr">
        <is>
          <t>CAD</t>
        </is>
      </c>
      <c r="N533" s="3" t="inlineStr">
        <is>
          <t>ALLOWANCE</t>
        </is>
      </c>
      <c r="O533" s="3" t="inlineStr">
        <is>
          <t>A-004</t>
        </is>
      </c>
      <c r="P533" s="3" t="inlineStr">
        <is>
          <t>LOW</t>
        </is>
      </c>
      <c r="Q533" s="3" t="inlineStr">
        <is>
          <t>PT100 RTD with SS thermowell</t>
        </is>
      </c>
      <c r="R533" s="3">
        <f>VLOOKUP($F533,Inputs!$D$6:$E$41,2,FALSE)</f>
        <v/>
      </c>
      <c r="S533" s="36">
        <f>VLOOKUP($E533,Inputs!$A$6:$B$13,2,FALSE)*Inputs!$B$2</f>
        <v/>
      </c>
      <c r="T533" s="35">
        <f>$L533*$S533</f>
        <v/>
      </c>
      <c r="U533" s="35">
        <f>$L533+$T533</f>
        <v/>
      </c>
    </row>
    <row r="534">
      <c r="A534" s="3" t="inlineStr">
        <is>
          <t>PKG-20::L009</t>
        </is>
      </c>
      <c r="B534" s="3" t="inlineStr">
        <is>
          <t>PKG-20</t>
        </is>
      </c>
      <c r="C534" s="3" t="n"/>
      <c r="D534" s="3" t="inlineStr">
        <is>
          <t>L009</t>
        </is>
      </c>
      <c r="E534" s="3" t="inlineStr">
        <is>
          <t>MAT</t>
        </is>
      </c>
      <c r="F534" s="3" t="inlineStr">
        <is>
          <t>PKG-20</t>
        </is>
      </c>
      <c r="G534" s="3" t="n"/>
      <c r="H534" s="3" t="inlineStr">
        <is>
          <t>Tank Pressure Transmitters - tank pressure/vacuum monitoring (3 tanks × 1 per tank)</t>
        </is>
      </c>
      <c r="I534" s="22" t="n">
        <v>3</v>
      </c>
      <c r="J534" s="3" t="inlineStr">
        <is>
          <t>EA</t>
        </is>
      </c>
      <c r="K534" s="39" t="n">
        <v>4200</v>
      </c>
      <c r="L534" s="35" t="n">
        <v>12600</v>
      </c>
      <c r="M534" s="3" t="inlineStr">
        <is>
          <t>CAD</t>
        </is>
      </c>
      <c r="N534" s="3" t="inlineStr">
        <is>
          <t>ALLOWANCE</t>
        </is>
      </c>
      <c r="O534" s="3" t="inlineStr">
        <is>
          <t>A-004</t>
        </is>
      </c>
      <c r="P534" s="3" t="inlineStr">
        <is>
          <t>LOW</t>
        </is>
      </c>
      <c r="Q534" s="3" t="inlineStr">
        <is>
          <t>Low pressure transmitters for atmospheric tanks</t>
        </is>
      </c>
      <c r="R534" s="3">
        <f>VLOOKUP($F534,Inputs!$D$6:$E$41,2,FALSE)</f>
        <v/>
      </c>
      <c r="S534" s="36">
        <f>VLOOKUP($E534,Inputs!$A$6:$B$13,2,FALSE)*Inputs!$B$2</f>
        <v/>
      </c>
      <c r="T534" s="35">
        <f>$L534*$S534</f>
        <v/>
      </c>
      <c r="U534" s="35">
        <f>$L534+$T534</f>
        <v/>
      </c>
    </row>
    <row r="535">
      <c r="A535" s="3" t="inlineStr">
        <is>
          <t>PKG-20::L010</t>
        </is>
      </c>
      <c r="B535" s="3" t="inlineStr">
        <is>
          <t>PKG-20</t>
        </is>
      </c>
      <c r="C535" s="3" t="n"/>
      <c r="D535" s="3" t="inlineStr">
        <is>
          <t>L010</t>
        </is>
      </c>
      <c r="E535" s="3" t="inlineStr">
        <is>
          <t>MAT</t>
        </is>
      </c>
      <c r="F535" s="3" t="inlineStr">
        <is>
          <t>PKG-20</t>
        </is>
      </c>
      <c r="G535" s="3" t="n"/>
      <c r="H535" s="3" t="inlineStr">
        <is>
          <t>Tank Temperature Transmitters - temperature transmitters (3 tanks × 1 per tank)</t>
        </is>
      </c>
      <c r="I535" s="22" t="n">
        <v>3</v>
      </c>
      <c r="J535" s="3" t="inlineStr">
        <is>
          <t>EA</t>
        </is>
      </c>
      <c r="K535" s="39" t="n">
        <v>2200</v>
      </c>
      <c r="L535" s="35" t="n">
        <v>6600</v>
      </c>
      <c r="M535" s="3" t="inlineStr">
        <is>
          <t>CAD</t>
        </is>
      </c>
      <c r="N535" s="3" t="inlineStr">
        <is>
          <t>ALLOWANCE</t>
        </is>
      </c>
      <c r="O535" s="3" t="inlineStr">
        <is>
          <t>A-004</t>
        </is>
      </c>
      <c r="P535" s="3" t="inlineStr">
        <is>
          <t>LOW</t>
        </is>
      </c>
      <c r="Q535" s="3" t="inlineStr">
        <is>
          <t>HART temperature transmitters</t>
        </is>
      </c>
      <c r="R535" s="3">
        <f>VLOOKUP($F535,Inputs!$D$6:$E$41,2,FALSE)</f>
        <v/>
      </c>
      <c r="S535" s="36">
        <f>VLOOKUP($E535,Inputs!$A$6:$B$13,2,FALSE)*Inputs!$B$2</f>
        <v/>
      </c>
      <c r="T535" s="35">
        <f>$L535*$S535</f>
        <v/>
      </c>
      <c r="U535" s="35">
        <f>$L535+$T535</f>
        <v/>
      </c>
    </row>
    <row r="536">
      <c r="A536" s="3" t="inlineStr">
        <is>
          <t>PKG-20::L011</t>
        </is>
      </c>
      <c r="B536" s="3" t="inlineStr">
        <is>
          <t>PKG-20</t>
        </is>
      </c>
      <c r="C536" s="3" t="n"/>
      <c r="D536" s="3" t="inlineStr">
        <is>
          <t>L011</t>
        </is>
      </c>
      <c r="E536" s="3" t="inlineStr">
        <is>
          <t>MAT</t>
        </is>
      </c>
      <c r="F536" s="3" t="inlineStr">
        <is>
          <t>PKG-20</t>
        </is>
      </c>
      <c r="G536" s="3" t="n"/>
      <c r="H536" s="3" t="inlineStr">
        <is>
          <t>Railcar Unloading Flow Indicators - sight flow indicators at unloading stations (32 units)</t>
        </is>
      </c>
      <c r="I536" s="22" t="n">
        <v>32</v>
      </c>
      <c r="J536" s="3" t="inlineStr">
        <is>
          <t>EA</t>
        </is>
      </c>
      <c r="K536" s="39" t="n">
        <v>650</v>
      </c>
      <c r="L536" s="35" t="n">
        <v>20800</v>
      </c>
      <c r="M536" s="3" t="inlineStr">
        <is>
          <t>CAD</t>
        </is>
      </c>
      <c r="N536" s="3" t="inlineStr">
        <is>
          <t>ALLOWANCE</t>
        </is>
      </c>
      <c r="O536" s="3" t="inlineStr">
        <is>
          <t>A-005</t>
        </is>
      </c>
      <c r="P536" s="3" t="inlineStr">
        <is>
          <t>LOW</t>
        </is>
      </c>
      <c r="Q536" s="3" t="inlineStr">
        <is>
          <t>Sight glass flow indicators</t>
        </is>
      </c>
      <c r="R536" s="3">
        <f>VLOOKUP($F536,Inputs!$D$6:$E$41,2,FALSE)</f>
        <v/>
      </c>
      <c r="S536" s="36">
        <f>VLOOKUP($E536,Inputs!$A$6:$B$13,2,FALSE)*Inputs!$B$2</f>
        <v/>
      </c>
      <c r="T536" s="35">
        <f>$L536*$S536</f>
        <v/>
      </c>
      <c r="U536" s="35">
        <f>$L536+$T536</f>
        <v/>
      </c>
    </row>
    <row r="537">
      <c r="A537" s="3" t="inlineStr">
        <is>
          <t>PKG-20::L012</t>
        </is>
      </c>
      <c r="B537" s="3" t="inlineStr">
        <is>
          <t>PKG-20</t>
        </is>
      </c>
      <c r="C537" s="3" t="n"/>
      <c r="D537" s="3" t="inlineStr">
        <is>
          <t>L012</t>
        </is>
      </c>
      <c r="E537" s="3" t="inlineStr">
        <is>
          <t>MAT</t>
        </is>
      </c>
      <c r="F537" s="3" t="inlineStr">
        <is>
          <t>PKG-20</t>
        </is>
      </c>
      <c r="G537" s="3" t="n"/>
      <c r="H537" s="3" t="inlineStr">
        <is>
          <t>Railcar Unloading Temperature Elements - RTD assemblies for header temperature monitoring (8 units)</t>
        </is>
      </c>
      <c r="I537" s="22" t="n">
        <v>8</v>
      </c>
      <c r="J537" s="3" t="inlineStr">
        <is>
          <t>EA</t>
        </is>
      </c>
      <c r="K537" s="39" t="n">
        <v>2200</v>
      </c>
      <c r="L537" s="35" t="n">
        <v>17600</v>
      </c>
      <c r="M537" s="3" t="inlineStr">
        <is>
          <t>CAD</t>
        </is>
      </c>
      <c r="N537" s="3" t="inlineStr">
        <is>
          <t>ALLOWANCE</t>
        </is>
      </c>
      <c r="O537" s="3" t="inlineStr">
        <is>
          <t>A-005</t>
        </is>
      </c>
      <c r="P537" s="3" t="inlineStr">
        <is>
          <t>LOW</t>
        </is>
      </c>
      <c r="Q537" s="3" t="inlineStr">
        <is>
          <t>PT100 RTD with thermowell</t>
        </is>
      </c>
      <c r="R537" s="3">
        <f>VLOOKUP($F537,Inputs!$D$6:$E$41,2,FALSE)</f>
        <v/>
      </c>
      <c r="S537" s="36">
        <f>VLOOKUP($E537,Inputs!$A$6:$B$13,2,FALSE)*Inputs!$B$2</f>
        <v/>
      </c>
      <c r="T537" s="35">
        <f>$L537*$S537</f>
        <v/>
      </c>
      <c r="U537" s="35">
        <f>$L537+$T537</f>
        <v/>
      </c>
    </row>
    <row r="538">
      <c r="A538" s="3" t="inlineStr">
        <is>
          <t>PKG-20::L013</t>
        </is>
      </c>
      <c r="B538" s="3" t="inlineStr">
        <is>
          <t>PKG-20</t>
        </is>
      </c>
      <c r="C538" s="3" t="n"/>
      <c r="D538" s="3" t="inlineStr">
        <is>
          <t>L013</t>
        </is>
      </c>
      <c r="E538" s="3" t="inlineStr">
        <is>
          <t>MAT</t>
        </is>
      </c>
      <c r="F538" s="3" t="inlineStr">
        <is>
          <t>PKG-20</t>
        </is>
      </c>
      <c r="G538" s="3" t="n"/>
      <c r="H538" s="3" t="inlineStr">
        <is>
          <t>Marine Loading Pressure Transmitters - loading arm and platform pressure monitoring (6 units)</t>
        </is>
      </c>
      <c r="I538" s="22" t="n">
        <v>6</v>
      </c>
      <c r="J538" s="3" t="inlineStr">
        <is>
          <t>EA</t>
        </is>
      </c>
      <c r="K538" s="39" t="n">
        <v>4500</v>
      </c>
      <c r="L538" s="35" t="n">
        <v>27000</v>
      </c>
      <c r="M538" s="3" t="inlineStr">
        <is>
          <t>CAD</t>
        </is>
      </c>
      <c r="N538" s="3" t="inlineStr">
        <is>
          <t>ALLOWANCE</t>
        </is>
      </c>
      <c r="O538" s="3" t="inlineStr">
        <is>
          <t>A-006</t>
        </is>
      </c>
      <c r="P538" s="3" t="inlineStr">
        <is>
          <t>LOW</t>
        </is>
      </c>
      <c r="Q538" s="3" t="inlineStr">
        <is>
          <t>HART pressure transmitters</t>
        </is>
      </c>
      <c r="R538" s="3">
        <f>VLOOKUP($F538,Inputs!$D$6:$E$41,2,FALSE)</f>
        <v/>
      </c>
      <c r="S538" s="36">
        <f>VLOOKUP($E538,Inputs!$A$6:$B$13,2,FALSE)*Inputs!$B$2</f>
        <v/>
      </c>
      <c r="T538" s="35">
        <f>$L538*$S538</f>
        <v/>
      </c>
      <c r="U538" s="35">
        <f>$L538+$T538</f>
        <v/>
      </c>
    </row>
    <row r="539">
      <c r="A539" s="3" t="inlineStr">
        <is>
          <t>PKG-20::L014</t>
        </is>
      </c>
      <c r="B539" s="3" t="inlineStr">
        <is>
          <t>PKG-20</t>
        </is>
      </c>
      <c r="C539" s="3" t="n"/>
      <c r="D539" s="3" t="inlineStr">
        <is>
          <t>L014</t>
        </is>
      </c>
      <c r="E539" s="3" t="inlineStr">
        <is>
          <t>MAT</t>
        </is>
      </c>
      <c r="F539" s="3" t="inlineStr">
        <is>
          <t>PKG-20</t>
        </is>
      </c>
      <c r="G539" s="3" t="n"/>
      <c r="H539" s="3" t="inlineStr">
        <is>
          <t>Marine Loading Level Switches - sump and containment level detection (4 units)</t>
        </is>
      </c>
      <c r="I539" s="22" t="n">
        <v>4</v>
      </c>
      <c r="J539" s="3" t="inlineStr">
        <is>
          <t>EA</t>
        </is>
      </c>
      <c r="K539" s="39" t="n">
        <v>2800</v>
      </c>
      <c r="L539" s="35" t="n">
        <v>11200</v>
      </c>
      <c r="M539" s="3" t="inlineStr">
        <is>
          <t>CAD</t>
        </is>
      </c>
      <c r="N539" s="3" t="inlineStr">
        <is>
          <t>ALLOWANCE</t>
        </is>
      </c>
      <c r="O539" s="3" t="inlineStr">
        <is>
          <t>A-006</t>
        </is>
      </c>
      <c r="P539" s="3" t="inlineStr">
        <is>
          <t>LOW</t>
        </is>
      </c>
      <c r="Q539" s="3" t="inlineStr">
        <is>
          <t>Float switches for sump service</t>
        </is>
      </c>
      <c r="R539" s="3">
        <f>VLOOKUP($F539,Inputs!$D$6:$E$41,2,FALSE)</f>
        <v/>
      </c>
      <c r="S539" s="36">
        <f>VLOOKUP($E539,Inputs!$A$6:$B$13,2,FALSE)*Inputs!$B$2</f>
        <v/>
      </c>
      <c r="T539" s="35">
        <f>$L539*$S539</f>
        <v/>
      </c>
      <c r="U539" s="35">
        <f>$L539+$T539</f>
        <v/>
      </c>
    </row>
    <row r="540">
      <c r="A540" s="3" t="inlineStr">
        <is>
          <t>PKG-20::L015</t>
        </is>
      </c>
      <c r="B540" s="3" t="inlineStr">
        <is>
          <t>PKG-20</t>
        </is>
      </c>
      <c r="C540" s="3" t="n"/>
      <c r="D540" s="3" t="inlineStr">
        <is>
          <t>L015</t>
        </is>
      </c>
      <c r="E540" s="3" t="inlineStr">
        <is>
          <t>MAT</t>
        </is>
      </c>
      <c r="F540" s="3" t="inlineStr">
        <is>
          <t>PKG-20</t>
        </is>
      </c>
      <c r="G540" s="3" t="n"/>
      <c r="H540" s="3" t="inlineStr">
        <is>
          <t>Marine Loading Temperature Elements - product temperature monitoring (2 units)</t>
        </is>
      </c>
      <c r="I540" s="22" t="n">
        <v>2</v>
      </c>
      <c r="J540" s="3" t="inlineStr">
        <is>
          <t>EA</t>
        </is>
      </c>
      <c r="K540" s="39" t="n">
        <v>2800</v>
      </c>
      <c r="L540" s="35" t="n">
        <v>5600</v>
      </c>
      <c r="M540" s="3" t="inlineStr">
        <is>
          <t>CAD</t>
        </is>
      </c>
      <c r="N540" s="3" t="inlineStr">
        <is>
          <t>ALLOWANCE</t>
        </is>
      </c>
      <c r="O540" s="3" t="inlineStr">
        <is>
          <t>A-006</t>
        </is>
      </c>
      <c r="P540" s="3" t="inlineStr">
        <is>
          <t>LOW</t>
        </is>
      </c>
      <c r="Q540" s="3" t="inlineStr">
        <is>
          <t>PT100 RTD with thermowell</t>
        </is>
      </c>
      <c r="R540" s="3">
        <f>VLOOKUP($F540,Inputs!$D$6:$E$41,2,FALSE)</f>
        <v/>
      </c>
      <c r="S540" s="36">
        <f>VLOOKUP($E540,Inputs!$A$6:$B$13,2,FALSE)*Inputs!$B$2</f>
        <v/>
      </c>
      <c r="T540" s="35">
        <f>$L540*$S540</f>
        <v/>
      </c>
      <c r="U540" s="35">
        <f>$L540+$T540</f>
        <v/>
      </c>
    </row>
    <row r="541">
      <c r="A541" s="3" t="inlineStr">
        <is>
          <t>PKG-20::L016</t>
        </is>
      </c>
      <c r="B541" s="3" t="inlineStr">
        <is>
          <t>PKG-20</t>
        </is>
      </c>
      <c r="C541" s="3" t="n"/>
      <c r="D541" s="3" t="inlineStr">
        <is>
          <t>L016</t>
        </is>
      </c>
      <c r="E541" s="3" t="inlineStr">
        <is>
          <t>MAT</t>
        </is>
      </c>
      <c r="F541" s="3" t="inlineStr">
        <is>
          <t>PKG-20</t>
        </is>
      </c>
      <c r="G541" s="3" t="n"/>
      <c r="H541" s="3" t="inlineStr">
        <is>
          <t>Transfer Piping Pressure Transmitters - pump suction/discharge headers (12 units)</t>
        </is>
      </c>
      <c r="I541" s="22" t="n">
        <v>12</v>
      </c>
      <c r="J541" s="3" t="inlineStr">
        <is>
          <t>EA</t>
        </is>
      </c>
      <c r="K541" s="39" t="n">
        <v>4500</v>
      </c>
      <c r="L541" s="35" t="n">
        <v>54000</v>
      </c>
      <c r="M541" s="3" t="inlineStr">
        <is>
          <t>CAD</t>
        </is>
      </c>
      <c r="N541" s="3" t="inlineStr">
        <is>
          <t>ALLOWANCE</t>
        </is>
      </c>
      <c r="O541" s="3" t="inlineStr">
        <is>
          <t>A-007</t>
        </is>
      </c>
      <c r="P541" s="3" t="inlineStr">
        <is>
          <t>LOW</t>
        </is>
      </c>
      <c r="Q541" s="3" t="inlineStr">
        <is>
          <t>HART pressure transmitters</t>
        </is>
      </c>
      <c r="R541" s="3">
        <f>VLOOKUP($F541,Inputs!$D$6:$E$41,2,FALSE)</f>
        <v/>
      </c>
      <c r="S541" s="36">
        <f>VLOOKUP($E541,Inputs!$A$6:$B$13,2,FALSE)*Inputs!$B$2</f>
        <v/>
      </c>
      <c r="T541" s="35">
        <f>$L541*$S541</f>
        <v/>
      </c>
      <c r="U541" s="35">
        <f>$L541+$T541</f>
        <v/>
      </c>
    </row>
    <row r="542">
      <c r="A542" s="3" t="inlineStr">
        <is>
          <t>PKG-20::L017</t>
        </is>
      </c>
      <c r="B542" s="3" t="inlineStr">
        <is>
          <t>PKG-20</t>
        </is>
      </c>
      <c r="C542" s="3" t="n"/>
      <c r="D542" s="3" t="inlineStr">
        <is>
          <t>L017</t>
        </is>
      </c>
      <c r="E542" s="3" t="inlineStr">
        <is>
          <t>MAT</t>
        </is>
      </c>
      <c r="F542" s="3" t="inlineStr">
        <is>
          <t>PKG-20</t>
        </is>
      </c>
      <c r="G542" s="3" t="n"/>
      <c r="H542" s="3" t="inlineStr">
        <is>
          <t>Transfer Piping Temperature Elements - process temperature monitoring (8 units)</t>
        </is>
      </c>
      <c r="I542" s="22" t="n">
        <v>8</v>
      </c>
      <c r="J542" s="3" t="inlineStr">
        <is>
          <t>EA</t>
        </is>
      </c>
      <c r="K542" s="39" t="n">
        <v>2800</v>
      </c>
      <c r="L542" s="35" t="n">
        <v>22400</v>
      </c>
      <c r="M542" s="3" t="inlineStr">
        <is>
          <t>CAD</t>
        </is>
      </c>
      <c r="N542" s="3" t="inlineStr">
        <is>
          <t>ALLOWANCE</t>
        </is>
      </c>
      <c r="O542" s="3" t="inlineStr">
        <is>
          <t>A-007</t>
        </is>
      </c>
      <c r="P542" s="3" t="inlineStr">
        <is>
          <t>LOW</t>
        </is>
      </c>
      <c r="Q542" s="3" t="inlineStr">
        <is>
          <t>PT100 RTD with thermowell</t>
        </is>
      </c>
      <c r="R542" s="3">
        <f>VLOOKUP($F542,Inputs!$D$6:$E$41,2,FALSE)</f>
        <v/>
      </c>
      <c r="S542" s="36">
        <f>VLOOKUP($E542,Inputs!$A$6:$B$13,2,FALSE)*Inputs!$B$2</f>
        <v/>
      </c>
      <c r="T542" s="35">
        <f>$L542*$S542</f>
        <v/>
      </c>
      <c r="U542" s="35">
        <f>$L542+$T542</f>
        <v/>
      </c>
    </row>
    <row r="543">
      <c r="A543" s="3" t="inlineStr">
        <is>
          <t>PKG-20::L018</t>
        </is>
      </c>
      <c r="B543" s="3" t="inlineStr">
        <is>
          <t>PKG-20</t>
        </is>
      </c>
      <c r="C543" s="3" t="n"/>
      <c r="D543" s="3" t="inlineStr">
        <is>
          <t>L018</t>
        </is>
      </c>
      <c r="E543" s="3" t="inlineStr">
        <is>
          <t>MAT</t>
        </is>
      </c>
      <c r="F543" s="3" t="inlineStr">
        <is>
          <t>PKG-20</t>
        </is>
      </c>
      <c r="G543" s="3" t="n"/>
      <c r="H543" s="3" t="inlineStr">
        <is>
          <t>Pump Vibration Transmitters - vibration monitoring for critical pumps (6 units)</t>
        </is>
      </c>
      <c r="I543" s="22" t="n">
        <v>6</v>
      </c>
      <c r="J543" s="3" t="inlineStr">
        <is>
          <t>EA</t>
        </is>
      </c>
      <c r="K543" s="39" t="n">
        <v>5500</v>
      </c>
      <c r="L543" s="35" t="n">
        <v>33000</v>
      </c>
      <c r="M543" s="3" t="inlineStr">
        <is>
          <t>CAD</t>
        </is>
      </c>
      <c r="N543" s="3" t="inlineStr">
        <is>
          <t>ALLOWANCE</t>
        </is>
      </c>
      <c r="O543" s="3" t="inlineStr">
        <is>
          <t>A-007</t>
        </is>
      </c>
      <c r="P543" s="3" t="inlineStr">
        <is>
          <t>LOW</t>
        </is>
      </c>
      <c r="Q543" s="3" t="inlineStr">
        <is>
          <t>Vibration transmitters for predictive maintenance</t>
        </is>
      </c>
      <c r="R543" s="3">
        <f>VLOOKUP($F543,Inputs!$D$6:$E$41,2,FALSE)</f>
        <v/>
      </c>
      <c r="S543" s="36">
        <f>VLOOKUP($E543,Inputs!$A$6:$B$13,2,FALSE)*Inputs!$B$2</f>
        <v/>
      </c>
      <c r="T543" s="35">
        <f>$L543*$S543</f>
        <v/>
      </c>
      <c r="U543" s="35">
        <f>$L543+$T543</f>
        <v/>
      </c>
    </row>
    <row r="544">
      <c r="A544" s="3" t="inlineStr">
        <is>
          <t>PKG-20::L019</t>
        </is>
      </c>
      <c r="B544" s="3" t="inlineStr">
        <is>
          <t>PKG-20</t>
        </is>
      </c>
      <c r="C544" s="3" t="n"/>
      <c r="D544" s="3" t="inlineStr">
        <is>
          <t>L019</t>
        </is>
      </c>
      <c r="E544" s="3" t="inlineStr">
        <is>
          <t>MAT</t>
        </is>
      </c>
      <c r="F544" s="3" t="inlineStr">
        <is>
          <t>PKG-20</t>
        </is>
      </c>
      <c r="G544" s="3" t="n"/>
      <c r="H544" s="3" t="inlineStr">
        <is>
          <t>Miscellaneous Process Switches - pressure and temperature switches for alarms (12 units)</t>
        </is>
      </c>
      <c r="I544" s="22" t="n">
        <v>12</v>
      </c>
      <c r="J544" s="3" t="inlineStr">
        <is>
          <t>EA</t>
        </is>
      </c>
      <c r="K544" s="39" t="n">
        <v>1800</v>
      </c>
      <c r="L544" s="35" t="n">
        <v>21600</v>
      </c>
      <c r="M544" s="3" t="inlineStr">
        <is>
          <t>CAD</t>
        </is>
      </c>
      <c r="N544" s="3" t="inlineStr">
        <is>
          <t>ALLOWANCE</t>
        </is>
      </c>
      <c r="O544" s="3" t="inlineStr">
        <is>
          <t>A-016</t>
        </is>
      </c>
      <c r="P544" s="3" t="inlineStr">
        <is>
          <t>LOW</t>
        </is>
      </c>
      <c r="Q544" s="3" t="inlineStr">
        <is>
          <t>Various alarm and interlock switches</t>
        </is>
      </c>
      <c r="R544" s="3">
        <f>VLOOKUP($F544,Inputs!$D$6:$E$41,2,FALSE)</f>
        <v/>
      </c>
      <c r="S544" s="36">
        <f>VLOOKUP($E544,Inputs!$A$6:$B$13,2,FALSE)*Inputs!$B$2</f>
        <v/>
      </c>
      <c r="T544" s="35">
        <f>$L544*$S544</f>
        <v/>
      </c>
      <c r="U544" s="35">
        <f>$L544+$T544</f>
        <v/>
      </c>
    </row>
    <row r="545">
      <c r="A545" s="3" t="inlineStr">
        <is>
          <t>PKG-20::L020</t>
        </is>
      </c>
      <c r="B545" s="3" t="inlineStr">
        <is>
          <t>PKG-20</t>
        </is>
      </c>
      <c r="C545" s="3" t="n"/>
      <c r="D545" s="3" t="inlineStr">
        <is>
          <t>L020</t>
        </is>
      </c>
      <c r="E545" s="3" t="inlineStr">
        <is>
          <t>MAT</t>
        </is>
      </c>
      <c r="F545" s="3" t="inlineStr">
        <is>
          <t>PKG-20</t>
        </is>
      </c>
      <c r="G545" s="3" t="n"/>
      <c r="H545" s="3" t="inlineStr">
        <is>
          <t>Instrument Cable - multi-conductor shielded cable supply (~8000 m)</t>
        </is>
      </c>
      <c r="I545" s="22" t="n">
        <v>8000</v>
      </c>
      <c r="J545" s="3" t="inlineStr">
        <is>
          <t>M</t>
        </is>
      </c>
      <c r="K545" s="39" t="n">
        <v>12</v>
      </c>
      <c r="L545" s="35" t="n">
        <v>96000</v>
      </c>
      <c r="M545" s="3" t="inlineStr">
        <is>
          <t>CAD</t>
        </is>
      </c>
      <c r="N545" s="3" t="inlineStr">
        <is>
          <t>ALLOWANCE</t>
        </is>
      </c>
      <c r="O545" s="3" t="inlineStr">
        <is>
          <t>A-008</t>
        </is>
      </c>
      <c r="P545" s="3" t="inlineStr">
        <is>
          <t>LOW</t>
        </is>
      </c>
      <c r="Q545" s="3" t="inlineStr">
        <is>
          <t>Multi-pair shielded instrument cable</t>
        </is>
      </c>
      <c r="R545" s="3">
        <f>VLOOKUP($F545,Inputs!$D$6:$E$41,2,FALSE)</f>
        <v/>
      </c>
      <c r="S545" s="36">
        <f>VLOOKUP($E545,Inputs!$A$6:$B$13,2,FALSE)*Inputs!$B$2</f>
        <v/>
      </c>
      <c r="T545" s="35">
        <f>$L545*$S545</f>
        <v/>
      </c>
      <c r="U545" s="35">
        <f>$L545+$T545</f>
        <v/>
      </c>
    </row>
    <row r="546">
      <c r="A546" s="3" t="inlineStr">
        <is>
          <t>PKG-20::L021</t>
        </is>
      </c>
      <c r="B546" s="3" t="inlineStr">
        <is>
          <t>PKG-20</t>
        </is>
      </c>
      <c r="C546" s="3" t="n"/>
      <c r="D546" s="3" t="inlineStr">
        <is>
          <t>L021</t>
        </is>
      </c>
      <c r="E546" s="3" t="inlineStr">
        <is>
          <t>MAT</t>
        </is>
      </c>
      <c r="F546" s="3" t="inlineStr">
        <is>
          <t>PKG-20</t>
        </is>
      </c>
      <c r="G546" s="3" t="n"/>
      <c r="H546" s="3" t="inlineStr">
        <is>
          <t>Junction Boxes - NEMA 4X stainless steel instrument junction boxes (25 units)</t>
        </is>
      </c>
      <c r="I546" s="22" t="n">
        <v>25</v>
      </c>
      <c r="J546" s="3" t="inlineStr">
        <is>
          <t>EA</t>
        </is>
      </c>
      <c r="K546" s="39" t="n">
        <v>2800</v>
      </c>
      <c r="L546" s="35" t="n">
        <v>70000</v>
      </c>
      <c r="M546" s="3" t="inlineStr">
        <is>
          <t>CAD</t>
        </is>
      </c>
      <c r="N546" s="3" t="inlineStr">
        <is>
          <t>ALLOWANCE</t>
        </is>
      </c>
      <c r="O546" s="3" t="inlineStr">
        <is>
          <t>A-009</t>
        </is>
      </c>
      <c r="P546" s="3" t="inlineStr">
        <is>
          <t>LOW</t>
        </is>
      </c>
      <c r="Q546" s="3" t="inlineStr">
        <is>
          <t>SS junction boxes for marine environment</t>
        </is>
      </c>
      <c r="R546" s="3">
        <f>VLOOKUP($F546,Inputs!$D$6:$E$41,2,FALSE)</f>
        <v/>
      </c>
      <c r="S546" s="36">
        <f>VLOOKUP($E546,Inputs!$A$6:$B$13,2,FALSE)*Inputs!$B$2</f>
        <v/>
      </c>
      <c r="T546" s="35">
        <f>$L546*$S546</f>
        <v/>
      </c>
      <c r="U546" s="35">
        <f>$L546+$T546</f>
        <v/>
      </c>
    </row>
    <row r="547">
      <c r="A547" s="3" t="inlineStr">
        <is>
          <t>PKG-20::L022</t>
        </is>
      </c>
      <c r="B547" s="3" t="inlineStr">
        <is>
          <t>PKG-20</t>
        </is>
      </c>
      <c r="C547" s="3" t="n"/>
      <c r="D547" s="3" t="inlineStr">
        <is>
          <t>L022</t>
        </is>
      </c>
      <c r="E547" s="3" t="inlineStr">
        <is>
          <t>MAT</t>
        </is>
      </c>
      <c r="F547" s="3" t="inlineStr">
        <is>
          <t>PKG-20</t>
        </is>
      </c>
      <c r="G547" s="3" t="n"/>
      <c r="H547" s="3" t="inlineStr">
        <is>
          <t>Instrument Tubing and Fittings - SS tubing compression fittings manifolds</t>
        </is>
      </c>
      <c r="I547" s="22" t="n">
        <v>1</v>
      </c>
      <c r="J547" s="3" t="inlineStr">
        <is>
          <t>LS</t>
        </is>
      </c>
      <c r="K547" s="39" t="n">
        <v>35000</v>
      </c>
      <c r="L547" s="35" t="n">
        <v>35000</v>
      </c>
      <c r="M547" s="3" t="inlineStr">
        <is>
          <t>CAD</t>
        </is>
      </c>
      <c r="N547" s="3" t="inlineStr">
        <is>
          <t>ALLOWANCE</t>
        </is>
      </c>
      <c r="O547" s="3" t="inlineStr">
        <is>
          <t>A-010</t>
        </is>
      </c>
      <c r="P547" s="3" t="inlineStr">
        <is>
          <t>LOW</t>
        </is>
      </c>
      <c r="Q547" s="3" t="inlineStr">
        <is>
          <t>Stainless steel instrument tubing</t>
        </is>
      </c>
      <c r="R547" s="3">
        <f>VLOOKUP($F547,Inputs!$D$6:$E$41,2,FALSE)</f>
        <v/>
      </c>
      <c r="S547" s="36">
        <f>VLOOKUP($E547,Inputs!$A$6:$B$13,2,FALSE)*Inputs!$B$2</f>
        <v/>
      </c>
      <c r="T547" s="35">
        <f>$L547*$S547</f>
        <v/>
      </c>
      <c r="U547" s="35">
        <f>$L547+$T547</f>
        <v/>
      </c>
    </row>
    <row r="548">
      <c r="A548" s="3" t="inlineStr">
        <is>
          <t>PKG-20::L023</t>
        </is>
      </c>
      <c r="B548" s="3" t="inlineStr">
        <is>
          <t>PKG-20</t>
        </is>
      </c>
      <c r="C548" s="3" t="n"/>
      <c r="D548" s="3" t="inlineStr">
        <is>
          <t>L023</t>
        </is>
      </c>
      <c r="E548" s="3" t="inlineStr">
        <is>
          <t>MAT</t>
        </is>
      </c>
      <c r="F548" s="3" t="inlineStr">
        <is>
          <t>PKG-20</t>
        </is>
      </c>
      <c r="G548" s="3" t="n"/>
      <c r="H548" s="3" t="inlineStr">
        <is>
          <t>Instrument Supports and Mounting - brackets stands pipe mounts weather protection</t>
        </is>
      </c>
      <c r="I548" s="22" t="n">
        <v>1</v>
      </c>
      <c r="J548" s="3" t="inlineStr">
        <is>
          <t>LS</t>
        </is>
      </c>
      <c r="K548" s="39" t="n">
        <v>28000</v>
      </c>
      <c r="L548" s="35" t="n">
        <v>28000</v>
      </c>
      <c r="M548" s="3" t="inlineStr">
        <is>
          <t>CAD</t>
        </is>
      </c>
      <c r="N548" s="3" t="inlineStr">
        <is>
          <t>ALLOWANCE</t>
        </is>
      </c>
      <c r="O548" s="3" t="inlineStr">
        <is>
          <t>A-017</t>
        </is>
      </c>
      <c r="P548" s="3" t="inlineStr">
        <is>
          <t>LOW</t>
        </is>
      </c>
      <c r="Q548" s="3" t="inlineStr">
        <is>
          <t>Field mounting hardware</t>
        </is>
      </c>
      <c r="R548" s="3">
        <f>VLOOKUP($F548,Inputs!$D$6:$E$41,2,FALSE)</f>
        <v/>
      </c>
      <c r="S548" s="36">
        <f>VLOOKUP($E548,Inputs!$A$6:$B$13,2,FALSE)*Inputs!$B$2</f>
        <v/>
      </c>
      <c r="T548" s="35">
        <f>$L548*$S548</f>
        <v/>
      </c>
      <c r="U548" s="35">
        <f>$L548+$T548</f>
        <v/>
      </c>
    </row>
    <row r="549">
      <c r="A549" s="3" t="inlineStr">
        <is>
          <t>PKG-20::L024</t>
        </is>
      </c>
      <c r="B549" s="3" t="inlineStr">
        <is>
          <t>PKG-20</t>
        </is>
      </c>
      <c r="C549" s="3" t="n"/>
      <c r="D549" s="3" t="inlineStr">
        <is>
          <t>L024</t>
        </is>
      </c>
      <c r="E549" s="3" t="inlineStr">
        <is>
          <t>MAT</t>
        </is>
      </c>
      <c r="F549" s="3" t="inlineStr">
        <is>
          <t>PKG-20</t>
        </is>
      </c>
      <c r="G549" s="3" t="n"/>
      <c r="H549" s="3" t="inlineStr">
        <is>
          <t>Instrument Conduit and Fittings - rigid conduit flex conduit fittings</t>
        </is>
      </c>
      <c r="I549" s="22" t="n">
        <v>1</v>
      </c>
      <c r="J549" s="3" t="inlineStr">
        <is>
          <t>LS</t>
        </is>
      </c>
      <c r="K549" s="39" t="n">
        <v>42000</v>
      </c>
      <c r="L549" s="35" t="n">
        <v>42000</v>
      </c>
      <c r="M549" s="3" t="inlineStr">
        <is>
          <t>CAD</t>
        </is>
      </c>
      <c r="N549" s="3" t="inlineStr">
        <is>
          <t>ALLOWANCE</t>
        </is>
      </c>
      <c r="O549" s="3" t="inlineStr">
        <is>
          <t>A-018</t>
        </is>
      </c>
      <c r="P549" s="3" t="inlineStr">
        <is>
          <t>LOW</t>
        </is>
      </c>
      <c r="Q549" s="3" t="inlineStr">
        <is>
          <t>Conduit system for cable protection</t>
        </is>
      </c>
      <c r="R549" s="3">
        <f>VLOOKUP($F549,Inputs!$D$6:$E$41,2,FALSE)</f>
        <v/>
      </c>
      <c r="S549" s="36">
        <f>VLOOKUP($E549,Inputs!$A$6:$B$13,2,FALSE)*Inputs!$B$2</f>
        <v/>
      </c>
      <c r="T549" s="35">
        <f>$L549*$S549</f>
        <v/>
      </c>
      <c r="U549" s="35">
        <f>$L549+$T549</f>
        <v/>
      </c>
    </row>
    <row r="550">
      <c r="A550" s="3" t="inlineStr">
        <is>
          <t>PKG-20::L025</t>
        </is>
      </c>
      <c r="B550" s="3" t="inlineStr">
        <is>
          <t>PKG-20</t>
        </is>
      </c>
      <c r="C550" s="3" t="n"/>
      <c r="D550" s="3" t="inlineStr">
        <is>
          <t>L025</t>
        </is>
      </c>
      <c r="E550" s="3" t="inlineStr">
        <is>
          <t>CD</t>
        </is>
      </c>
      <c r="F550" s="3" t="inlineStr">
        <is>
          <t>PKG-20</t>
        </is>
      </c>
      <c r="G550" s="3" t="n"/>
      <c r="H550" s="3" t="inlineStr">
        <is>
          <t>Instrument Installation - field mounting wiring termination (106 instruments)</t>
        </is>
      </c>
      <c r="I550" s="22" t="n">
        <v>106</v>
      </c>
      <c r="J550" s="3" t="inlineStr">
        <is>
          <t>EA</t>
        </is>
      </c>
      <c r="K550" s="39" t="n">
        <v>850</v>
      </c>
      <c r="L550" s="35" t="n">
        <v>90100</v>
      </c>
      <c r="M550" s="3" t="inlineStr">
        <is>
          <t>CAD</t>
        </is>
      </c>
      <c r="N550" s="3" t="inlineStr">
        <is>
          <t>ALLOWANCE</t>
        </is>
      </c>
      <c r="O550" s="3" t="inlineStr">
        <is>
          <t>A-019</t>
        </is>
      </c>
      <c r="P550" s="3" t="inlineStr">
        <is>
          <t>LOW</t>
        </is>
      </c>
      <c r="Q550" s="3" t="inlineStr">
        <is>
          <t>Average installation cost per instrument</t>
        </is>
      </c>
      <c r="R550" s="3">
        <f>VLOOKUP($F550,Inputs!$D$6:$E$41,2,FALSE)</f>
        <v/>
      </c>
      <c r="S550" s="36">
        <f>VLOOKUP($E550,Inputs!$A$6:$B$13,2,FALSE)*Inputs!$B$2</f>
        <v/>
      </c>
      <c r="T550" s="35">
        <f>$L550*$S550</f>
        <v/>
      </c>
      <c r="U550" s="35">
        <f>$L550+$T550</f>
        <v/>
      </c>
    </row>
    <row r="551">
      <c r="A551" s="3" t="inlineStr">
        <is>
          <t>PKG-20::L026</t>
        </is>
      </c>
      <c r="B551" s="3" t="inlineStr">
        <is>
          <t>PKG-20</t>
        </is>
      </c>
      <c r="C551" s="3" t="n"/>
      <c r="D551" s="3" t="inlineStr">
        <is>
          <t>L026</t>
        </is>
      </c>
      <c r="E551" s="3" t="inlineStr">
        <is>
          <t>CD</t>
        </is>
      </c>
      <c r="F551" s="3" t="inlineStr">
        <is>
          <t>PKG-20</t>
        </is>
      </c>
      <c r="G551" s="3" t="n"/>
      <c r="H551" s="3" t="inlineStr">
        <is>
          <t>Instrument Cable Installation - cable pulling termination (~8000 m in tray/conduit)</t>
        </is>
      </c>
      <c r="I551" s="22" t="n">
        <v>8000</v>
      </c>
      <c r="J551" s="3" t="inlineStr">
        <is>
          <t>M</t>
        </is>
      </c>
      <c r="K551" s="39" t="n">
        <v>18</v>
      </c>
      <c r="L551" s="35" t="n">
        <v>144000</v>
      </c>
      <c r="M551" s="3" t="inlineStr">
        <is>
          <t>CAD</t>
        </is>
      </c>
      <c r="N551" s="3" t="inlineStr">
        <is>
          <t>ALLOWANCE</t>
        </is>
      </c>
      <c r="O551" s="3" t="inlineStr">
        <is>
          <t>A-008</t>
        </is>
      </c>
      <c r="P551" s="3" t="inlineStr">
        <is>
          <t>LOW</t>
        </is>
      </c>
      <c r="Q551" s="3" t="inlineStr">
        <is>
          <t>Cable installation in tray and conduit</t>
        </is>
      </c>
      <c r="R551" s="3">
        <f>VLOOKUP($F551,Inputs!$D$6:$E$41,2,FALSE)</f>
        <v/>
      </c>
      <c r="S551" s="36">
        <f>VLOOKUP($E551,Inputs!$A$6:$B$13,2,FALSE)*Inputs!$B$2</f>
        <v/>
      </c>
      <c r="T551" s="35">
        <f>$L551*$S551</f>
        <v/>
      </c>
      <c r="U551" s="35">
        <f>$L551+$T551</f>
        <v/>
      </c>
    </row>
    <row r="552">
      <c r="A552" s="3" t="inlineStr">
        <is>
          <t>PKG-20::L027</t>
        </is>
      </c>
      <c r="B552" s="3" t="inlineStr">
        <is>
          <t>PKG-20</t>
        </is>
      </c>
      <c r="C552" s="3" t="n"/>
      <c r="D552" s="3" t="inlineStr">
        <is>
          <t>L027</t>
        </is>
      </c>
      <c r="E552" s="3" t="inlineStr">
        <is>
          <t>CD</t>
        </is>
      </c>
      <c r="F552" s="3" t="inlineStr">
        <is>
          <t>PKG-20</t>
        </is>
      </c>
      <c r="G552" s="3" t="n"/>
      <c r="H552" s="3" t="inlineStr">
        <is>
          <t>Junction Box Installation - mounting wiring terminal block installation (25 units)</t>
        </is>
      </c>
      <c r="I552" s="22" t="n">
        <v>25</v>
      </c>
      <c r="J552" s="3" t="inlineStr">
        <is>
          <t>EA</t>
        </is>
      </c>
      <c r="K552" s="39" t="n">
        <v>1200</v>
      </c>
      <c r="L552" s="35" t="n">
        <v>30000</v>
      </c>
      <c r="M552" s="3" t="inlineStr">
        <is>
          <t>CAD</t>
        </is>
      </c>
      <c r="N552" s="3" t="inlineStr">
        <is>
          <t>ALLOWANCE</t>
        </is>
      </c>
      <c r="O552" s="3" t="inlineStr">
        <is>
          <t>A-009</t>
        </is>
      </c>
      <c r="P552" s="3" t="inlineStr">
        <is>
          <t>LOW</t>
        </is>
      </c>
      <c r="Q552" s="3" t="inlineStr">
        <is>
          <t>Junction box field installation</t>
        </is>
      </c>
      <c r="R552" s="3">
        <f>VLOOKUP($F552,Inputs!$D$6:$E$41,2,FALSE)</f>
        <v/>
      </c>
      <c r="S552" s="36">
        <f>VLOOKUP($E552,Inputs!$A$6:$B$13,2,FALSE)*Inputs!$B$2</f>
        <v/>
      </c>
      <c r="T552" s="35">
        <f>$L552*$S552</f>
        <v/>
      </c>
      <c r="U552" s="35">
        <f>$L552+$T552</f>
        <v/>
      </c>
    </row>
    <row r="553">
      <c r="A553" s="3" t="inlineStr">
        <is>
          <t>PKG-20::L028</t>
        </is>
      </c>
      <c r="B553" s="3" t="inlineStr">
        <is>
          <t>PKG-20</t>
        </is>
      </c>
      <c r="C553" s="3" t="n"/>
      <c r="D553" s="3" t="inlineStr">
        <is>
          <t>L028</t>
        </is>
      </c>
      <c r="E553" s="3" t="inlineStr">
        <is>
          <t>CD</t>
        </is>
      </c>
      <c r="F553" s="3" t="inlineStr">
        <is>
          <t>PKG-20</t>
        </is>
      </c>
      <c r="G553" s="3" t="n"/>
      <c r="H553" s="3" t="inlineStr">
        <is>
          <t>Instrument Conduit Installation - conduit and support installation</t>
        </is>
      </c>
      <c r="I553" s="22" t="n">
        <v>1</v>
      </c>
      <c r="J553" s="3" t="inlineStr">
        <is>
          <t>LS</t>
        </is>
      </c>
      <c r="K553" s="39" t="n">
        <v>65000</v>
      </c>
      <c r="L553" s="35" t="n">
        <v>65000</v>
      </c>
      <c r="M553" s="3" t="inlineStr">
        <is>
          <t>CAD</t>
        </is>
      </c>
      <c r="N553" s="3" t="inlineStr">
        <is>
          <t>ALLOWANCE</t>
        </is>
      </c>
      <c r="O553" s="3" t="inlineStr">
        <is>
          <t>A-018</t>
        </is>
      </c>
      <c r="P553" s="3" t="inlineStr">
        <is>
          <t>LOW</t>
        </is>
      </c>
      <c r="Q553" s="3" t="inlineStr">
        <is>
          <t>Field conduit installation</t>
        </is>
      </c>
      <c r="R553" s="3">
        <f>VLOOKUP($F553,Inputs!$D$6:$E$41,2,FALSE)</f>
        <v/>
      </c>
      <c r="S553" s="36">
        <f>VLOOKUP($E553,Inputs!$A$6:$B$13,2,FALSE)*Inputs!$B$2</f>
        <v/>
      </c>
      <c r="T553" s="35">
        <f>$L553*$S553</f>
        <v/>
      </c>
      <c r="U553" s="35">
        <f>$L553+$T553</f>
        <v/>
      </c>
    </row>
    <row r="554">
      <c r="A554" s="3" t="inlineStr">
        <is>
          <t>PKG-20::L029</t>
        </is>
      </c>
      <c r="B554" s="3" t="inlineStr">
        <is>
          <t>PKG-20</t>
        </is>
      </c>
      <c r="C554" s="3" t="n"/>
      <c r="D554" s="3" t="inlineStr">
        <is>
          <t>L029</t>
        </is>
      </c>
      <c r="E554" s="3" t="inlineStr">
        <is>
          <t>CD</t>
        </is>
      </c>
      <c r="F554" s="3" t="inlineStr">
        <is>
          <t>PKG-20</t>
        </is>
      </c>
      <c r="G554" s="3" t="n"/>
      <c r="H554" s="3" t="inlineStr">
        <is>
          <t>Instrument Tubing Installation - tubing routing and connection</t>
        </is>
      </c>
      <c r="I554" s="22" t="n">
        <v>1</v>
      </c>
      <c r="J554" s="3" t="inlineStr">
        <is>
          <t>LS</t>
        </is>
      </c>
      <c r="K554" s="39" t="n">
        <v>25000</v>
      </c>
      <c r="L554" s="35" t="n">
        <v>25000</v>
      </c>
      <c r="M554" s="3" t="inlineStr">
        <is>
          <t>CAD</t>
        </is>
      </c>
      <c r="N554" s="3" t="inlineStr">
        <is>
          <t>ALLOWANCE</t>
        </is>
      </c>
      <c r="O554" s="3" t="inlineStr">
        <is>
          <t>A-010</t>
        </is>
      </c>
      <c r="P554" s="3" t="inlineStr">
        <is>
          <t>LOW</t>
        </is>
      </c>
      <c r="Q554" s="3" t="inlineStr">
        <is>
          <t>Process tubing installation</t>
        </is>
      </c>
      <c r="R554" s="3">
        <f>VLOOKUP($F554,Inputs!$D$6:$E$41,2,FALSE)</f>
        <v/>
      </c>
      <c r="S554" s="36">
        <f>VLOOKUP($E554,Inputs!$A$6:$B$13,2,FALSE)*Inputs!$B$2</f>
        <v/>
      </c>
      <c r="T554" s="35">
        <f>$L554*$S554</f>
        <v/>
      </c>
      <c r="U554" s="35">
        <f>$L554+$T554</f>
        <v/>
      </c>
    </row>
    <row r="555">
      <c r="A555" s="3" t="inlineStr">
        <is>
          <t>PKG-20::L030</t>
        </is>
      </c>
      <c r="B555" s="3" t="inlineStr">
        <is>
          <t>PKG-20</t>
        </is>
      </c>
      <c r="C555" s="3" t="n"/>
      <c r="D555" s="3" t="inlineStr">
        <is>
          <t>L030</t>
        </is>
      </c>
      <c r="E555" s="3" t="inlineStr">
        <is>
          <t>CD</t>
        </is>
      </c>
      <c r="F555" s="3" t="inlineStr">
        <is>
          <t>PKG-20</t>
        </is>
      </c>
      <c r="G555" s="3" t="n"/>
      <c r="H555" s="3" t="inlineStr">
        <is>
          <t>Instrument Calibration - field calibration and verification (106 instruments)</t>
        </is>
      </c>
      <c r="I555" s="22" t="n">
        <v>106</v>
      </c>
      <c r="J555" s="3" t="inlineStr">
        <is>
          <t>EA</t>
        </is>
      </c>
      <c r="K555" s="39" t="n">
        <v>280</v>
      </c>
      <c r="L555" s="35" t="n">
        <v>29680</v>
      </c>
      <c r="M555" s="3" t="inlineStr">
        <is>
          <t>CAD</t>
        </is>
      </c>
      <c r="N555" s="3" t="inlineStr">
        <is>
          <t>ALLOWANCE</t>
        </is>
      </c>
      <c r="O555" s="3" t="inlineStr">
        <is>
          <t>A-020</t>
        </is>
      </c>
      <c r="P555" s="3" t="inlineStr">
        <is>
          <t>LOW</t>
        </is>
      </c>
      <c r="Q555" s="3" t="inlineStr">
        <is>
          <t>Field calibration labor and equipment</t>
        </is>
      </c>
      <c r="R555" s="3">
        <f>VLOOKUP($F555,Inputs!$D$6:$E$41,2,FALSE)</f>
        <v/>
      </c>
      <c r="S555" s="36">
        <f>VLOOKUP($E555,Inputs!$A$6:$B$13,2,FALSE)*Inputs!$B$2</f>
        <v/>
      </c>
      <c r="T555" s="35">
        <f>$L555*$S555</f>
        <v/>
      </c>
      <c r="U555" s="35">
        <f>$L555+$T555</f>
        <v/>
      </c>
    </row>
    <row r="556">
      <c r="A556" s="3" t="inlineStr">
        <is>
          <t>PKG-20::L031</t>
        </is>
      </c>
      <c r="B556" s="3" t="inlineStr">
        <is>
          <t>PKG-20</t>
        </is>
      </c>
      <c r="C556" s="3" t="n"/>
      <c r="D556" s="3" t="inlineStr">
        <is>
          <t>L031</t>
        </is>
      </c>
      <c r="E556" s="3" t="inlineStr">
        <is>
          <t>CD</t>
        </is>
      </c>
      <c r="F556" s="3" t="inlineStr">
        <is>
          <t>PKG-20</t>
        </is>
      </c>
      <c r="G556" s="3" t="n"/>
      <c r="H556" s="3" t="inlineStr">
        <is>
          <t>Loop Testing - point-to-point loop verification and testing (106 loops)</t>
        </is>
      </c>
      <c r="I556" s="22" t="n">
        <v>106</v>
      </c>
      <c r="J556" s="3" t="inlineStr">
        <is>
          <t>EA</t>
        </is>
      </c>
      <c r="K556" s="39" t="n">
        <v>350</v>
      </c>
      <c r="L556" s="35" t="n">
        <v>37100</v>
      </c>
      <c r="M556" s="3" t="inlineStr">
        <is>
          <t>CAD</t>
        </is>
      </c>
      <c r="N556" s="3" t="inlineStr">
        <is>
          <t>ALLOWANCE</t>
        </is>
      </c>
      <c r="O556" s="3" t="inlineStr">
        <is>
          <t>A-020</t>
        </is>
      </c>
      <c r="P556" s="3" t="inlineStr">
        <is>
          <t>LOW</t>
        </is>
      </c>
      <c r="Q556" s="3" t="inlineStr">
        <is>
          <t>Loop check with DCS team</t>
        </is>
      </c>
      <c r="R556" s="3">
        <f>VLOOKUP($F556,Inputs!$D$6:$E$41,2,FALSE)</f>
        <v/>
      </c>
      <c r="S556" s="36">
        <f>VLOOKUP($E556,Inputs!$A$6:$B$13,2,FALSE)*Inputs!$B$2</f>
        <v/>
      </c>
      <c r="T556" s="35">
        <f>$L556*$S556</f>
        <v/>
      </c>
      <c r="U556" s="35">
        <f>$L556+$T556</f>
        <v/>
      </c>
    </row>
    <row r="557">
      <c r="A557" s="3" t="inlineStr">
        <is>
          <t>PKG-20::L032</t>
        </is>
      </c>
      <c r="B557" s="3" t="inlineStr">
        <is>
          <t>PKG-20</t>
        </is>
      </c>
      <c r="C557" s="3" t="n"/>
      <c r="D557" s="3" t="inlineStr">
        <is>
          <t>L032</t>
        </is>
      </c>
      <c r="E557" s="3" t="inlineStr">
        <is>
          <t>CI</t>
        </is>
      </c>
      <c r="F557" s="3" t="inlineStr">
        <is>
          <t>PKG-20</t>
        </is>
      </c>
      <c r="G557" s="3" t="n"/>
      <c r="H557" s="3" t="inlineStr">
        <is>
          <t>Construction Indirects - field supervision QA/QC scaffolding temporary works (factor-based)</t>
        </is>
      </c>
      <c r="I557" s="22" t="n">
        <v>1</v>
      </c>
      <c r="J557" s="3" t="inlineStr">
        <is>
          <t>LS</t>
        </is>
      </c>
      <c r="K557" s="39" t="n">
        <v>79000</v>
      </c>
      <c r="L557" s="35" t="n">
        <v>79000</v>
      </c>
      <c r="M557" s="3" t="inlineStr">
        <is>
          <t>CAD</t>
        </is>
      </c>
      <c r="N557" s="3" t="inlineStr">
        <is>
          <t>PARAMETRIC</t>
        </is>
      </c>
      <c r="O557" s="3" t="inlineStr">
        <is>
          <t>D-009</t>
        </is>
      </c>
      <c r="P557" s="3" t="inlineStr">
        <is>
          <t>LOW</t>
        </is>
      </c>
      <c r="Q557" s="3" t="inlineStr">
        <is>
          <t>18% of CD base ($440k × 0.18)</t>
        </is>
      </c>
      <c r="R557" s="3">
        <f>VLOOKUP($F557,Inputs!$D$6:$E$41,2,FALSE)</f>
        <v/>
      </c>
      <c r="S557" s="36">
        <f>VLOOKUP($E557,Inputs!$A$6:$B$13,2,FALSE)*Inputs!$B$2</f>
        <v/>
      </c>
      <c r="T557" s="35">
        <f>$L557*$S557</f>
        <v/>
      </c>
      <c r="U557" s="35">
        <f>$L557+$T557</f>
        <v/>
      </c>
    </row>
    <row r="558">
      <c r="A558" s="3" t="inlineStr">
        <is>
          <t>PKG-20::L033</t>
        </is>
      </c>
      <c r="B558" s="3" t="inlineStr">
        <is>
          <t>PKG-20</t>
        </is>
      </c>
      <c r="C558" s="3" t="n"/>
      <c r="D558" s="3" t="inlineStr">
        <is>
          <t>L033</t>
        </is>
      </c>
      <c r="E558" s="3" t="inlineStr">
        <is>
          <t>PM</t>
        </is>
      </c>
      <c r="F558" s="3" t="inlineStr">
        <is>
          <t>PKG-20</t>
        </is>
      </c>
      <c r="G558" s="3" t="n"/>
      <c r="H558" s="3" t="inlineStr">
        <is>
          <t>EPCM / Project Management - PKG-20 allocation (factor-based)</t>
        </is>
      </c>
      <c r="I558" s="22" t="n">
        <v>1</v>
      </c>
      <c r="J558" s="3" t="inlineStr">
        <is>
          <t>LS</t>
        </is>
      </c>
      <c r="K558" s="39" t="n">
        <v>78000</v>
      </c>
      <c r="L558" s="35" t="n">
        <v>78000</v>
      </c>
      <c r="M558" s="3" t="inlineStr">
        <is>
          <t>CAD</t>
        </is>
      </c>
      <c r="N558" s="3" t="inlineStr">
        <is>
          <t>PARAMETRIC</t>
        </is>
      </c>
      <c r="O558" s="3" t="inlineStr">
        <is>
          <t>D-009</t>
        </is>
      </c>
      <c r="P558" s="3" t="inlineStr">
        <is>
          <t>MED</t>
        </is>
      </c>
      <c r="Q558" s="3" t="inlineStr">
        <is>
          <t>6% of (CD+CI+MAT) base</t>
        </is>
      </c>
      <c r="R558" s="3">
        <f>VLOOKUP($F558,Inputs!$D$6:$E$41,2,FALSE)</f>
        <v/>
      </c>
      <c r="S558" s="36">
        <f>VLOOKUP($E558,Inputs!$A$6:$B$13,2,FALSE)*Inputs!$B$2</f>
        <v/>
      </c>
      <c r="T558" s="35">
        <f>$L558*$S558</f>
        <v/>
      </c>
      <c r="U558" s="35">
        <f>$L558+$T558</f>
        <v/>
      </c>
    </row>
    <row r="559">
      <c r="A559" s="3" t="inlineStr">
        <is>
          <t>PKG-20::L034</t>
        </is>
      </c>
      <c r="B559" s="3" t="inlineStr">
        <is>
          <t>PKG-20</t>
        </is>
      </c>
      <c r="C559" s="3" t="n"/>
      <c r="D559" s="3" t="inlineStr">
        <is>
          <t>L034</t>
        </is>
      </c>
      <c r="E559" s="3" t="inlineStr">
        <is>
          <t>P</t>
        </is>
      </c>
      <c r="F559" s="3" t="inlineStr">
        <is>
          <t>PKG-20</t>
        </is>
      </c>
      <c r="G559" s="3" t="n"/>
      <c r="H559" s="3" t="inlineStr">
        <is>
          <t>Procurement Services - instrument vendor qualification expediting (factor-based)</t>
        </is>
      </c>
      <c r="I559" s="22" t="n">
        <v>1</v>
      </c>
      <c r="J559" s="3" t="inlineStr">
        <is>
          <t>LS</t>
        </is>
      </c>
      <c r="K559" s="39" t="n">
        <v>13000</v>
      </c>
      <c r="L559" s="35" t="n">
        <v>13000</v>
      </c>
      <c r="M559" s="3" t="inlineStr">
        <is>
          <t>CAD</t>
        </is>
      </c>
      <c r="N559" s="3" t="inlineStr">
        <is>
          <t>PARAMETRIC</t>
        </is>
      </c>
      <c r="O559" s="3" t="inlineStr">
        <is>
          <t>D-009</t>
        </is>
      </c>
      <c r="P559" s="3" t="inlineStr">
        <is>
          <t>MED</t>
        </is>
      </c>
      <c r="Q559" s="3" t="inlineStr">
        <is>
          <t>2% of MAT ($592k × 0.02)</t>
        </is>
      </c>
      <c r="R559" s="3">
        <f>VLOOKUP($F559,Inputs!$D$6:$E$41,2,FALSE)</f>
        <v/>
      </c>
      <c r="S559" s="36">
        <f>VLOOKUP($E559,Inputs!$A$6:$B$13,2,FALSE)*Inputs!$B$2</f>
        <v/>
      </c>
      <c r="T559" s="35">
        <f>$L559*$S559</f>
        <v/>
      </c>
      <c r="U559" s="35">
        <f>$L559+$T559</f>
        <v/>
      </c>
    </row>
    <row r="560">
      <c r="A560" s="3" t="inlineStr">
        <is>
          <t>PKG-20::L035</t>
        </is>
      </c>
      <c r="B560" s="3" t="inlineStr">
        <is>
          <t>PKG-20</t>
        </is>
      </c>
      <c r="C560" s="3" t="n"/>
      <c r="D560" s="3" t="inlineStr">
        <is>
          <t>L035</t>
        </is>
      </c>
      <c r="E560" s="3" t="inlineStr">
        <is>
          <t>COM</t>
        </is>
      </c>
      <c r="F560" s="3" t="inlineStr">
        <is>
          <t>PKG-20</t>
        </is>
      </c>
      <c r="G560" s="3" t="n"/>
      <c r="H560" s="3" t="inlineStr">
        <is>
          <t>Commissioning - instrument commissioning loop validation system integration testing</t>
        </is>
      </c>
      <c r="I560" s="22" t="n">
        <v>1</v>
      </c>
      <c r="J560" s="3" t="inlineStr">
        <is>
          <t>LS</t>
        </is>
      </c>
      <c r="K560" s="39" t="n">
        <v>52000</v>
      </c>
      <c r="L560" s="35" t="n">
        <v>52000</v>
      </c>
      <c r="M560" s="3" t="inlineStr">
        <is>
          <t>CAD</t>
        </is>
      </c>
      <c r="N560" s="3" t="inlineStr">
        <is>
          <t>PARAMETRIC</t>
        </is>
      </c>
      <c r="O560" s="3" t="inlineStr">
        <is>
          <t>D-009</t>
        </is>
      </c>
      <c r="P560" s="3" t="inlineStr">
        <is>
          <t>LOW</t>
        </is>
      </c>
      <c r="Q560" s="3" t="inlineStr">
        <is>
          <t>4% of (CD+CI+MAT) base - elevated for I&amp;C</t>
        </is>
      </c>
      <c r="R560" s="3">
        <f>VLOOKUP($F560,Inputs!$D$6:$E$41,2,FALSE)</f>
        <v/>
      </c>
      <c r="S560" s="36">
        <f>VLOOKUP($E560,Inputs!$A$6:$B$13,2,FALSE)*Inputs!$B$2</f>
        <v/>
      </c>
      <c r="T560" s="35">
        <f>$L560*$S560</f>
        <v/>
      </c>
      <c r="U560" s="35">
        <f>$L560+$T560</f>
        <v/>
      </c>
    </row>
    <row r="561">
      <c r="A561" s="3" t="inlineStr">
        <is>
          <t>PKG-21::L-001</t>
        </is>
      </c>
      <c r="B561" s="3" t="inlineStr">
        <is>
          <t>PKG-21</t>
        </is>
      </c>
      <c r="C561" s="3" t="inlineStr">
        <is>
          <t>DEL-21.01</t>
        </is>
      </c>
      <c r="D561" s="3" t="inlineStr">
        <is>
          <t>L-001</t>
        </is>
      </c>
      <c r="E561" s="3" t="inlineStr">
        <is>
          <t>E</t>
        </is>
      </c>
      <c r="F561" s="3" t="inlineStr">
        <is>
          <t>PKG-21</t>
        </is>
      </c>
      <c r="G561" s="3" t="inlineStr">
        <is>
          <t>DEL-21.01</t>
        </is>
      </c>
      <c r="H561" s="3" t="inlineStr">
        <is>
          <t>Building design drawings - MCC building and operator shelters</t>
        </is>
      </c>
      <c r="I561" s="22" t="n">
        <v>1</v>
      </c>
      <c r="J561" s="3" t="inlineStr">
        <is>
          <t>LS</t>
        </is>
      </c>
      <c r="K561" s="39" t="n">
        <v>85000</v>
      </c>
      <c r="L561" s="35" t="n">
        <v>85000</v>
      </c>
      <c r="M561" s="3" t="inlineStr">
        <is>
          <t>CAD</t>
        </is>
      </c>
      <c r="N561" s="3" t="inlineStr">
        <is>
          <t>ALLOWANCE</t>
        </is>
      </c>
      <c r="O561" s="3" t="inlineStr">
        <is>
          <t>A-003</t>
        </is>
      </c>
      <c r="P561" s="3" t="inlineStr">
        <is>
          <t>LOW</t>
        </is>
      </c>
      <c r="Q561" s="3" t="inlineStr">
        <is>
          <t>Includes GAs; floor plans; elevations; sections; shelter drawings</t>
        </is>
      </c>
      <c r="R561" s="3">
        <f>VLOOKUP($F561,Inputs!$D$6:$E$41,2,FALSE)</f>
        <v/>
      </c>
      <c r="S561" s="36">
        <f>VLOOKUP($E561,Inputs!$A$6:$B$13,2,FALSE)*Inputs!$B$2</f>
        <v/>
      </c>
      <c r="T561" s="35">
        <f>$L561*$S561</f>
        <v/>
      </c>
      <c r="U561" s="35">
        <f>$L561+$T561</f>
        <v/>
      </c>
    </row>
    <row r="562">
      <c r="A562" s="3" t="inlineStr">
        <is>
          <t>PKG-21::L-002</t>
        </is>
      </c>
      <c r="B562" s="3" t="inlineStr">
        <is>
          <t>PKG-21</t>
        </is>
      </c>
      <c r="C562" s="3" t="inlineStr">
        <is>
          <t>DEL-21.02</t>
        </is>
      </c>
      <c r="D562" s="3" t="inlineStr">
        <is>
          <t>L-002</t>
        </is>
      </c>
      <c r="E562" s="3" t="inlineStr">
        <is>
          <t>E</t>
        </is>
      </c>
      <c r="F562" s="3" t="inlineStr">
        <is>
          <t>PKG-21</t>
        </is>
      </c>
      <c r="G562" s="3" t="inlineStr">
        <is>
          <t>DEL-21.02</t>
        </is>
      </c>
      <c r="H562" s="3" t="inlineStr">
        <is>
          <t>Building technical specifications</t>
        </is>
      </c>
      <c r="I562" s="22" t="n">
        <v>1</v>
      </c>
      <c r="J562" s="3" t="inlineStr">
        <is>
          <t>LS</t>
        </is>
      </c>
      <c r="K562" s="39" t="n">
        <v>25000</v>
      </c>
      <c r="L562" s="35" t="n">
        <v>25000</v>
      </c>
      <c r="M562" s="3" t="inlineStr">
        <is>
          <t>CAD</t>
        </is>
      </c>
      <c r="N562" s="3" t="inlineStr">
        <is>
          <t>ALLOWANCE</t>
        </is>
      </c>
      <c r="O562" s="3" t="inlineStr">
        <is>
          <t>A-004</t>
        </is>
      </c>
      <c r="P562" s="3" t="inlineStr">
        <is>
          <t>LOW</t>
        </is>
      </c>
      <c r="Q562" s="3" t="inlineStr">
        <is>
          <t>Modular building spec; envelope spec; door/window spec</t>
        </is>
      </c>
      <c r="R562" s="3">
        <f>VLOOKUP($F562,Inputs!$D$6:$E$41,2,FALSE)</f>
        <v/>
      </c>
      <c r="S562" s="36">
        <f>VLOOKUP($E562,Inputs!$A$6:$B$13,2,FALSE)*Inputs!$B$2</f>
        <v/>
      </c>
      <c r="T562" s="35">
        <f>$L562*$S562</f>
        <v/>
      </c>
      <c r="U562" s="35">
        <f>$L562+$T562</f>
        <v/>
      </c>
    </row>
    <row r="563">
      <c r="A563" s="3" t="inlineStr">
        <is>
          <t>PKG-21::L-003</t>
        </is>
      </c>
      <c r="B563" s="3" t="inlineStr">
        <is>
          <t>PKG-21</t>
        </is>
      </c>
      <c r="C563" s="3" t="inlineStr">
        <is>
          <t>DEL-21.03</t>
        </is>
      </c>
      <c r="D563" s="3" t="inlineStr">
        <is>
          <t>L-003</t>
        </is>
      </c>
      <c r="E563" s="3" t="inlineStr">
        <is>
          <t>E</t>
        </is>
      </c>
      <c r="F563" s="3" t="inlineStr">
        <is>
          <t>PKG-21</t>
        </is>
      </c>
      <c r="G563" s="3" t="inlineStr">
        <is>
          <t>DEL-21.03</t>
        </is>
      </c>
      <c r="H563" s="3" t="inlineStr">
        <is>
          <t>Building design calculations - structural and foundation</t>
        </is>
      </c>
      <c r="I563" s="22" t="n">
        <v>1</v>
      </c>
      <c r="J563" s="3" t="inlineStr">
        <is>
          <t>LS</t>
        </is>
      </c>
      <c r="K563" s="39" t="n">
        <v>45000</v>
      </c>
      <c r="L563" s="35" t="n">
        <v>45000</v>
      </c>
      <c r="M563" s="3" t="inlineStr">
        <is>
          <t>CAD</t>
        </is>
      </c>
      <c r="N563" s="3" t="inlineStr">
        <is>
          <t>ALLOWANCE</t>
        </is>
      </c>
      <c r="O563" s="3" t="inlineStr">
        <is>
          <t>A-005</t>
        </is>
      </c>
      <c r="P563" s="3" t="inlineStr">
        <is>
          <t>LOW</t>
        </is>
      </c>
      <c r="Q563" s="3" t="inlineStr">
        <is>
          <t>NBC 2020 structural; seismic; wind; foundation calcs</t>
        </is>
      </c>
      <c r="R563" s="3">
        <f>VLOOKUP($F563,Inputs!$D$6:$E$41,2,FALSE)</f>
        <v/>
      </c>
      <c r="S563" s="36">
        <f>VLOOKUP($E563,Inputs!$A$6:$B$13,2,FALSE)*Inputs!$B$2</f>
        <v/>
      </c>
      <c r="T563" s="35">
        <f>$L563*$S563</f>
        <v/>
      </c>
      <c r="U563" s="35">
        <f>$L563+$T563</f>
        <v/>
      </c>
    </row>
    <row r="564">
      <c r="A564" s="3" t="inlineStr">
        <is>
          <t>PKG-21::L-004</t>
        </is>
      </c>
      <c r="B564" s="3" t="inlineStr">
        <is>
          <t>PKG-21</t>
        </is>
      </c>
      <c r="C564" s="3" t="inlineStr">
        <is>
          <t>DEL-21.04</t>
        </is>
      </c>
      <c r="D564" s="3" t="inlineStr">
        <is>
          <t>L-004</t>
        </is>
      </c>
      <c r="E564" s="3" t="inlineStr">
        <is>
          <t>E</t>
        </is>
      </c>
      <c r="F564" s="3" t="inlineStr">
        <is>
          <t>PKG-21</t>
        </is>
      </c>
      <c r="G564" s="3" t="inlineStr">
        <is>
          <t>DEL-21.04</t>
        </is>
      </c>
      <c r="H564" s="3" t="inlineStr">
        <is>
          <t>Building data sheets and schedules</t>
        </is>
      </c>
      <c r="I564" s="22" t="n">
        <v>1</v>
      </c>
      <c r="J564" s="3" t="inlineStr">
        <is>
          <t>LS</t>
        </is>
      </c>
      <c r="K564" s="39" t="n">
        <v>8000</v>
      </c>
      <c r="L564" s="35" t="n">
        <v>8000</v>
      </c>
      <c r="M564" s="3" t="inlineStr">
        <is>
          <t>CAD</t>
        </is>
      </c>
      <c r="N564" s="3" t="inlineStr">
        <is>
          <t>ALLOWANCE</t>
        </is>
      </c>
      <c r="O564" s="3" t="inlineStr">
        <is>
          <t>A-006</t>
        </is>
      </c>
      <c r="P564" s="3" t="inlineStr">
        <is>
          <t>LOW</t>
        </is>
      </c>
      <c r="Q564" s="3" t="inlineStr">
        <is>
          <t>Building system data sheet; door/window schedules</t>
        </is>
      </c>
      <c r="R564" s="3">
        <f>VLOOKUP($F564,Inputs!$D$6:$E$41,2,FALSE)</f>
        <v/>
      </c>
      <c r="S564" s="36">
        <f>VLOOKUP($E564,Inputs!$A$6:$B$13,2,FALSE)*Inputs!$B$2</f>
        <v/>
      </c>
      <c r="T564" s="35">
        <f>$L564*$S564</f>
        <v/>
      </c>
      <c r="U564" s="35">
        <f>$L564+$T564</f>
        <v/>
      </c>
    </row>
    <row r="565">
      <c r="A565" s="3" t="inlineStr">
        <is>
          <t>PKG-21::L-005</t>
        </is>
      </c>
      <c r="B565" s="3" t="inlineStr">
        <is>
          <t>PKG-21</t>
        </is>
      </c>
      <c r="C565" s="3" t="inlineStr">
        <is>
          <t>DEL-21.06</t>
        </is>
      </c>
      <c r="D565" s="3" t="inlineStr">
        <is>
          <t>L-005</t>
        </is>
      </c>
      <c r="E565" s="3" t="inlineStr">
        <is>
          <t>E</t>
        </is>
      </c>
      <c r="F565" s="3" t="inlineStr">
        <is>
          <t>PKG-21</t>
        </is>
      </c>
      <c r="G565" s="3" t="inlineStr">
        <is>
          <t>DEL-21.06</t>
        </is>
      </c>
      <c r="H565" s="3" t="inlineStr">
        <is>
          <t>Building shop drawing coordination and review</t>
        </is>
      </c>
      <c r="I565" s="22" t="n">
        <v>1</v>
      </c>
      <c r="J565" s="3" t="inlineStr">
        <is>
          <t>LS</t>
        </is>
      </c>
      <c r="K565" s="39" t="n">
        <v>15000</v>
      </c>
      <c r="L565" s="35" t="n">
        <v>15000</v>
      </c>
      <c r="M565" s="3" t="inlineStr">
        <is>
          <t>CAD</t>
        </is>
      </c>
      <c r="N565" s="3" t="inlineStr">
        <is>
          <t>ALLOWANCE</t>
        </is>
      </c>
      <c r="O565" s="3" t="inlineStr">
        <is>
          <t>A-007</t>
        </is>
      </c>
      <c r="P565" s="3" t="inlineStr">
        <is>
          <t>LOW</t>
        </is>
      </c>
      <c r="Q565" s="3" t="inlineStr">
        <is>
          <t>Review of fabricator/supplier shop drawings</t>
        </is>
      </c>
      <c r="R565" s="3">
        <f>VLOOKUP($F565,Inputs!$D$6:$E$41,2,FALSE)</f>
        <v/>
      </c>
      <c r="S565" s="36">
        <f>VLOOKUP($E565,Inputs!$A$6:$B$13,2,FALSE)*Inputs!$B$2</f>
        <v/>
      </c>
      <c r="T565" s="35">
        <f>$L565*$S565</f>
        <v/>
      </c>
      <c r="U565" s="35">
        <f>$L565+$T565</f>
        <v/>
      </c>
    </row>
    <row r="566">
      <c r="A566" s="3" t="inlineStr">
        <is>
          <t>PKG-21::L-006</t>
        </is>
      </c>
      <c r="B566" s="3" t="inlineStr">
        <is>
          <t>PKG-21</t>
        </is>
      </c>
      <c r="C566" s="3" t="n"/>
      <c r="D566" s="3" t="inlineStr">
        <is>
          <t>L-006</t>
        </is>
      </c>
      <c r="E566" s="3" t="inlineStr">
        <is>
          <t>PM</t>
        </is>
      </c>
      <c r="F566" s="3" t="inlineStr">
        <is>
          <t>PKG-21</t>
        </is>
      </c>
      <c r="G566" s="3" t="n"/>
      <c r="H566" s="3" t="inlineStr">
        <is>
          <t>Project management - building package</t>
        </is>
      </c>
      <c r="I566" s="22" t="n">
        <v>1</v>
      </c>
      <c r="J566" s="3" t="inlineStr">
        <is>
          <t>LS</t>
        </is>
      </c>
      <c r="K566" s="39" t="n">
        <v>67000</v>
      </c>
      <c r="L566" s="35" t="n">
        <v>67000</v>
      </c>
      <c r="M566" s="3" t="inlineStr">
        <is>
          <t>CAD</t>
        </is>
      </c>
      <c r="N566" s="3" t="inlineStr">
        <is>
          <t>PARAMETRIC</t>
        </is>
      </c>
      <c r="O566" s="3" t="inlineStr">
        <is>
          <t>D-007</t>
        </is>
      </c>
      <c r="P566" s="3" t="inlineStr">
        <is>
          <t>LOW</t>
        </is>
      </c>
      <c r="Q566" s="3" t="inlineStr">
        <is>
          <t>6% of (CD+CI+MAT) per fallback model</t>
        </is>
      </c>
      <c r="R566" s="3">
        <f>VLOOKUP($F566,Inputs!$D$6:$E$41,2,FALSE)</f>
        <v/>
      </c>
      <c r="S566" s="36">
        <f>VLOOKUP($E566,Inputs!$A$6:$B$13,2,FALSE)*Inputs!$B$2</f>
        <v/>
      </c>
      <c r="T566" s="35">
        <f>$L566*$S566</f>
        <v/>
      </c>
      <c r="U566" s="35">
        <f>$L566+$T566</f>
        <v/>
      </c>
    </row>
    <row r="567">
      <c r="A567" s="3" t="inlineStr">
        <is>
          <t>PKG-21::L-007</t>
        </is>
      </c>
      <c r="B567" s="3" t="inlineStr">
        <is>
          <t>PKG-21</t>
        </is>
      </c>
      <c r="C567" s="3" t="n"/>
      <c r="D567" s="3" t="inlineStr">
        <is>
          <t>L-007</t>
        </is>
      </c>
      <c r="E567" s="3" t="inlineStr">
        <is>
          <t>P</t>
        </is>
      </c>
      <c r="F567" s="3" t="inlineStr">
        <is>
          <t>PKG-21</t>
        </is>
      </c>
      <c r="G567" s="3" t="n"/>
      <c r="H567" s="3" t="inlineStr">
        <is>
          <t>Procurement services - building materials</t>
        </is>
      </c>
      <c r="I567" s="22" t="n">
        <v>1</v>
      </c>
      <c r="J567" s="3" t="inlineStr">
        <is>
          <t>LS</t>
        </is>
      </c>
      <c r="K567" s="39" t="n">
        <v>14000</v>
      </c>
      <c r="L567" s="35" t="n">
        <v>14000</v>
      </c>
      <c r="M567" s="3" t="inlineStr">
        <is>
          <t>CAD</t>
        </is>
      </c>
      <c r="N567" s="3" t="inlineStr">
        <is>
          <t>PARAMETRIC</t>
        </is>
      </c>
      <c r="O567" s="3" t="inlineStr">
        <is>
          <t>D-008</t>
        </is>
      </c>
      <c r="P567" s="3" t="inlineStr">
        <is>
          <t>LOW</t>
        </is>
      </c>
      <c r="Q567" s="3" t="inlineStr">
        <is>
          <t>2% of MAT per fallback model</t>
        </is>
      </c>
      <c r="R567" s="3">
        <f>VLOOKUP($F567,Inputs!$D$6:$E$41,2,FALSE)</f>
        <v/>
      </c>
      <c r="S567" s="36">
        <f>VLOOKUP($E567,Inputs!$A$6:$B$13,2,FALSE)*Inputs!$B$2</f>
        <v/>
      </c>
      <c r="T567" s="35">
        <f>$L567*$S567</f>
        <v/>
      </c>
      <c r="U567" s="35">
        <f>$L567+$T567</f>
        <v/>
      </c>
    </row>
    <row r="568">
      <c r="A568" s="3" t="inlineStr">
        <is>
          <t>PKG-21::L-008</t>
        </is>
      </c>
      <c r="B568" s="3" t="inlineStr">
        <is>
          <t>PKG-21</t>
        </is>
      </c>
      <c r="C568" s="3" t="n"/>
      <c r="D568" s="3" t="inlineStr">
        <is>
          <t>L-008</t>
        </is>
      </c>
      <c r="E568" s="3" t="inlineStr">
        <is>
          <t>MAT</t>
        </is>
      </c>
      <c r="F568" s="3" t="inlineStr">
        <is>
          <t>PKG-21</t>
        </is>
      </c>
      <c r="G568" s="3" t="n"/>
      <c r="H568" s="3" t="inlineStr">
        <is>
          <t>MCC building - pre-engineered metal building supply</t>
        </is>
      </c>
      <c r="I568" s="22" t="n">
        <v>600</v>
      </c>
      <c r="J568" s="3" t="inlineStr">
        <is>
          <t>m2</t>
        </is>
      </c>
      <c r="K568" s="39" t="n">
        <v>650</v>
      </c>
      <c r="L568" s="35" t="n">
        <v>390000</v>
      </c>
      <c r="M568" s="3" t="inlineStr">
        <is>
          <t>CAD</t>
        </is>
      </c>
      <c r="N568" s="3" t="inlineStr">
        <is>
          <t>ALLOWANCE</t>
        </is>
      </c>
      <c r="O568" s="3" t="inlineStr">
        <is>
          <t>A-001</t>
        </is>
      </c>
      <c r="P568" s="3" t="inlineStr">
        <is>
          <t>LOW</t>
        </is>
      </c>
      <c r="Q568" s="3" t="inlineStr">
        <is>
          <t>PEMB structure; wall panels; roof panels; framing; fasteners</t>
        </is>
      </c>
      <c r="R568" s="3">
        <f>VLOOKUP($F568,Inputs!$D$6:$E$41,2,FALSE)</f>
        <v/>
      </c>
      <c r="S568" s="36">
        <f>VLOOKUP($E568,Inputs!$A$6:$B$13,2,FALSE)*Inputs!$B$2</f>
        <v/>
      </c>
      <c r="T568" s="35">
        <f>$L568*$S568</f>
        <v/>
      </c>
      <c r="U568" s="35">
        <f>$L568+$T568</f>
        <v/>
      </c>
    </row>
    <row r="569">
      <c r="A569" s="3" t="inlineStr">
        <is>
          <t>PKG-21::L-009</t>
        </is>
      </c>
      <c r="B569" s="3" t="inlineStr">
        <is>
          <t>PKG-21</t>
        </is>
      </c>
      <c r="C569" s="3" t="n"/>
      <c r="D569" s="3" t="inlineStr">
        <is>
          <t>L-009</t>
        </is>
      </c>
      <c r="E569" s="3" t="inlineStr">
        <is>
          <t>MAT</t>
        </is>
      </c>
      <c r="F569" s="3" t="inlineStr">
        <is>
          <t>PKG-21</t>
        </is>
      </c>
      <c r="G569" s="3" t="n"/>
      <c r="H569" s="3" t="inlineStr">
        <is>
          <t>MCC building - insulated metal panel cladding upgrade</t>
        </is>
      </c>
      <c r="I569" s="22" t="n">
        <v>600</v>
      </c>
      <c r="J569" s="3" t="inlineStr">
        <is>
          <t>m2</t>
        </is>
      </c>
      <c r="K569" s="39" t="n">
        <v>120</v>
      </c>
      <c r="L569" s="35" t="n">
        <v>72000</v>
      </c>
      <c r="M569" s="3" t="inlineStr">
        <is>
          <t>CAD</t>
        </is>
      </c>
      <c r="N569" s="3" t="inlineStr">
        <is>
          <t>ALLOWANCE</t>
        </is>
      </c>
      <c r="O569" s="3" t="inlineStr">
        <is>
          <t>A-008</t>
        </is>
      </c>
      <c r="P569" s="3" t="inlineStr">
        <is>
          <t>LOW</t>
        </is>
      </c>
      <c r="Q569" s="3" t="inlineStr">
        <is>
          <t>R-20 wall insulation; vapor barrier; flashing; trim</t>
        </is>
      </c>
      <c r="R569" s="3">
        <f>VLOOKUP($F569,Inputs!$D$6:$E$41,2,FALSE)</f>
        <v/>
      </c>
      <c r="S569" s="36">
        <f>VLOOKUP($E569,Inputs!$A$6:$B$13,2,FALSE)*Inputs!$B$2</f>
        <v/>
      </c>
      <c r="T569" s="35">
        <f>$L569*$S569</f>
        <v/>
      </c>
      <c r="U569" s="35">
        <f>$L569+$T569</f>
        <v/>
      </c>
    </row>
    <row r="570">
      <c r="A570" s="3" t="inlineStr">
        <is>
          <t>PKG-21::L-010</t>
        </is>
      </c>
      <c r="B570" s="3" t="inlineStr">
        <is>
          <t>PKG-21</t>
        </is>
      </c>
      <c r="C570" s="3" t="n"/>
      <c r="D570" s="3" t="inlineStr">
        <is>
          <t>L-010</t>
        </is>
      </c>
      <c r="E570" s="3" t="inlineStr">
        <is>
          <t>MAT</t>
        </is>
      </c>
      <c r="F570" s="3" t="inlineStr">
        <is>
          <t>PKG-21</t>
        </is>
      </c>
      <c r="G570" s="3" t="n"/>
      <c r="H570" s="3" t="inlineStr">
        <is>
          <t>MCC building - standing seam roof system</t>
        </is>
      </c>
      <c r="I570" s="22" t="n">
        <v>600</v>
      </c>
      <c r="J570" s="3" t="inlineStr">
        <is>
          <t>m2</t>
        </is>
      </c>
      <c r="K570" s="39" t="n">
        <v>85</v>
      </c>
      <c r="L570" s="35" t="n">
        <v>51000</v>
      </c>
      <c r="M570" s="3" t="inlineStr">
        <is>
          <t>CAD</t>
        </is>
      </c>
      <c r="N570" s="3" t="inlineStr">
        <is>
          <t>ALLOWANCE</t>
        </is>
      </c>
      <c r="O570" s="3" t="inlineStr">
        <is>
          <t>A-009</t>
        </is>
      </c>
      <c r="P570" s="3" t="inlineStr">
        <is>
          <t>LOW</t>
        </is>
      </c>
      <c r="Q570" s="3" t="inlineStr">
        <is>
          <t>Standing seam metal roof; R-30 insulation; underlayment</t>
        </is>
      </c>
      <c r="R570" s="3">
        <f>VLOOKUP($F570,Inputs!$D$6:$E$41,2,FALSE)</f>
        <v/>
      </c>
      <c r="S570" s="36">
        <f>VLOOKUP($E570,Inputs!$A$6:$B$13,2,FALSE)*Inputs!$B$2</f>
        <v/>
      </c>
      <c r="T570" s="35">
        <f>$L570*$S570</f>
        <v/>
      </c>
      <c r="U570" s="35">
        <f>$L570+$T570</f>
        <v/>
      </c>
    </row>
    <row r="571">
      <c r="A571" s="3" t="inlineStr">
        <is>
          <t>PKG-21::L-011</t>
        </is>
      </c>
      <c r="B571" s="3" t="inlineStr">
        <is>
          <t>PKG-21</t>
        </is>
      </c>
      <c r="C571" s="3" t="n"/>
      <c r="D571" s="3" t="inlineStr">
        <is>
          <t>L-011</t>
        </is>
      </c>
      <c r="E571" s="3" t="inlineStr">
        <is>
          <t>MAT</t>
        </is>
      </c>
      <c r="F571" s="3" t="inlineStr">
        <is>
          <t>PKG-21</t>
        </is>
      </c>
      <c r="G571" s="3" t="n"/>
      <c r="H571" s="3" t="inlineStr">
        <is>
          <t>MCC building - doors and hardware</t>
        </is>
      </c>
      <c r="I571" s="22" t="n">
        <v>7</v>
      </c>
      <c r="J571" s="3" t="inlineStr">
        <is>
          <t>EA</t>
        </is>
      </c>
      <c r="K571" s="39" t="n">
        <v>4500</v>
      </c>
      <c r="L571" s="35" t="n">
        <v>32000</v>
      </c>
      <c r="M571" s="3" t="inlineStr">
        <is>
          <t>CAD</t>
        </is>
      </c>
      <c r="N571" s="3" t="inlineStr">
        <is>
          <t>ALLOWANCE</t>
        </is>
      </c>
      <c r="O571" s="3" t="inlineStr">
        <is>
          <t>A-010</t>
        </is>
      </c>
      <c r="P571" s="3" t="inlineStr">
        <is>
          <t>LOW</t>
        </is>
      </c>
      <c r="Q571" s="3" t="inlineStr">
        <is>
          <t>6 personnel doors; 1 overhead door; hardware; frames</t>
        </is>
      </c>
      <c r="R571" s="3">
        <f>VLOOKUP($F571,Inputs!$D$6:$E$41,2,FALSE)</f>
        <v/>
      </c>
      <c r="S571" s="36">
        <f>VLOOKUP($E571,Inputs!$A$6:$B$13,2,FALSE)*Inputs!$B$2</f>
        <v/>
      </c>
      <c r="T571" s="35">
        <f>$L571*$S571</f>
        <v/>
      </c>
      <c r="U571" s="35">
        <f>$L571+$T571</f>
        <v/>
      </c>
    </row>
    <row r="572">
      <c r="A572" s="3" t="inlineStr">
        <is>
          <t>PKG-21::L-012</t>
        </is>
      </c>
      <c r="B572" s="3" t="inlineStr">
        <is>
          <t>PKG-21</t>
        </is>
      </c>
      <c r="C572" s="3" t="n"/>
      <c r="D572" s="3" t="inlineStr">
        <is>
          <t>L-012</t>
        </is>
      </c>
      <c r="E572" s="3" t="inlineStr">
        <is>
          <t>MAT</t>
        </is>
      </c>
      <c r="F572" s="3" t="inlineStr">
        <is>
          <t>PKG-21</t>
        </is>
      </c>
      <c r="G572" s="3" t="n"/>
      <c r="H572" s="3" t="inlineStr">
        <is>
          <t>MCC building - windows and glazing</t>
        </is>
      </c>
      <c r="I572" s="22" t="n">
        <v>1</v>
      </c>
      <c r="J572" s="3" t="inlineStr">
        <is>
          <t>LS</t>
        </is>
      </c>
      <c r="K572" s="39" t="n">
        <v>15000</v>
      </c>
      <c r="L572" s="35" t="n">
        <v>15000</v>
      </c>
      <c r="M572" s="3" t="inlineStr">
        <is>
          <t>CAD</t>
        </is>
      </c>
      <c r="N572" s="3" t="inlineStr">
        <is>
          <t>ALLOWANCE</t>
        </is>
      </c>
      <c r="O572" s="3" t="inlineStr">
        <is>
          <t>A-011</t>
        </is>
      </c>
      <c r="P572" s="3" t="inlineStr">
        <is>
          <t>LOW</t>
        </is>
      </c>
      <c r="Q572" s="3" t="inlineStr">
        <is>
          <t>Limited industrial glazing; frames; hardware</t>
        </is>
      </c>
      <c r="R572" s="3">
        <f>VLOOKUP($F572,Inputs!$D$6:$E$41,2,FALSE)</f>
        <v/>
      </c>
      <c r="S572" s="36">
        <f>VLOOKUP($E572,Inputs!$A$6:$B$13,2,FALSE)*Inputs!$B$2</f>
        <v/>
      </c>
      <c r="T572" s="35">
        <f>$L572*$S572</f>
        <v/>
      </c>
      <c r="U572" s="35">
        <f>$L572+$T572</f>
        <v/>
      </c>
    </row>
    <row r="573">
      <c r="A573" s="3" t="inlineStr">
        <is>
          <t>PKG-21::L-013</t>
        </is>
      </c>
      <c r="B573" s="3" t="inlineStr">
        <is>
          <t>PKG-21</t>
        </is>
      </c>
      <c r="C573" s="3" t="n"/>
      <c r="D573" s="3" t="inlineStr">
        <is>
          <t>L-013</t>
        </is>
      </c>
      <c r="E573" s="3" t="inlineStr">
        <is>
          <t>MAT</t>
        </is>
      </c>
      <c r="F573" s="3" t="inlineStr">
        <is>
          <t>PKG-21</t>
        </is>
      </c>
      <c r="G573" s="3" t="n"/>
      <c r="H573" s="3" t="inlineStr">
        <is>
          <t>MCC building - foundation materials</t>
        </is>
      </c>
      <c r="I573" s="22" t="n">
        <v>1</v>
      </c>
      <c r="J573" s="3" t="inlineStr">
        <is>
          <t>LS</t>
        </is>
      </c>
      <c r="K573" s="39" t="n">
        <v>85000</v>
      </c>
      <c r="L573" s="35" t="n">
        <v>85000</v>
      </c>
      <c r="M573" s="3" t="inlineStr">
        <is>
          <t>CAD</t>
        </is>
      </c>
      <c r="N573" s="3" t="inlineStr">
        <is>
          <t>ALLOWANCE</t>
        </is>
      </c>
      <c r="O573" s="3" t="inlineStr">
        <is>
          <t>A-012</t>
        </is>
      </c>
      <c r="P573" s="3" t="inlineStr">
        <is>
          <t>LOW</t>
        </is>
      </c>
      <c r="Q573" s="3" t="inlineStr">
        <is>
          <t>Concrete slab; pile caps; reinforcing; anchor bolts</t>
        </is>
      </c>
      <c r="R573" s="3">
        <f>VLOOKUP($F573,Inputs!$D$6:$E$41,2,FALSE)</f>
        <v/>
      </c>
      <c r="S573" s="36">
        <f>VLOOKUP($E573,Inputs!$A$6:$B$13,2,FALSE)*Inputs!$B$2</f>
        <v/>
      </c>
      <c r="T573" s="35">
        <f>$L573*$S573</f>
        <v/>
      </c>
      <c r="U573" s="35">
        <f>$L573+$T573</f>
        <v/>
      </c>
    </row>
    <row r="574">
      <c r="A574" s="3" t="inlineStr">
        <is>
          <t>PKG-21::L-014</t>
        </is>
      </c>
      <c r="B574" s="3" t="inlineStr">
        <is>
          <t>PKG-21</t>
        </is>
      </c>
      <c r="C574" s="3" t="n"/>
      <c r="D574" s="3" t="inlineStr">
        <is>
          <t>L-014</t>
        </is>
      </c>
      <c r="E574" s="3" t="inlineStr">
        <is>
          <t>MAT</t>
        </is>
      </c>
      <c r="F574" s="3" t="inlineStr">
        <is>
          <t>PKG-21</t>
        </is>
      </c>
      <c r="G574" s="3" t="n"/>
      <c r="H574" s="3" t="inlineStr">
        <is>
          <t>Operator shelters - prefabricated units</t>
        </is>
      </c>
      <c r="I574" s="22" t="n">
        <v>4</v>
      </c>
      <c r="J574" s="3" t="inlineStr">
        <is>
          <t>EA</t>
        </is>
      </c>
      <c r="K574" s="39" t="n">
        <v>45000</v>
      </c>
      <c r="L574" s="35" t="n">
        <v>180000</v>
      </c>
      <c r="M574" s="3" t="inlineStr">
        <is>
          <t>CAD</t>
        </is>
      </c>
      <c r="N574" s="3" t="inlineStr">
        <is>
          <t>ALLOWANCE</t>
        </is>
      </c>
      <c r="O574" s="3" t="inlineStr">
        <is>
          <t>A-002</t>
        </is>
      </c>
      <c r="P574" s="3" t="inlineStr">
        <is>
          <t>LOW</t>
        </is>
      </c>
      <c r="Q574" s="3" t="inlineStr">
        <is>
          <t>Insulated prefab shelters; 15 m2 each; includes heating provisions</t>
        </is>
      </c>
      <c r="R574" s="3">
        <f>VLOOKUP($F574,Inputs!$D$6:$E$41,2,FALSE)</f>
        <v/>
      </c>
      <c r="S574" s="36">
        <f>VLOOKUP($E574,Inputs!$A$6:$B$13,2,FALSE)*Inputs!$B$2</f>
        <v/>
      </c>
      <c r="T574" s="35">
        <f>$L574*$S574</f>
        <v/>
      </c>
      <c r="U574" s="35">
        <f>$L574+$T574</f>
        <v/>
      </c>
    </row>
    <row r="575">
      <c r="A575" s="3" t="inlineStr">
        <is>
          <t>PKG-21::L-015</t>
        </is>
      </c>
      <c r="B575" s="3" t="inlineStr">
        <is>
          <t>PKG-21</t>
        </is>
      </c>
      <c r="C575" s="3" t="n"/>
      <c r="D575" s="3" t="inlineStr">
        <is>
          <t>L-015</t>
        </is>
      </c>
      <c r="E575" s="3" t="inlineStr">
        <is>
          <t>MAT</t>
        </is>
      </c>
      <c r="F575" s="3" t="inlineStr">
        <is>
          <t>PKG-21</t>
        </is>
      </c>
      <c r="G575" s="3" t="n"/>
      <c r="H575" s="3" t="inlineStr">
        <is>
          <t>Operator shelter - foundation materials</t>
        </is>
      </c>
      <c r="I575" s="22" t="n">
        <v>4</v>
      </c>
      <c r="J575" s="3" t="inlineStr">
        <is>
          <t>EA</t>
        </is>
      </c>
      <c r="K575" s="39" t="n">
        <v>8000</v>
      </c>
      <c r="L575" s="35" t="n">
        <v>32000</v>
      </c>
      <c r="M575" s="3" t="inlineStr">
        <is>
          <t>CAD</t>
        </is>
      </c>
      <c r="N575" s="3" t="inlineStr">
        <is>
          <t>ALLOWANCE</t>
        </is>
      </c>
      <c r="O575" s="3" t="inlineStr">
        <is>
          <t>A-013</t>
        </is>
      </c>
      <c r="P575" s="3" t="inlineStr">
        <is>
          <t>LOW</t>
        </is>
      </c>
      <c r="Q575" s="3" t="inlineStr">
        <is>
          <t>Concrete pads/piles; anchor bolts</t>
        </is>
      </c>
      <c r="R575" s="3">
        <f>VLOOKUP($F575,Inputs!$D$6:$E$41,2,FALSE)</f>
        <v/>
      </c>
      <c r="S575" s="36">
        <f>VLOOKUP($E575,Inputs!$A$6:$B$13,2,FALSE)*Inputs!$B$2</f>
        <v/>
      </c>
      <c r="T575" s="35">
        <f>$L575*$S575</f>
        <v/>
      </c>
      <c r="U575" s="35">
        <f>$L575+$T575</f>
        <v/>
      </c>
    </row>
    <row r="576">
      <c r="A576" s="3" t="inlineStr">
        <is>
          <t>PKG-21::L-016</t>
        </is>
      </c>
      <c r="B576" s="3" t="inlineStr">
        <is>
          <t>PKG-21</t>
        </is>
      </c>
      <c r="C576" s="3" t="n"/>
      <c r="D576" s="3" t="inlineStr">
        <is>
          <t>L-016</t>
        </is>
      </c>
      <c r="E576" s="3" t="inlineStr">
        <is>
          <t>MAT</t>
        </is>
      </c>
      <c r="F576" s="3" t="inlineStr">
        <is>
          <t>PKG-21</t>
        </is>
      </c>
      <c r="G576" s="3" t="n"/>
      <c r="H576" s="3" t="inlineStr">
        <is>
          <t>Protective coatings and corrosion protection</t>
        </is>
      </c>
      <c r="I576" s="22" t="n">
        <v>1</v>
      </c>
      <c r="J576" s="3" t="inlineStr">
        <is>
          <t>LS</t>
        </is>
      </c>
      <c r="K576" s="39" t="n">
        <v>35000</v>
      </c>
      <c r="L576" s="35" t="n">
        <v>35000</v>
      </c>
      <c r="M576" s="3" t="inlineStr">
        <is>
          <t>CAD</t>
        </is>
      </c>
      <c r="N576" s="3" t="inlineStr">
        <is>
          <t>ALLOWANCE</t>
        </is>
      </c>
      <c r="O576" s="3" t="inlineStr">
        <is>
          <t>A-014</t>
        </is>
      </c>
      <c r="P576" s="3" t="inlineStr">
        <is>
          <t>LOW</t>
        </is>
      </c>
      <c r="Q576" s="3" t="inlineStr">
        <is>
          <t>Marine environment protection; galvanizing allowance</t>
        </is>
      </c>
      <c r="R576" s="3">
        <f>VLOOKUP($F576,Inputs!$D$6:$E$41,2,FALSE)</f>
        <v/>
      </c>
      <c r="S576" s="36">
        <f>VLOOKUP($E576,Inputs!$A$6:$B$13,2,FALSE)*Inputs!$B$2</f>
        <v/>
      </c>
      <c r="T576" s="35">
        <f>$L576*$S576</f>
        <v/>
      </c>
      <c r="U576" s="35">
        <f>$L576+$T576</f>
        <v/>
      </c>
    </row>
    <row r="577">
      <c r="A577" s="3" t="inlineStr">
        <is>
          <t>PKG-21::L-017</t>
        </is>
      </c>
      <c r="B577" s="3" t="inlineStr">
        <is>
          <t>PKG-21</t>
        </is>
      </c>
      <c r="C577" s="3" t="n"/>
      <c r="D577" s="3" t="inlineStr">
        <is>
          <t>L-017</t>
        </is>
      </c>
      <c r="E577" s="3" t="inlineStr">
        <is>
          <t>CD</t>
        </is>
      </c>
      <c r="F577" s="3" t="inlineStr">
        <is>
          <t>PKG-21</t>
        </is>
      </c>
      <c r="G577" s="3" t="n"/>
      <c r="H577" s="3" t="inlineStr">
        <is>
          <t>MCC building - foundation installation</t>
        </is>
      </c>
      <c r="I577" s="22" t="n">
        <v>1</v>
      </c>
      <c r="J577" s="3" t="inlineStr">
        <is>
          <t>LS</t>
        </is>
      </c>
      <c r="K577" s="39" t="n">
        <v>65000</v>
      </c>
      <c r="L577" s="35" t="n">
        <v>65000</v>
      </c>
      <c r="M577" s="3" t="inlineStr">
        <is>
          <t>CAD</t>
        </is>
      </c>
      <c r="N577" s="3" t="inlineStr">
        <is>
          <t>ALLOWANCE</t>
        </is>
      </c>
      <c r="O577" s="3" t="inlineStr">
        <is>
          <t>A-015</t>
        </is>
      </c>
      <c r="P577" s="3" t="inlineStr">
        <is>
          <t>LOW</t>
        </is>
      </c>
      <c r="Q577" s="3" t="inlineStr">
        <is>
          <t>Pile driving or spread footing installation; slab pour</t>
        </is>
      </c>
      <c r="R577" s="3">
        <f>VLOOKUP($F577,Inputs!$D$6:$E$41,2,FALSE)</f>
        <v/>
      </c>
      <c r="S577" s="36">
        <f>VLOOKUP($E577,Inputs!$A$6:$B$13,2,FALSE)*Inputs!$B$2</f>
        <v/>
      </c>
      <c r="T577" s="35">
        <f>$L577*$S577</f>
        <v/>
      </c>
      <c r="U577" s="35">
        <f>$L577+$T577</f>
        <v/>
      </c>
    </row>
    <row r="578">
      <c r="A578" s="3" t="inlineStr">
        <is>
          <t>PKG-21::L-018</t>
        </is>
      </c>
      <c r="B578" s="3" t="inlineStr">
        <is>
          <t>PKG-21</t>
        </is>
      </c>
      <c r="C578" s="3" t="n"/>
      <c r="D578" s="3" t="inlineStr">
        <is>
          <t>L-018</t>
        </is>
      </c>
      <c r="E578" s="3" t="inlineStr">
        <is>
          <t>CD</t>
        </is>
      </c>
      <c r="F578" s="3" t="inlineStr">
        <is>
          <t>PKG-21</t>
        </is>
      </c>
      <c r="G578" s="3" t="n"/>
      <c r="H578" s="3" t="inlineStr">
        <is>
          <t>MCC building - PEMB erection</t>
        </is>
      </c>
      <c r="I578" s="22" t="n">
        <v>600</v>
      </c>
      <c r="J578" s="3" t="inlineStr">
        <is>
          <t>m2</t>
        </is>
      </c>
      <c r="K578" s="39" t="n">
        <v>180</v>
      </c>
      <c r="L578" s="35" t="n">
        <v>108000</v>
      </c>
      <c r="M578" s="3" t="inlineStr">
        <is>
          <t>CAD</t>
        </is>
      </c>
      <c r="N578" s="3" t="inlineStr">
        <is>
          <t>ALLOWANCE</t>
        </is>
      </c>
      <c r="O578" s="3" t="inlineStr">
        <is>
          <t>A-016</t>
        </is>
      </c>
      <c r="P578" s="3" t="inlineStr">
        <is>
          <t>LOW</t>
        </is>
      </c>
      <c r="Q578" s="3" t="inlineStr">
        <is>
          <t>Structural erection; crane; rigging; crew labor</t>
        </is>
      </c>
      <c r="R578" s="3">
        <f>VLOOKUP($F578,Inputs!$D$6:$E$41,2,FALSE)</f>
        <v/>
      </c>
      <c r="S578" s="36">
        <f>VLOOKUP($E578,Inputs!$A$6:$B$13,2,FALSE)*Inputs!$B$2</f>
        <v/>
      </c>
      <c r="T578" s="35">
        <f>$L578*$S578</f>
        <v/>
      </c>
      <c r="U578" s="35">
        <f>$L578+$T578</f>
        <v/>
      </c>
    </row>
    <row r="579">
      <c r="A579" s="3" t="inlineStr">
        <is>
          <t>PKG-21::L-019</t>
        </is>
      </c>
      <c r="B579" s="3" t="inlineStr">
        <is>
          <t>PKG-21</t>
        </is>
      </c>
      <c r="C579" s="3" t="n"/>
      <c r="D579" s="3" t="inlineStr">
        <is>
          <t>L-019</t>
        </is>
      </c>
      <c r="E579" s="3" t="inlineStr">
        <is>
          <t>CD</t>
        </is>
      </c>
      <c r="F579" s="3" t="inlineStr">
        <is>
          <t>PKG-21</t>
        </is>
      </c>
      <c r="G579" s="3" t="n"/>
      <c r="H579" s="3" t="inlineStr">
        <is>
          <t>MCC building - envelope installation</t>
        </is>
      </c>
      <c r="I579" s="22" t="n">
        <v>600</v>
      </c>
      <c r="J579" s="3" t="inlineStr">
        <is>
          <t>m2</t>
        </is>
      </c>
      <c r="K579" s="39" t="n">
        <v>95</v>
      </c>
      <c r="L579" s="35" t="n">
        <v>57000</v>
      </c>
      <c r="M579" s="3" t="inlineStr">
        <is>
          <t>CAD</t>
        </is>
      </c>
      <c r="N579" s="3" t="inlineStr">
        <is>
          <t>ALLOWANCE</t>
        </is>
      </c>
      <c r="O579" s="3" t="inlineStr">
        <is>
          <t>A-017</t>
        </is>
      </c>
      <c r="P579" s="3" t="inlineStr">
        <is>
          <t>LOW</t>
        </is>
      </c>
      <c r="Q579" s="3" t="inlineStr">
        <is>
          <t>Cladding; roofing; flashing; sealants installation</t>
        </is>
      </c>
      <c r="R579" s="3">
        <f>VLOOKUP($F579,Inputs!$D$6:$E$41,2,FALSE)</f>
        <v/>
      </c>
      <c r="S579" s="36">
        <f>VLOOKUP($E579,Inputs!$A$6:$B$13,2,FALSE)*Inputs!$B$2</f>
        <v/>
      </c>
      <c r="T579" s="35">
        <f>$L579*$S579</f>
        <v/>
      </c>
      <c r="U579" s="35">
        <f>$L579+$T579</f>
        <v/>
      </c>
    </row>
    <row r="580">
      <c r="A580" s="3" t="inlineStr">
        <is>
          <t>PKG-21::L-020</t>
        </is>
      </c>
      <c r="B580" s="3" t="inlineStr">
        <is>
          <t>PKG-21</t>
        </is>
      </c>
      <c r="C580" s="3" t="n"/>
      <c r="D580" s="3" t="inlineStr">
        <is>
          <t>L-020</t>
        </is>
      </c>
      <c r="E580" s="3" t="inlineStr">
        <is>
          <t>CD</t>
        </is>
      </c>
      <c r="F580" s="3" t="inlineStr">
        <is>
          <t>PKG-21</t>
        </is>
      </c>
      <c r="G580" s="3" t="n"/>
      <c r="H580" s="3" t="inlineStr">
        <is>
          <t>MCC building - door and window installation</t>
        </is>
      </c>
      <c r="I580" s="22" t="n">
        <v>1</v>
      </c>
      <c r="J580" s="3" t="inlineStr">
        <is>
          <t>LS</t>
        </is>
      </c>
      <c r="K580" s="39" t="n">
        <v>18000</v>
      </c>
      <c r="L580" s="35" t="n">
        <v>18000</v>
      </c>
      <c r="M580" s="3" t="inlineStr">
        <is>
          <t>CAD</t>
        </is>
      </c>
      <c r="N580" s="3" t="inlineStr">
        <is>
          <t>ALLOWANCE</t>
        </is>
      </c>
      <c r="O580" s="3" t="inlineStr">
        <is>
          <t>A-018</t>
        </is>
      </c>
      <c r="P580" s="3" t="inlineStr">
        <is>
          <t>LOW</t>
        </is>
      </c>
      <c r="Q580" s="3" t="inlineStr">
        <is>
          <t>Door hanging; hardware; window installation; sealing</t>
        </is>
      </c>
      <c r="R580" s="3">
        <f>VLOOKUP($F580,Inputs!$D$6:$E$41,2,FALSE)</f>
        <v/>
      </c>
      <c r="S580" s="36">
        <f>VLOOKUP($E580,Inputs!$A$6:$B$13,2,FALSE)*Inputs!$B$2</f>
        <v/>
      </c>
      <c r="T580" s="35">
        <f>$L580*$S580</f>
        <v/>
      </c>
      <c r="U580" s="35">
        <f>$L580+$T580</f>
        <v/>
      </c>
    </row>
    <row r="581">
      <c r="A581" s="3" t="inlineStr">
        <is>
          <t>PKG-21::L-021</t>
        </is>
      </c>
      <c r="B581" s="3" t="inlineStr">
        <is>
          <t>PKG-21</t>
        </is>
      </c>
      <c r="C581" s="3" t="n"/>
      <c r="D581" s="3" t="inlineStr">
        <is>
          <t>L-021</t>
        </is>
      </c>
      <c r="E581" s="3" t="inlineStr">
        <is>
          <t>CD</t>
        </is>
      </c>
      <c r="F581" s="3" t="inlineStr">
        <is>
          <t>PKG-21</t>
        </is>
      </c>
      <c r="G581" s="3" t="n"/>
      <c r="H581" s="3" t="inlineStr">
        <is>
          <t>Operator shelter - installation</t>
        </is>
      </c>
      <c r="I581" s="22" t="n">
        <v>4</v>
      </c>
      <c r="J581" s="3" t="inlineStr">
        <is>
          <t>EA</t>
        </is>
      </c>
      <c r="K581" s="39" t="n">
        <v>12000</v>
      </c>
      <c r="L581" s="35" t="n">
        <v>48000</v>
      </c>
      <c r="M581" s="3" t="inlineStr">
        <is>
          <t>CAD</t>
        </is>
      </c>
      <c r="N581" s="3" t="inlineStr">
        <is>
          <t>ALLOWANCE</t>
        </is>
      </c>
      <c r="O581" s="3" t="inlineStr">
        <is>
          <t>A-019</t>
        </is>
      </c>
      <c r="P581" s="3" t="inlineStr">
        <is>
          <t>LOW</t>
        </is>
      </c>
      <c r="Q581" s="3" t="inlineStr">
        <is>
          <t>Shelter setting; anchor; connections</t>
        </is>
      </c>
      <c r="R581" s="3">
        <f>VLOOKUP($F581,Inputs!$D$6:$E$41,2,FALSE)</f>
        <v/>
      </c>
      <c r="S581" s="36">
        <f>VLOOKUP($E581,Inputs!$A$6:$B$13,2,FALSE)*Inputs!$B$2</f>
        <v/>
      </c>
      <c r="T581" s="35">
        <f>$L581*$S581</f>
        <v/>
      </c>
      <c r="U581" s="35">
        <f>$L581+$T581</f>
        <v/>
      </c>
    </row>
    <row r="582">
      <c r="A582" s="3" t="inlineStr">
        <is>
          <t>PKG-21::L-022</t>
        </is>
      </c>
      <c r="B582" s="3" t="inlineStr">
        <is>
          <t>PKG-21</t>
        </is>
      </c>
      <c r="C582" s="3" t="n"/>
      <c r="D582" s="3" t="inlineStr">
        <is>
          <t>L-022</t>
        </is>
      </c>
      <c r="E582" s="3" t="inlineStr">
        <is>
          <t>CD</t>
        </is>
      </c>
      <c r="F582" s="3" t="inlineStr">
        <is>
          <t>PKG-21</t>
        </is>
      </c>
      <c r="G582" s="3" t="n"/>
      <c r="H582" s="3" t="inlineStr">
        <is>
          <t>Operator shelter - foundation installation</t>
        </is>
      </c>
      <c r="I582" s="22" t="n">
        <v>4</v>
      </c>
      <c r="J582" s="3" t="inlineStr">
        <is>
          <t>EA</t>
        </is>
      </c>
      <c r="K582" s="39" t="n">
        <v>6000</v>
      </c>
      <c r="L582" s="35" t="n">
        <v>24000</v>
      </c>
      <c r="M582" s="3" t="inlineStr">
        <is>
          <t>CAD</t>
        </is>
      </c>
      <c r="N582" s="3" t="inlineStr">
        <is>
          <t>ALLOWANCE</t>
        </is>
      </c>
      <c r="O582" s="3" t="inlineStr">
        <is>
          <t>A-020</t>
        </is>
      </c>
      <c r="P582" s="3" t="inlineStr">
        <is>
          <t>LOW</t>
        </is>
      </c>
      <c r="Q582" s="3" t="inlineStr">
        <is>
          <t>Concrete work; anchor bolt setting</t>
        </is>
      </c>
      <c r="R582" s="3">
        <f>VLOOKUP($F582,Inputs!$D$6:$E$41,2,FALSE)</f>
        <v/>
      </c>
      <c r="S582" s="36">
        <f>VLOOKUP($E582,Inputs!$A$6:$B$13,2,FALSE)*Inputs!$B$2</f>
        <v/>
      </c>
      <c r="T582" s="35">
        <f>$L582*$S582</f>
        <v/>
      </c>
      <c r="U582" s="35">
        <f>$L582+$T582</f>
        <v/>
      </c>
    </row>
    <row r="583">
      <c r="A583" s="3" t="inlineStr">
        <is>
          <t>PKG-21::L-023</t>
        </is>
      </c>
      <c r="B583" s="3" t="inlineStr">
        <is>
          <t>PKG-21</t>
        </is>
      </c>
      <c r="C583" s="3" t="n"/>
      <c r="D583" s="3" t="inlineStr">
        <is>
          <t>L-023</t>
        </is>
      </c>
      <c r="E583" s="3" t="inlineStr">
        <is>
          <t>CD</t>
        </is>
      </c>
      <c r="F583" s="3" t="inlineStr">
        <is>
          <t>PKG-21</t>
        </is>
      </c>
      <c r="G583" s="3" t="n"/>
      <c r="H583" s="3" t="inlineStr">
        <is>
          <t>Building finishing and punch list</t>
        </is>
      </c>
      <c r="I583" s="22" t="n">
        <v>1</v>
      </c>
      <c r="J583" s="3" t="inlineStr">
        <is>
          <t>LS</t>
        </is>
      </c>
      <c r="K583" s="39" t="n">
        <v>25000</v>
      </c>
      <c r="L583" s="35" t="n">
        <v>25000</v>
      </c>
      <c r="M583" s="3" t="inlineStr">
        <is>
          <t>CAD</t>
        </is>
      </c>
      <c r="N583" s="3" t="inlineStr">
        <is>
          <t>ALLOWANCE</t>
        </is>
      </c>
      <c r="O583" s="3" t="inlineStr">
        <is>
          <t>A-021</t>
        </is>
      </c>
      <c r="P583" s="3" t="inlineStr">
        <is>
          <t>LOW</t>
        </is>
      </c>
      <c r="Q583" s="3" t="inlineStr">
        <is>
          <t>Touch-up; adjustments; minor corrections</t>
        </is>
      </c>
      <c r="R583" s="3">
        <f>VLOOKUP($F583,Inputs!$D$6:$E$41,2,FALSE)</f>
        <v/>
      </c>
      <c r="S583" s="36">
        <f>VLOOKUP($E583,Inputs!$A$6:$B$13,2,FALSE)*Inputs!$B$2</f>
        <v/>
      </c>
      <c r="T583" s="35">
        <f>$L583*$S583</f>
        <v/>
      </c>
      <c r="U583" s="35">
        <f>$L583+$T583</f>
        <v/>
      </c>
    </row>
    <row r="584">
      <c r="A584" s="3" t="inlineStr">
        <is>
          <t>PKG-21::L-024</t>
        </is>
      </c>
      <c r="B584" s="3" t="inlineStr">
        <is>
          <t>PKG-21</t>
        </is>
      </c>
      <c r="C584" s="3" t="n"/>
      <c r="D584" s="3" t="inlineStr">
        <is>
          <t>L-024</t>
        </is>
      </c>
      <c r="E584" s="3" t="inlineStr">
        <is>
          <t>CI</t>
        </is>
      </c>
      <c r="F584" s="3" t="inlineStr">
        <is>
          <t>PKG-21</t>
        </is>
      </c>
      <c r="G584" s="3" t="n"/>
      <c r="H584" s="3" t="inlineStr">
        <is>
          <t>Construction indirects - building package</t>
        </is>
      </c>
      <c r="I584" s="22" t="n">
        <v>1</v>
      </c>
      <c r="J584" s="3" t="inlineStr">
        <is>
          <t>LS</t>
        </is>
      </c>
      <c r="K584" s="39" t="n">
        <v>62000</v>
      </c>
      <c r="L584" s="35" t="n">
        <v>62000</v>
      </c>
      <c r="M584" s="3" t="inlineStr">
        <is>
          <t>CAD</t>
        </is>
      </c>
      <c r="N584" s="3" t="inlineStr">
        <is>
          <t>PARAMETRIC</t>
        </is>
      </c>
      <c r="O584" s="3" t="inlineStr">
        <is>
          <t>D-009</t>
        </is>
      </c>
      <c r="P584" s="3" t="inlineStr">
        <is>
          <t>LOW</t>
        </is>
      </c>
      <c r="Q584" s="3" t="inlineStr">
        <is>
          <t>18% of CD per fallback model; supervision; temp facilities</t>
        </is>
      </c>
      <c r="R584" s="3">
        <f>VLOOKUP($F584,Inputs!$D$6:$E$41,2,FALSE)</f>
        <v/>
      </c>
      <c r="S584" s="36">
        <f>VLOOKUP($E584,Inputs!$A$6:$B$13,2,FALSE)*Inputs!$B$2</f>
        <v/>
      </c>
      <c r="T584" s="35">
        <f>$L584*$S584</f>
        <v/>
      </c>
      <c r="U584" s="35">
        <f>$L584+$T584</f>
        <v/>
      </c>
    </row>
    <row r="585">
      <c r="A585" s="3" t="inlineStr">
        <is>
          <t>PKG-21::L-025</t>
        </is>
      </c>
      <c r="B585" s="3" t="inlineStr">
        <is>
          <t>PKG-21</t>
        </is>
      </c>
      <c r="C585" s="3" t="inlineStr">
        <is>
          <t>DEL-21.05</t>
        </is>
      </c>
      <c r="D585" s="3" t="inlineStr">
        <is>
          <t>L-025</t>
        </is>
      </c>
      <c r="E585" s="3" t="inlineStr">
        <is>
          <t>COM</t>
        </is>
      </c>
      <c r="F585" s="3" t="inlineStr">
        <is>
          <t>PKG-21</t>
        </is>
      </c>
      <c r="G585" s="3" t="inlineStr">
        <is>
          <t>DEL-21.05</t>
        </is>
      </c>
      <c r="H585" s="3" t="inlineStr">
        <is>
          <t>Building inspection and test records</t>
        </is>
      </c>
      <c r="I585" s="22" t="n">
        <v>1</v>
      </c>
      <c r="J585" s="3" t="inlineStr">
        <is>
          <t>LS</t>
        </is>
      </c>
      <c r="K585" s="39" t="n">
        <v>18000</v>
      </c>
      <c r="L585" s="35" t="n">
        <v>18000</v>
      </c>
      <c r="M585" s="3" t="inlineStr">
        <is>
          <t>CAD</t>
        </is>
      </c>
      <c r="N585" s="3" t="inlineStr">
        <is>
          <t>ALLOWANCE</t>
        </is>
      </c>
      <c r="O585" s="3" t="inlineStr">
        <is>
          <t>A-022</t>
        </is>
      </c>
      <c r="P585" s="3" t="inlineStr">
        <is>
          <t>LOW</t>
        </is>
      </c>
      <c r="Q585" s="3" t="inlineStr">
        <is>
          <t>QA/QC inspections; envelope testing; code inspections</t>
        </is>
      </c>
      <c r="R585" s="3">
        <f>VLOOKUP($F585,Inputs!$D$6:$E$41,2,FALSE)</f>
        <v/>
      </c>
      <c r="S585" s="36">
        <f>VLOOKUP($E585,Inputs!$A$6:$B$13,2,FALSE)*Inputs!$B$2</f>
        <v/>
      </c>
      <c r="T585" s="35">
        <f>$L585*$S585</f>
        <v/>
      </c>
      <c r="U585" s="35">
        <f>$L585+$T585</f>
        <v/>
      </c>
    </row>
    <row r="586">
      <c r="A586" s="3" t="inlineStr">
        <is>
          <t>PKG-21::L-026</t>
        </is>
      </c>
      <c r="B586" s="3" t="inlineStr">
        <is>
          <t>PKG-21</t>
        </is>
      </c>
      <c r="C586" s="3" t="n"/>
      <c r="D586" s="3" t="inlineStr">
        <is>
          <t>L-026</t>
        </is>
      </c>
      <c r="E586" s="3" t="inlineStr">
        <is>
          <t>COM</t>
        </is>
      </c>
      <c r="F586" s="3" t="inlineStr">
        <is>
          <t>PKG-21</t>
        </is>
      </c>
      <c r="G586" s="3" t="n"/>
      <c r="H586" s="3" t="inlineStr">
        <is>
          <t>Building commissioning support</t>
        </is>
      </c>
      <c r="I586" s="22" t="n">
        <v>1</v>
      </c>
      <c r="J586" s="3" t="inlineStr">
        <is>
          <t>LS</t>
        </is>
      </c>
      <c r="K586" s="39" t="n">
        <v>15000</v>
      </c>
      <c r="L586" s="35" t="n">
        <v>15000</v>
      </c>
      <c r="M586" s="3" t="inlineStr">
        <is>
          <t>CAD</t>
        </is>
      </c>
      <c r="N586" s="3" t="inlineStr">
        <is>
          <t>ALLOWANCE</t>
        </is>
      </c>
      <c r="O586" s="3" t="inlineStr">
        <is>
          <t>A-023</t>
        </is>
      </c>
      <c r="P586" s="3" t="inlineStr">
        <is>
          <t>LOW</t>
        </is>
      </c>
      <c r="Q586" s="3" t="inlineStr">
        <is>
          <t>Commissioning coordination; punch list resolution</t>
        </is>
      </c>
      <c r="R586" s="3">
        <f>VLOOKUP($F586,Inputs!$D$6:$E$41,2,FALSE)</f>
        <v/>
      </c>
      <c r="S586" s="36">
        <f>VLOOKUP($E586,Inputs!$A$6:$B$13,2,FALSE)*Inputs!$B$2</f>
        <v/>
      </c>
      <c r="T586" s="35">
        <f>$L586*$S586</f>
        <v/>
      </c>
      <c r="U586" s="35">
        <f>$L586+$T586</f>
        <v/>
      </c>
    </row>
    <row r="587">
      <c r="A587" s="3" t="inlineStr">
        <is>
          <t>PKG-22::L-001</t>
        </is>
      </c>
      <c r="B587" s="3" t="inlineStr">
        <is>
          <t>PKG-22</t>
        </is>
      </c>
      <c r="C587" s="3" t="inlineStr">
        <is>
          <t>DEL-22.01</t>
        </is>
      </c>
      <c r="D587" s="3" t="inlineStr">
        <is>
          <t>L-001</t>
        </is>
      </c>
      <c r="E587" s="3" t="inlineStr">
        <is>
          <t>E</t>
        </is>
      </c>
      <c r="F587" s="3" t="inlineStr">
        <is>
          <t>PKG-22</t>
        </is>
      </c>
      <c r="G587" s="3" t="inlineStr">
        <is>
          <t>DEL-22.01</t>
        </is>
      </c>
      <c r="H587" s="3" t="inlineStr">
        <is>
          <t>MEP engineering design - Building MEP Design Drawing Set</t>
        </is>
      </c>
      <c r="I587" s="22" t="n">
        <v>1</v>
      </c>
      <c r="J587" s="3" t="inlineStr">
        <is>
          <t>LS</t>
        </is>
      </c>
      <c r="K587" s="39" t="n">
        <v>48000</v>
      </c>
      <c r="L587" s="35" t="n">
        <v>48000</v>
      </c>
      <c r="M587" s="3" t="inlineStr">
        <is>
          <t>CAD</t>
        </is>
      </c>
      <c r="N587" s="3" t="inlineStr">
        <is>
          <t>ALLOWANCE</t>
        </is>
      </c>
      <c r="O587" s="3" t="inlineStr">
        <is>
          <t>A-006</t>
        </is>
      </c>
      <c r="P587" s="3" t="inlineStr">
        <is>
          <t>LOW</t>
        </is>
      </c>
      <c r="Q587" s="3" t="inlineStr">
        <is>
          <t>HVAC layout; plumbing layout; interior electrical layout; fire suppression layout; 8-15 sheets estimated; 150-250 hours @ $140-175/hr blended</t>
        </is>
      </c>
      <c r="R587" s="3">
        <f>VLOOKUP($F587,Inputs!$D$6:$E$41,2,FALSE)</f>
        <v/>
      </c>
      <c r="S587" s="36">
        <f>VLOOKUP($E587,Inputs!$A$6:$B$13,2,FALSE)*Inputs!$B$2</f>
        <v/>
      </c>
      <c r="T587" s="35">
        <f>$L587*$S587</f>
        <v/>
      </c>
      <c r="U587" s="35">
        <f>$L587+$T587</f>
        <v/>
      </c>
    </row>
    <row r="588">
      <c r="A588" s="3" t="inlineStr">
        <is>
          <t>PKG-22::L-002</t>
        </is>
      </c>
      <c r="B588" s="3" t="inlineStr">
        <is>
          <t>PKG-22</t>
        </is>
      </c>
      <c r="C588" s="3" t="inlineStr">
        <is>
          <t>DEL-22.02</t>
        </is>
      </c>
      <c r="D588" s="3" t="inlineStr">
        <is>
          <t>L-002</t>
        </is>
      </c>
      <c r="E588" s="3" t="inlineStr">
        <is>
          <t>E</t>
        </is>
      </c>
      <c r="F588" s="3" t="inlineStr">
        <is>
          <t>PKG-22</t>
        </is>
      </c>
      <c r="G588" s="3" t="inlineStr">
        <is>
          <t>DEL-22.02</t>
        </is>
      </c>
      <c r="H588" s="3" t="inlineStr">
        <is>
          <t>MEP engineering design - Building MEP Technical Specification</t>
        </is>
      </c>
      <c r="I588" s="22" t="n">
        <v>1</v>
      </c>
      <c r="J588" s="3" t="inlineStr">
        <is>
          <t>LS</t>
        </is>
      </c>
      <c r="K588" s="39" t="n">
        <v>28000</v>
      </c>
      <c r="L588" s="35" t="n">
        <v>28000</v>
      </c>
      <c r="M588" s="3" t="inlineStr">
        <is>
          <t>CAD</t>
        </is>
      </c>
      <c r="N588" s="3" t="inlineStr">
        <is>
          <t>ALLOWANCE</t>
        </is>
      </c>
      <c r="O588" s="3" t="inlineStr">
        <is>
          <t>A-006</t>
        </is>
      </c>
      <c r="P588" s="3" t="inlineStr">
        <is>
          <t>LOW</t>
        </is>
      </c>
      <c r="Q588" s="3" t="inlineStr">
        <is>
          <t>HVAC specification; building plumbing specification; fire suppression specification; 3 spec sections; 80-120 hours</t>
        </is>
      </c>
      <c r="R588" s="3">
        <f>VLOOKUP($F588,Inputs!$D$6:$E$41,2,FALSE)</f>
        <v/>
      </c>
      <c r="S588" s="36">
        <f>VLOOKUP($E588,Inputs!$A$6:$B$13,2,FALSE)*Inputs!$B$2</f>
        <v/>
      </c>
      <c r="T588" s="35">
        <f>$L588*$S588</f>
        <v/>
      </c>
      <c r="U588" s="35">
        <f>$L588+$T588</f>
        <v/>
      </c>
    </row>
    <row r="589">
      <c r="A589" s="3" t="inlineStr">
        <is>
          <t>PKG-22::L-003</t>
        </is>
      </c>
      <c r="B589" s="3" t="inlineStr">
        <is>
          <t>PKG-22</t>
        </is>
      </c>
      <c r="C589" s="3" t="inlineStr">
        <is>
          <t>DEL-22.03</t>
        </is>
      </c>
      <c r="D589" s="3" t="inlineStr">
        <is>
          <t>L-003</t>
        </is>
      </c>
      <c r="E589" s="3" t="inlineStr">
        <is>
          <t>E</t>
        </is>
      </c>
      <c r="F589" s="3" t="inlineStr">
        <is>
          <t>PKG-22</t>
        </is>
      </c>
      <c r="G589" s="3" t="inlineStr">
        <is>
          <t>DEL-22.03</t>
        </is>
      </c>
      <c r="H589" s="3" t="inlineStr">
        <is>
          <t>MEP engineering design - Building MEP Design Calculations</t>
        </is>
      </c>
      <c r="I589" s="22" t="n">
        <v>1</v>
      </c>
      <c r="J589" s="3" t="inlineStr">
        <is>
          <t>LS</t>
        </is>
      </c>
      <c r="K589" s="39" t="n">
        <v>22000</v>
      </c>
      <c r="L589" s="35" t="n">
        <v>22000</v>
      </c>
      <c r="M589" s="3" t="inlineStr">
        <is>
          <t>CAD</t>
        </is>
      </c>
      <c r="N589" s="3" t="inlineStr">
        <is>
          <t>ALLOWANCE</t>
        </is>
      </c>
      <c r="O589" s="3" t="inlineStr">
        <is>
          <t>A-006</t>
        </is>
      </c>
      <c r="P589" s="3" t="inlineStr">
        <is>
          <t>LOW</t>
        </is>
      </c>
      <c r="Q589" s="3" t="inlineStr">
        <is>
          <t>HVAC load calculations; plumbing sizing; fire sprinkler hydraulics; 100-150 hours</t>
        </is>
      </c>
      <c r="R589" s="3">
        <f>VLOOKUP($F589,Inputs!$D$6:$E$41,2,FALSE)</f>
        <v/>
      </c>
      <c r="S589" s="36">
        <f>VLOOKUP($E589,Inputs!$A$6:$B$13,2,FALSE)*Inputs!$B$2</f>
        <v/>
      </c>
      <c r="T589" s="35">
        <f>$L589*$S589</f>
        <v/>
      </c>
      <c r="U589" s="35">
        <f>$L589+$T589</f>
        <v/>
      </c>
    </row>
    <row r="590">
      <c r="A590" s="3" t="inlineStr">
        <is>
          <t>PKG-22::L-004</t>
        </is>
      </c>
      <c r="B590" s="3" t="inlineStr">
        <is>
          <t>PKG-22</t>
        </is>
      </c>
      <c r="C590" s="3" t="inlineStr">
        <is>
          <t>DEL-22.04</t>
        </is>
      </c>
      <c r="D590" s="3" t="inlineStr">
        <is>
          <t>L-004</t>
        </is>
      </c>
      <c r="E590" s="3" t="inlineStr">
        <is>
          <t>E</t>
        </is>
      </c>
      <c r="F590" s="3" t="inlineStr">
        <is>
          <t>PKG-22</t>
        </is>
      </c>
      <c r="G590" s="3" t="inlineStr">
        <is>
          <t>DEL-22.04</t>
        </is>
      </c>
      <c r="H590" s="3" t="inlineStr">
        <is>
          <t>MEP engineering design - Building MEP Data Sheet Package</t>
        </is>
      </c>
      <c r="I590" s="22" t="n">
        <v>1</v>
      </c>
      <c r="J590" s="3" t="inlineStr">
        <is>
          <t>LS</t>
        </is>
      </c>
      <c r="K590" s="39" t="n">
        <v>10000</v>
      </c>
      <c r="L590" s="35" t="n">
        <v>10000</v>
      </c>
      <c r="M590" s="3" t="inlineStr">
        <is>
          <t>CAD</t>
        </is>
      </c>
      <c r="N590" s="3" t="inlineStr">
        <is>
          <t>ALLOWANCE</t>
        </is>
      </c>
      <c r="O590" s="3" t="inlineStr">
        <is>
          <t>A-006</t>
        </is>
      </c>
      <c r="P590" s="3" t="inlineStr">
        <is>
          <t>LOW</t>
        </is>
      </c>
      <c r="Q590" s="3" t="inlineStr">
        <is>
          <t>HVAC unit data sheet; fire suppression system data sheet; equipment parameters; 60-100 hours</t>
        </is>
      </c>
      <c r="R590" s="3">
        <f>VLOOKUP($F590,Inputs!$D$6:$E$41,2,FALSE)</f>
        <v/>
      </c>
      <c r="S590" s="36">
        <f>VLOOKUP($E590,Inputs!$A$6:$B$13,2,FALSE)*Inputs!$B$2</f>
        <v/>
      </c>
      <c r="T590" s="35">
        <f>$L590*$S590</f>
        <v/>
      </c>
      <c r="U590" s="35">
        <f>$L590+$T590</f>
        <v/>
      </c>
    </row>
    <row r="591">
      <c r="A591" s="3" t="inlineStr">
        <is>
          <t>PKG-22::L-005</t>
        </is>
      </c>
      <c r="B591" s="3" t="inlineStr">
        <is>
          <t>PKG-22</t>
        </is>
      </c>
      <c r="C591" s="3" t="inlineStr">
        <is>
          <t>DEL-22.06</t>
        </is>
      </c>
      <c r="D591" s="3" t="inlineStr">
        <is>
          <t>L-005</t>
        </is>
      </c>
      <c r="E591" s="3" t="inlineStr">
        <is>
          <t>E</t>
        </is>
      </c>
      <c r="F591" s="3" t="inlineStr">
        <is>
          <t>PKG-22</t>
        </is>
      </c>
      <c r="G591" s="3" t="inlineStr">
        <is>
          <t>DEL-22.06</t>
        </is>
      </c>
      <c r="H591" s="3" t="inlineStr">
        <is>
          <t>MEP engineering design - Building MEP Shop Design Drawing Set review</t>
        </is>
      </c>
      <c r="I591" s="22" t="n">
        <v>1</v>
      </c>
      <c r="J591" s="3" t="inlineStr">
        <is>
          <t>LS</t>
        </is>
      </c>
      <c r="K591" s="39" t="n">
        <v>16000</v>
      </c>
      <c r="L591" s="35" t="n">
        <v>16000</v>
      </c>
      <c r="M591" s="3" t="inlineStr">
        <is>
          <t>CAD</t>
        </is>
      </c>
      <c r="N591" s="3" t="inlineStr">
        <is>
          <t>ALLOWANCE</t>
        </is>
      </c>
      <c r="O591" s="3" t="inlineStr">
        <is>
          <t>A-006 + A-021</t>
        </is>
      </c>
      <c r="P591" s="3" t="inlineStr">
        <is>
          <t>LOW</t>
        </is>
      </c>
      <c r="Q591" s="3" t="inlineStr">
        <is>
          <t>Shop drawing review for HVAC equipment; sprinkler system; major plumbing equipment; 80-120 hours review effort</t>
        </is>
      </c>
      <c r="R591" s="3">
        <f>VLOOKUP($F591,Inputs!$D$6:$E$41,2,FALSE)</f>
        <v/>
      </c>
      <c r="S591" s="36">
        <f>VLOOKUP($E591,Inputs!$A$6:$B$13,2,FALSE)*Inputs!$B$2</f>
        <v/>
      </c>
      <c r="T591" s="35">
        <f>$L591*$S591</f>
        <v/>
      </c>
      <c r="U591" s="35">
        <f>$L591+$T591</f>
        <v/>
      </c>
    </row>
    <row r="592">
      <c r="A592" s="3" t="inlineStr">
        <is>
          <t>PKG-22::L-006</t>
        </is>
      </c>
      <c r="B592" s="3" t="inlineStr">
        <is>
          <t>PKG-22</t>
        </is>
      </c>
      <c r="C592" s="3" t="inlineStr">
        <is>
          <t>DEL-22.01</t>
        </is>
      </c>
      <c r="D592" s="3" t="inlineStr">
        <is>
          <t>L-006</t>
        </is>
      </c>
      <c r="E592" s="3" t="inlineStr">
        <is>
          <t>MAT</t>
        </is>
      </c>
      <c r="F592" s="3" t="inlineStr">
        <is>
          <t>PKG-22</t>
        </is>
      </c>
      <c r="G592" s="3" t="inlineStr">
        <is>
          <t>DEL-22.01</t>
        </is>
      </c>
      <c r="H592" s="3" t="inlineStr">
        <is>
          <t>HVAC equipment and controls</t>
        </is>
      </c>
      <c r="I592" s="22" t="n">
        <v>1</v>
      </c>
      <c r="J592" s="3" t="inlineStr">
        <is>
          <t>LS</t>
        </is>
      </c>
      <c r="K592" s="39" t="n">
        <v>295000</v>
      </c>
      <c r="L592" s="35" t="n">
        <v>295000</v>
      </c>
      <c r="M592" s="3" t="inlineStr">
        <is>
          <t>CAD</t>
        </is>
      </c>
      <c r="N592" s="3" t="inlineStr">
        <is>
          <t>ALLOWANCE</t>
        </is>
      </c>
      <c r="O592" s="3" t="inlineStr">
        <is>
          <t>A-001 + A-007 + A-014</t>
        </is>
      </c>
      <c r="P592" s="3" t="inlineStr">
        <is>
          <t>LOW</t>
        </is>
      </c>
      <c r="Q592" s="3" t="inlineStr">
        <is>
          <t>Packaged rooftop units or split systems (45-75 tons total cooling; 250-400 MBH heating); ductwork (200-350 LM); diffusers/grilles (40-60 units); insulation; controls; BAS integration; 300 m² MCC building</t>
        </is>
      </c>
      <c r="R592" s="3">
        <f>VLOOKUP($F592,Inputs!$D$6:$E$41,2,FALSE)</f>
        <v/>
      </c>
      <c r="S592" s="36">
        <f>VLOOKUP($E592,Inputs!$A$6:$B$13,2,FALSE)*Inputs!$B$2</f>
        <v/>
      </c>
      <c r="T592" s="35">
        <f>$L592*$S592</f>
        <v/>
      </c>
      <c r="U592" s="35">
        <f>$L592+$T592</f>
        <v/>
      </c>
    </row>
    <row r="593">
      <c r="A593" s="3" t="inlineStr">
        <is>
          <t>PKG-22::L-007</t>
        </is>
      </c>
      <c r="B593" s="3" t="inlineStr">
        <is>
          <t>PKG-22</t>
        </is>
      </c>
      <c r="C593" s="3" t="inlineStr">
        <is>
          <t>DEL-22.01</t>
        </is>
      </c>
      <c r="D593" s="3" t="inlineStr">
        <is>
          <t>L-007</t>
        </is>
      </c>
      <c r="E593" s="3" t="inlineStr">
        <is>
          <t>MAT</t>
        </is>
      </c>
      <c r="F593" s="3" t="inlineStr">
        <is>
          <t>PKG-22</t>
        </is>
      </c>
      <c r="G593" s="3" t="inlineStr">
        <is>
          <t>DEL-22.01</t>
        </is>
      </c>
      <c r="H593" s="3" t="inlineStr">
        <is>
          <t>Plumbing fixtures and materials</t>
        </is>
      </c>
      <c r="I593" s="22" t="n">
        <v>1</v>
      </c>
      <c r="J593" s="3" t="inlineStr">
        <is>
          <t>LS</t>
        </is>
      </c>
      <c r="K593" s="39" t="n">
        <v>90000</v>
      </c>
      <c r="L593" s="35" t="n">
        <v>90000</v>
      </c>
      <c r="M593" s="3" t="inlineStr">
        <is>
          <t>CAD</t>
        </is>
      </c>
      <c r="N593" s="3" t="inlineStr">
        <is>
          <t>ALLOWANCE</t>
        </is>
      </c>
      <c r="O593" s="3" t="inlineStr">
        <is>
          <t>A-002 + A-008</t>
        </is>
      </c>
      <c r="P593" s="3" t="inlineStr">
        <is>
          <t>LOW</t>
        </is>
      </c>
      <c r="Q593" s="3" t="inlineStr">
        <is>
          <t>Fixtures (8-12 total: WCs; lavatories; sinks; safety shower/eyewash); domestic water piping (80-120 LM copper/PEX); sanitary drainage (60-100 LM PVC/ABS); water heater (150-300L); backflow preventer; insulation</t>
        </is>
      </c>
      <c r="R593" s="3">
        <f>VLOOKUP($F593,Inputs!$D$6:$E$41,2,FALSE)</f>
        <v/>
      </c>
      <c r="S593" s="36">
        <f>VLOOKUP($E593,Inputs!$A$6:$B$13,2,FALSE)*Inputs!$B$2</f>
        <v/>
      </c>
      <c r="T593" s="35">
        <f>$L593*$S593</f>
        <v/>
      </c>
      <c r="U593" s="35">
        <f>$L593+$T593</f>
        <v/>
      </c>
    </row>
    <row r="594">
      <c r="A594" s="3" t="inlineStr">
        <is>
          <t>PKG-22::L-008</t>
        </is>
      </c>
      <c r="B594" s="3" t="inlineStr">
        <is>
          <t>PKG-22</t>
        </is>
      </c>
      <c r="C594" s="3" t="inlineStr">
        <is>
          <t>DEL-22.01</t>
        </is>
      </c>
      <c r="D594" s="3" t="inlineStr">
        <is>
          <t>L-008</t>
        </is>
      </c>
      <c r="E594" s="3" t="inlineStr">
        <is>
          <t>MAT</t>
        </is>
      </c>
      <c r="F594" s="3" t="inlineStr">
        <is>
          <t>PKG-22</t>
        </is>
      </c>
      <c r="G594" s="3" t="inlineStr">
        <is>
          <t>DEL-22.01</t>
        </is>
      </c>
      <c r="H594" s="3" t="inlineStr">
        <is>
          <t>Fire suppression system materials</t>
        </is>
      </c>
      <c r="I594" s="22" t="n">
        <v>1</v>
      </c>
      <c r="J594" s="3" t="inlineStr">
        <is>
          <t>LS</t>
        </is>
      </c>
      <c r="K594" s="39" t="n">
        <v>110000</v>
      </c>
      <c r="L594" s="35" t="n">
        <v>110000</v>
      </c>
      <c r="M594" s="3" t="inlineStr">
        <is>
          <t>CAD</t>
        </is>
      </c>
      <c r="N594" s="3" t="inlineStr">
        <is>
          <t>ALLOWANCE</t>
        </is>
      </c>
      <c r="O594" s="3" t="inlineStr">
        <is>
          <t>A-003 + A-009 + A-016</t>
        </is>
      </c>
      <c r="P594" s="3" t="inlineStr">
        <is>
          <t>LOW</t>
        </is>
      </c>
      <c r="Q594" s="3" t="inlineStr">
        <is>
          <t>Automatic wet-pipe sprinkler system per NFPA 13 Light Hazard; sprinkler heads (40-60 units); pipe DN25-DN100 (150-250 LM); alarm valve; trim; flow/tamper switches; fire alarm interface; test connection; connection to site fire water loop; 300 m² coverage</t>
        </is>
      </c>
      <c r="R594" s="3">
        <f>VLOOKUP($F594,Inputs!$D$6:$E$41,2,FALSE)</f>
        <v/>
      </c>
      <c r="S594" s="36">
        <f>VLOOKUP($E594,Inputs!$A$6:$B$13,2,FALSE)*Inputs!$B$2</f>
        <v/>
      </c>
      <c r="T594" s="35">
        <f>$L594*$S594</f>
        <v/>
      </c>
      <c r="U594" s="35">
        <f>$L594+$T594</f>
        <v/>
      </c>
    </row>
    <row r="595">
      <c r="A595" s="3" t="inlineStr">
        <is>
          <t>PKG-22::L-009</t>
        </is>
      </c>
      <c r="B595" s="3" t="inlineStr">
        <is>
          <t>PKG-22</t>
        </is>
      </c>
      <c r="C595" s="3" t="inlineStr">
        <is>
          <t>DEL-22.01</t>
        </is>
      </c>
      <c r="D595" s="3" t="inlineStr">
        <is>
          <t>L-009</t>
        </is>
      </c>
      <c r="E595" s="3" t="inlineStr">
        <is>
          <t>MAT</t>
        </is>
      </c>
      <c r="F595" s="3" t="inlineStr">
        <is>
          <t>PKG-22</t>
        </is>
      </c>
      <c r="G595" s="3" t="inlineStr">
        <is>
          <t>DEL-22.01</t>
        </is>
      </c>
      <c r="H595" s="3" t="inlineStr">
        <is>
          <t>Interior electrical materials</t>
        </is>
      </c>
      <c r="I595" s="22" t="n">
        <v>1</v>
      </c>
      <c r="J595" s="3" t="inlineStr">
        <is>
          <t>LS</t>
        </is>
      </c>
      <c r="K595" s="39" t="n">
        <v>95000</v>
      </c>
      <c r="L595" s="35" t="n">
        <v>95000</v>
      </c>
      <c r="M595" s="3" t="inlineStr">
        <is>
          <t>CAD</t>
        </is>
      </c>
      <c r="N595" s="3" t="inlineStr">
        <is>
          <t>ALLOWANCE</t>
        </is>
      </c>
      <c r="O595" s="3" t="inlineStr">
        <is>
          <t>A-004 + A-015</t>
        </is>
      </c>
      <c r="P595" s="3" t="inlineStr">
        <is>
          <t>LOW</t>
        </is>
      </c>
      <c r="Q595" s="3" t="inlineStr">
        <is>
          <t>LED lighting fixtures (30-50 units); receptacles (15-25 units); small power panels (2-3 units); emergency lighting (8-12 units); wiring and conduit; interior lighting controls; 12-18 kW connected load for building services</t>
        </is>
      </c>
      <c r="R595" s="3">
        <f>VLOOKUP($F595,Inputs!$D$6:$E$41,2,FALSE)</f>
        <v/>
      </c>
      <c r="S595" s="36">
        <f>VLOOKUP($E595,Inputs!$A$6:$B$13,2,FALSE)*Inputs!$B$2</f>
        <v/>
      </c>
      <c r="T595" s="35">
        <f>$L595*$S595</f>
        <v/>
      </c>
      <c r="U595" s="35">
        <f>$L595+$T595</f>
        <v/>
      </c>
    </row>
    <row r="596">
      <c r="A596" s="3" t="inlineStr">
        <is>
          <t>PKG-22::L-010</t>
        </is>
      </c>
      <c r="B596" s="3" t="inlineStr">
        <is>
          <t>PKG-22</t>
        </is>
      </c>
      <c r="C596" s="3" t="inlineStr">
        <is>
          <t>DEL-22.01</t>
        </is>
      </c>
      <c r="D596" s="3" t="inlineStr">
        <is>
          <t>L-010</t>
        </is>
      </c>
      <c r="E596" s="3" t="inlineStr">
        <is>
          <t>MAT</t>
        </is>
      </c>
      <c r="F596" s="3" t="inlineStr">
        <is>
          <t>PKG-22</t>
        </is>
      </c>
      <c r="G596" s="3" t="inlineStr">
        <is>
          <t>DEL-22.01</t>
        </is>
      </c>
      <c r="H596" s="3" t="inlineStr">
        <is>
          <t>Interior finishes materials</t>
        </is>
      </c>
      <c r="I596" s="22" t="n">
        <v>1</v>
      </c>
      <c r="J596" s="3" t="inlineStr">
        <is>
          <t>LS</t>
        </is>
      </c>
      <c r="K596" s="39" t="n">
        <v>85000</v>
      </c>
      <c r="L596" s="35" t="n">
        <v>85000</v>
      </c>
      <c r="M596" s="3" t="inlineStr">
        <is>
          <t>CAD</t>
        </is>
      </c>
      <c r="N596" s="3" t="inlineStr">
        <is>
          <t>ALLOWANCE</t>
        </is>
      </c>
      <c r="O596" s="3" t="inlineStr">
        <is>
          <t>A-005</t>
        </is>
      </c>
      <c r="P596" s="3" t="inlineStr">
        <is>
          <t>LOW</t>
        </is>
      </c>
      <c r="Q596" s="3" t="inlineStr">
        <is>
          <t>Flooring (sealed concrete or epoxy for 300 m²); wall finishes (painted drywall or metal panels; 150-200 m² wall area); ceilings (suspended acoustic tile or exposed for 50-80% coverage); trim and accessories; industrial grade finishes</t>
        </is>
      </c>
      <c r="R596" s="3">
        <f>VLOOKUP($F596,Inputs!$D$6:$E$41,2,FALSE)</f>
        <v/>
      </c>
      <c r="S596" s="36">
        <f>VLOOKUP($E596,Inputs!$A$6:$B$13,2,FALSE)*Inputs!$B$2</f>
        <v/>
      </c>
      <c r="T596" s="35">
        <f>$L596*$S596</f>
        <v/>
      </c>
      <c r="U596" s="35">
        <f>$L596+$T596</f>
        <v/>
      </c>
    </row>
    <row r="597">
      <c r="A597" s="3" t="inlineStr">
        <is>
          <t>PKG-22::L-011</t>
        </is>
      </c>
      <c r="B597" s="3" t="inlineStr">
        <is>
          <t>PKG-22</t>
        </is>
      </c>
      <c r="C597" s="3" t="inlineStr">
        <is>
          <t>DEL-22.01</t>
        </is>
      </c>
      <c r="D597" s="3" t="inlineStr">
        <is>
          <t>L-011</t>
        </is>
      </c>
      <c r="E597" s="3" t="inlineStr">
        <is>
          <t>CD</t>
        </is>
      </c>
      <c r="F597" s="3" t="inlineStr">
        <is>
          <t>PKG-22</t>
        </is>
      </c>
      <c r="G597" s="3" t="inlineStr">
        <is>
          <t>DEL-22.01</t>
        </is>
      </c>
      <c r="H597" s="3" t="inlineStr">
        <is>
          <t>HVAC installation</t>
        </is>
      </c>
      <c r="I597" s="22" t="n">
        <v>1</v>
      </c>
      <c r="J597" s="3" t="inlineStr">
        <is>
          <t>LS</t>
        </is>
      </c>
      <c r="K597" s="39" t="n">
        <v>195000</v>
      </c>
      <c r="L597" s="35" t="n">
        <v>195000</v>
      </c>
      <c r="M597" s="3" t="inlineStr">
        <is>
          <t>CAD</t>
        </is>
      </c>
      <c r="N597" s="3" t="inlineStr">
        <is>
          <t>ALLOWANCE</t>
        </is>
      </c>
      <c r="O597" s="3" t="inlineStr">
        <is>
          <t>A-001 + A-010 + A-011 + A-012</t>
        </is>
      </c>
      <c r="P597" s="3" t="inlineStr">
        <is>
          <t>LOW</t>
        </is>
      </c>
      <c r="Q597" s="3" t="inlineStr">
        <is>
          <t>Equipment placement and rigging; ductwork fabrication and installation; diffuser/grille installation; insulation; piping connections; control wiring; startup support; 30-50 hours/ton productivity; labor/equipment per A-010/A-011</t>
        </is>
      </c>
      <c r="R597" s="3">
        <f>VLOOKUP($F597,Inputs!$D$6:$E$41,2,FALSE)</f>
        <v/>
      </c>
      <c r="S597" s="36">
        <f>VLOOKUP($E597,Inputs!$A$6:$B$13,2,FALSE)*Inputs!$B$2</f>
        <v/>
      </c>
      <c r="T597" s="35">
        <f>$L597*$S597</f>
        <v/>
      </c>
      <c r="U597" s="35">
        <f>$L597+$T597</f>
        <v/>
      </c>
    </row>
    <row r="598">
      <c r="A598" s="3" t="inlineStr">
        <is>
          <t>PKG-22::L-012</t>
        </is>
      </c>
      <c r="B598" s="3" t="inlineStr">
        <is>
          <t>PKG-22</t>
        </is>
      </c>
      <c r="C598" s="3" t="inlineStr">
        <is>
          <t>DEL-22.01</t>
        </is>
      </c>
      <c r="D598" s="3" t="inlineStr">
        <is>
          <t>L-012</t>
        </is>
      </c>
      <c r="E598" s="3" t="inlineStr">
        <is>
          <t>CD</t>
        </is>
      </c>
      <c r="F598" s="3" t="inlineStr">
        <is>
          <t>PKG-22</t>
        </is>
      </c>
      <c r="G598" s="3" t="inlineStr">
        <is>
          <t>DEL-22.01</t>
        </is>
      </c>
      <c r="H598" s="3" t="inlineStr">
        <is>
          <t>Plumbing installation</t>
        </is>
      </c>
      <c r="I598" s="22" t="n">
        <v>1</v>
      </c>
      <c r="J598" s="3" t="inlineStr">
        <is>
          <t>LS</t>
        </is>
      </c>
      <c r="K598" s="39" t="n">
        <v>125000</v>
      </c>
      <c r="L598" s="35" t="n">
        <v>125000</v>
      </c>
      <c r="M598" s="3" t="inlineStr">
        <is>
          <t>CAD</t>
        </is>
      </c>
      <c r="N598" s="3" t="inlineStr">
        <is>
          <t>ALLOWANCE</t>
        </is>
      </c>
      <c r="O598" s="3" t="inlineStr">
        <is>
          <t>A-002 + A-010 + A-011 + A-012</t>
        </is>
      </c>
      <c r="P598" s="3" t="inlineStr">
        <is>
          <t>LOW</t>
        </is>
      </c>
      <c r="Q598" s="3" t="inlineStr">
        <is>
          <t>Fixture installation; domestic water piping (80-120 LM); sanitary drainage (60-100 LM); water heater installation; backflow preventer installation; pressure testing; 2-4 hours/fixture + 0.5-1.0 hours/m pipe productivity</t>
        </is>
      </c>
      <c r="R598" s="3">
        <f>VLOOKUP($F598,Inputs!$D$6:$E$41,2,FALSE)</f>
        <v/>
      </c>
      <c r="S598" s="36">
        <f>VLOOKUP($E598,Inputs!$A$6:$B$13,2,FALSE)*Inputs!$B$2</f>
        <v/>
      </c>
      <c r="T598" s="35">
        <f>$L598*$S598</f>
        <v/>
      </c>
      <c r="U598" s="35">
        <f>$L598+$T598</f>
        <v/>
      </c>
    </row>
    <row r="599">
      <c r="A599" s="3" t="inlineStr">
        <is>
          <t>PKG-22::L-013</t>
        </is>
      </c>
      <c r="B599" s="3" t="inlineStr">
        <is>
          <t>PKG-22</t>
        </is>
      </c>
      <c r="C599" s="3" t="inlineStr">
        <is>
          <t>DEL-22.01</t>
        </is>
      </c>
      <c r="D599" s="3" t="inlineStr">
        <is>
          <t>L-013</t>
        </is>
      </c>
      <c r="E599" s="3" t="inlineStr">
        <is>
          <t>CD</t>
        </is>
      </c>
      <c r="F599" s="3" t="inlineStr">
        <is>
          <t>PKG-22</t>
        </is>
      </c>
      <c r="G599" s="3" t="inlineStr">
        <is>
          <t>DEL-22.01</t>
        </is>
      </c>
      <c r="H599" s="3" t="inlineStr">
        <is>
          <t>Fire suppression installation</t>
        </is>
      </c>
      <c r="I599" s="22" t="n">
        <v>1</v>
      </c>
      <c r="J599" s="3" t="inlineStr">
        <is>
          <t>LS</t>
        </is>
      </c>
      <c r="K599" s="39" t="n">
        <v>115000</v>
      </c>
      <c r="L599" s="35" t="n">
        <v>115000</v>
      </c>
      <c r="M599" s="3" t="inlineStr">
        <is>
          <t>CAD</t>
        </is>
      </c>
      <c r="N599" s="3" t="inlineStr">
        <is>
          <t>ALLOWANCE</t>
        </is>
      </c>
      <c r="O599" s="3" t="inlineStr">
        <is>
          <t>A-003 + A-010 + A-011 + A-012</t>
        </is>
      </c>
      <c r="P599" s="3" t="inlineStr">
        <is>
          <t>LOW</t>
        </is>
      </c>
      <c r="Q599" s="3" t="inlineStr">
        <is>
          <t>Sprinkler pipe installation (150-250 LM); sprinkler head installation (40-60 heads); alarm valve and trim installation; flow/tamper switch installation; fire alarm interface; hydrostatic testing; main drain test; 0.8-1.2 hours/head + 0.4-0.6 hours/m pipe productivity</t>
        </is>
      </c>
      <c r="R599" s="3">
        <f>VLOOKUP($F599,Inputs!$D$6:$E$41,2,FALSE)</f>
        <v/>
      </c>
      <c r="S599" s="36">
        <f>VLOOKUP($E599,Inputs!$A$6:$B$13,2,FALSE)*Inputs!$B$2</f>
        <v/>
      </c>
      <c r="T599" s="35">
        <f>$L599*$S599</f>
        <v/>
      </c>
      <c r="U599" s="35">
        <f>$L599+$T599</f>
        <v/>
      </c>
    </row>
    <row r="600">
      <c r="A600" s="3" t="inlineStr">
        <is>
          <t>PKG-22::L-014</t>
        </is>
      </c>
      <c r="B600" s="3" t="inlineStr">
        <is>
          <t>PKG-22</t>
        </is>
      </c>
      <c r="C600" s="3" t="inlineStr">
        <is>
          <t>DEL-22.01</t>
        </is>
      </c>
      <c r="D600" s="3" t="inlineStr">
        <is>
          <t>L-014</t>
        </is>
      </c>
      <c r="E600" s="3" t="inlineStr">
        <is>
          <t>CD</t>
        </is>
      </c>
      <c r="F600" s="3" t="inlineStr">
        <is>
          <t>PKG-22</t>
        </is>
      </c>
      <c r="G600" s="3" t="inlineStr">
        <is>
          <t>DEL-22.01</t>
        </is>
      </c>
      <c r="H600" s="3" t="inlineStr">
        <is>
          <t>Interior electrical installation</t>
        </is>
      </c>
      <c r="I600" s="22" t="n">
        <v>1</v>
      </c>
      <c r="J600" s="3" t="inlineStr">
        <is>
          <t>LS</t>
        </is>
      </c>
      <c r="K600" s="39" t="n">
        <v>105000</v>
      </c>
      <c r="L600" s="35" t="n">
        <v>105000</v>
      </c>
      <c r="M600" s="3" t="inlineStr">
        <is>
          <t>CAD</t>
        </is>
      </c>
      <c r="N600" s="3" t="inlineStr">
        <is>
          <t>ALLOWANCE</t>
        </is>
      </c>
      <c r="O600" s="3" t="inlineStr">
        <is>
          <t>A-004 + A-010 + A-011 + A-012</t>
        </is>
      </c>
      <c r="P600" s="3" t="inlineStr">
        <is>
          <t>LOW</t>
        </is>
      </c>
      <c r="Q600" s="3" t="inlineStr">
        <is>
          <t>Lighting fixture installation (30-50 units); receptacle installation (15-25 units); panel installation (2-3 units); emergency lighting installation; conduit and wiring; testing; 0.3-0.5 hours/fixture productivity</t>
        </is>
      </c>
      <c r="R600" s="3">
        <f>VLOOKUP($F600,Inputs!$D$6:$E$41,2,FALSE)</f>
        <v/>
      </c>
      <c r="S600" s="36">
        <f>VLOOKUP($E600,Inputs!$A$6:$B$13,2,FALSE)*Inputs!$B$2</f>
        <v/>
      </c>
      <c r="T600" s="35">
        <f>$L600*$S600</f>
        <v/>
      </c>
      <c r="U600" s="35">
        <f>$L600+$T600</f>
        <v/>
      </c>
    </row>
    <row r="601">
      <c r="A601" s="3" t="inlineStr">
        <is>
          <t>PKG-22::L-015</t>
        </is>
      </c>
      <c r="B601" s="3" t="inlineStr">
        <is>
          <t>PKG-22</t>
        </is>
      </c>
      <c r="C601" s="3" t="inlineStr">
        <is>
          <t>DEL-22.01</t>
        </is>
      </c>
      <c r="D601" s="3" t="inlineStr">
        <is>
          <t>L-015</t>
        </is>
      </c>
      <c r="E601" s="3" t="inlineStr">
        <is>
          <t>CD</t>
        </is>
      </c>
      <c r="F601" s="3" t="inlineStr">
        <is>
          <t>PKG-22</t>
        </is>
      </c>
      <c r="G601" s="3" t="inlineStr">
        <is>
          <t>DEL-22.01</t>
        </is>
      </c>
      <c r="H601" s="3" t="inlineStr">
        <is>
          <t>Interior finishes installation</t>
        </is>
      </c>
      <c r="I601" s="22" t="n">
        <v>1</v>
      </c>
      <c r="J601" s="3" t="inlineStr">
        <is>
          <t>LS</t>
        </is>
      </c>
      <c r="K601" s="39" t="n">
        <v>92000</v>
      </c>
      <c r="L601" s="35" t="n">
        <v>92000</v>
      </c>
      <c r="M601" s="3" t="inlineStr">
        <is>
          <t>CAD</t>
        </is>
      </c>
      <c r="N601" s="3" t="inlineStr">
        <is>
          <t>ALLOWANCE</t>
        </is>
      </c>
      <c r="O601" s="3" t="inlineStr">
        <is>
          <t>A-005 + A-010 + A-011</t>
        </is>
      </c>
      <c r="P601" s="3" t="inlineStr">
        <is>
          <t>LOW</t>
        </is>
      </c>
      <c r="Q601" s="3" t="inlineStr">
        <is>
          <t>Flooring installation (300 m² sealed concrete or epoxy); wall finish installation (150-200 m² drywall or panels); ceiling installation (suspended tile or exposed finish); trim installation; surface preparation; cleanup</t>
        </is>
      </c>
      <c r="R601" s="3">
        <f>VLOOKUP($F601,Inputs!$D$6:$E$41,2,FALSE)</f>
        <v/>
      </c>
      <c r="S601" s="36">
        <f>VLOOKUP($E601,Inputs!$A$6:$B$13,2,FALSE)*Inputs!$B$2</f>
        <v/>
      </c>
      <c r="T601" s="35">
        <f>$L601*$S601</f>
        <v/>
      </c>
      <c r="U601" s="35">
        <f>$L601+$T601</f>
        <v/>
      </c>
    </row>
    <row r="602">
      <c r="A602" s="3" t="inlineStr">
        <is>
          <t>PKG-22::L-016</t>
        </is>
      </c>
      <c r="B602" s="3" t="inlineStr">
        <is>
          <t>PKG-22</t>
        </is>
      </c>
      <c r="C602" s="3" t="n"/>
      <c r="D602" s="3" t="inlineStr">
        <is>
          <t>L-016</t>
        </is>
      </c>
      <c r="E602" s="3" t="inlineStr">
        <is>
          <t>CI</t>
        </is>
      </c>
      <c r="F602" s="3" t="inlineStr">
        <is>
          <t>PKG-22</t>
        </is>
      </c>
      <c r="G602" s="3" t="n"/>
      <c r="H602" s="3" t="inlineStr">
        <is>
          <t>Construction Indirects (factor-based)</t>
        </is>
      </c>
      <c r="I602" s="22" t="n">
        <v>1</v>
      </c>
      <c r="J602" s="3" t="inlineStr">
        <is>
          <t>LS</t>
        </is>
      </c>
      <c r="K602" s="39" t="n">
        <v>114000</v>
      </c>
      <c r="L602" s="35" t="n">
        <v>114000</v>
      </c>
      <c r="M602" s="3" t="inlineStr">
        <is>
          <t>CAD</t>
        </is>
      </c>
      <c r="N602" s="3" t="inlineStr">
        <is>
          <t>PARAMETRIC</t>
        </is>
      </c>
      <c r="O602" s="3" t="inlineStr">
        <is>
          <t>D-009 (factor=0.18)</t>
        </is>
      </c>
      <c r="P602" s="3" t="inlineStr">
        <is>
          <t>MEDIUM</t>
        </is>
      </c>
      <c r="Q602" s="3" t="inlineStr">
        <is>
          <t>CI = 0.18 × CD ($632k); includes site supervision; temporary facilities; HSE; QA/QC field inspection; construction management; small tools; per fallback typical model</t>
        </is>
      </c>
      <c r="R602" s="3">
        <f>VLOOKUP($F602,Inputs!$D$6:$E$41,2,FALSE)</f>
        <v/>
      </c>
      <c r="S602" s="36">
        <f>VLOOKUP($E602,Inputs!$A$6:$B$13,2,FALSE)*Inputs!$B$2</f>
        <v/>
      </c>
      <c r="T602" s="35">
        <f>$L602*$S602</f>
        <v/>
      </c>
      <c r="U602" s="35">
        <f>$L602+$T602</f>
        <v/>
      </c>
    </row>
    <row r="603">
      <c r="A603" s="3" t="inlineStr">
        <is>
          <t>PKG-22::L-017</t>
        </is>
      </c>
      <c r="B603" s="3" t="inlineStr">
        <is>
          <t>PKG-22</t>
        </is>
      </c>
      <c r="C603" s="3" t="n"/>
      <c r="D603" s="3" t="inlineStr">
        <is>
          <t>L-017</t>
        </is>
      </c>
      <c r="E603" s="3" t="inlineStr">
        <is>
          <t>P</t>
        </is>
      </c>
      <c r="F603" s="3" t="inlineStr">
        <is>
          <t>PKG-22</t>
        </is>
      </c>
      <c r="G603" s="3" t="n"/>
      <c r="H603" s="3" t="inlineStr">
        <is>
          <t>Procurement Services (factor-based)</t>
        </is>
      </c>
      <c r="I603" s="22" t="n">
        <v>1</v>
      </c>
      <c r="J603" s="3" t="inlineStr">
        <is>
          <t>LS</t>
        </is>
      </c>
      <c r="K603" s="39" t="n">
        <v>14000</v>
      </c>
      <c r="L603" s="35" t="n">
        <v>14000</v>
      </c>
      <c r="M603" s="3" t="inlineStr">
        <is>
          <t>CAD</t>
        </is>
      </c>
      <c r="N603" s="3" t="inlineStr">
        <is>
          <t>PARAMETRIC</t>
        </is>
      </c>
      <c r="O603" s="3" t="inlineStr">
        <is>
          <t>D-009 (factor=0.02)</t>
        </is>
      </c>
      <c r="P603" s="3" t="inlineStr">
        <is>
          <t>MEDIUM</t>
        </is>
      </c>
      <c r="Q603" s="3" t="inlineStr">
        <is>
          <t>P = 0.02 × MAT ($675k); includes material sourcing; PO processing; vendor coordination; expediting; receiving inspection; material documentation; per fallback typical model</t>
        </is>
      </c>
      <c r="R603" s="3">
        <f>VLOOKUP($F603,Inputs!$D$6:$E$41,2,FALSE)</f>
        <v/>
      </c>
      <c r="S603" s="36">
        <f>VLOOKUP($E603,Inputs!$A$6:$B$13,2,FALSE)*Inputs!$B$2</f>
        <v/>
      </c>
      <c r="T603" s="35">
        <f>$L603*$S603</f>
        <v/>
      </c>
      <c r="U603" s="35">
        <f>$L603+$T603</f>
        <v/>
      </c>
    </row>
    <row r="604">
      <c r="A604" s="3" t="inlineStr">
        <is>
          <t>PKG-22::L-018</t>
        </is>
      </c>
      <c r="B604" s="3" t="inlineStr">
        <is>
          <t>PKG-22</t>
        </is>
      </c>
      <c r="C604" s="3" t="n"/>
      <c r="D604" s="3" t="inlineStr">
        <is>
          <t>L-018</t>
        </is>
      </c>
      <c r="E604" s="3" t="inlineStr">
        <is>
          <t>PM</t>
        </is>
      </c>
      <c r="F604" s="3" t="inlineStr">
        <is>
          <t>PKG-22</t>
        </is>
      </c>
      <c r="G604" s="3" t="n"/>
      <c r="H604" s="3" t="inlineStr">
        <is>
          <t>EPCM/Project Management (factor-based)</t>
        </is>
      </c>
      <c r="I604" s="22" t="n">
        <v>1</v>
      </c>
      <c r="J604" s="3" t="inlineStr">
        <is>
          <t>LS</t>
        </is>
      </c>
      <c r="K604" s="39" t="n">
        <v>85000</v>
      </c>
      <c r="L604" s="35" t="n">
        <v>85000</v>
      </c>
      <c r="M604" s="3" t="inlineStr">
        <is>
          <t>CAD</t>
        </is>
      </c>
      <c r="N604" s="3" t="inlineStr">
        <is>
          <t>PARAMETRIC</t>
        </is>
      </c>
      <c r="O604" s="3" t="inlineStr">
        <is>
          <t>D-009 (factor=0.06)</t>
        </is>
      </c>
      <c r="P604" s="3" t="inlineStr">
        <is>
          <t>MEDIUM</t>
        </is>
      </c>
      <c r="Q604" s="3" t="inlineStr">
        <is>
          <t>PM = 0.06 × (CD + CI + MAT) ($1421k); includes project management; engineering management; schedule/cost control; contract administration; stakeholder coordination; per fallback typical model</t>
        </is>
      </c>
      <c r="R604" s="3">
        <f>VLOOKUP($F604,Inputs!$D$6:$E$41,2,FALSE)</f>
        <v/>
      </c>
      <c r="S604" s="36">
        <f>VLOOKUP($E604,Inputs!$A$6:$B$13,2,FALSE)*Inputs!$B$2</f>
        <v/>
      </c>
      <c r="T604" s="35">
        <f>$L604*$S604</f>
        <v/>
      </c>
      <c r="U604" s="35">
        <f>$L604+$T604</f>
        <v/>
      </c>
    </row>
    <row r="605">
      <c r="A605" s="3" t="inlineStr">
        <is>
          <t>PKG-22::L-019</t>
        </is>
      </c>
      <c r="B605" s="3" t="inlineStr">
        <is>
          <t>PKG-22</t>
        </is>
      </c>
      <c r="C605" s="3" t="n"/>
      <c r="D605" s="3" t="inlineStr">
        <is>
          <t>L-019</t>
        </is>
      </c>
      <c r="E605" s="3" t="inlineStr">
        <is>
          <t>COM</t>
        </is>
      </c>
      <c r="F605" s="3" t="inlineStr">
        <is>
          <t>PKG-22</t>
        </is>
      </c>
      <c r="G605" s="3" t="n"/>
      <c r="H605" s="3" t="inlineStr">
        <is>
          <t>Commissioning (factor-based)</t>
        </is>
      </c>
      <c r="I605" s="22" t="n">
        <v>1</v>
      </c>
      <c r="J605" s="3" t="inlineStr">
        <is>
          <t>LS</t>
        </is>
      </c>
      <c r="K605" s="39" t="n">
        <v>43000</v>
      </c>
      <c r="L605" s="35" t="n">
        <v>43000</v>
      </c>
      <c r="M605" s="3" t="inlineStr">
        <is>
          <t>CAD</t>
        </is>
      </c>
      <c r="N605" s="3" t="inlineStr">
        <is>
          <t>PARAMETRIC</t>
        </is>
      </c>
      <c r="O605" s="3" t="inlineStr">
        <is>
          <t>D-009 + A-013 (factor=0.03)</t>
        </is>
      </c>
      <c r="P605" s="3" t="inlineStr">
        <is>
          <t>MEDIUM</t>
        </is>
      </c>
      <c r="Q605" s="3" t="inlineStr">
        <is>
          <t>COM = 0.03 × (CD + CI + MAT) ($1421k); includes HVAC TAB; plumbing pressure testing; fire sprinkler hydrostatic/flow testing per NFPA 13; electrical testing; functional performance testing; owner training; per fallback typical model</t>
        </is>
      </c>
      <c r="R605" s="3">
        <f>VLOOKUP($F605,Inputs!$D$6:$E$41,2,FALSE)</f>
        <v/>
      </c>
      <c r="S605" s="36">
        <f>VLOOKUP($E605,Inputs!$A$6:$B$13,2,FALSE)*Inputs!$B$2</f>
        <v/>
      </c>
      <c r="T605" s="35">
        <f>$L605*$S605</f>
        <v/>
      </c>
      <c r="U605" s="35">
        <f>$L605+$T605</f>
        <v/>
      </c>
    </row>
    <row r="606">
      <c r="A606" s="3" t="inlineStr">
        <is>
          <t>PKG-23::L-001</t>
        </is>
      </c>
      <c r="B606" s="3" t="inlineStr">
        <is>
          <t>PKG-23</t>
        </is>
      </c>
      <c r="C606" s="3" t="inlineStr">
        <is>
          <t>DEL-23.01</t>
        </is>
      </c>
      <c r="D606" s="3" t="inlineStr">
        <is>
          <t>L-001</t>
        </is>
      </c>
      <c r="E606" s="3" t="inlineStr">
        <is>
          <t>E</t>
        </is>
      </c>
      <c r="F606" s="3" t="inlineStr">
        <is>
          <t>PKG-23</t>
        </is>
      </c>
      <c r="G606" s="3" t="inlineStr">
        <is>
          <t>DEL-23.01</t>
        </is>
      </c>
      <c r="H606" s="3" t="inlineStr">
        <is>
          <t>Fire protection engineering design - Fire Protection Design Drawing Set</t>
        </is>
      </c>
      <c r="I606" s="22" t="n">
        <v>1</v>
      </c>
      <c r="J606" s="3" t="inlineStr">
        <is>
          <t>LS</t>
        </is>
      </c>
      <c r="K606" s="39" t="n">
        <v>55000</v>
      </c>
      <c r="L606" s="35" t="n">
        <v>55000</v>
      </c>
      <c r="M606" s="3" t="inlineStr">
        <is>
          <t>CAD</t>
        </is>
      </c>
      <c r="N606" s="3" t="inlineStr">
        <is>
          <t>ALLOWANCE</t>
        </is>
      </c>
      <c r="O606" s="3" t="inlineStr">
        <is>
          <t>A-012</t>
        </is>
      </c>
      <c r="P606" s="3" t="inlineStr">
        <is>
          <t>LOW</t>
        </is>
      </c>
      <c r="Q606" s="3" t="inlineStr">
        <is>
          <t>Fire water loop layout; hydrant locations; fire alarm system drawings; foam system layouts; typical 8-12 sheets</t>
        </is>
      </c>
      <c r="R606" s="3">
        <f>VLOOKUP($F606,Inputs!$D$6:$E$41,2,FALSE)</f>
        <v/>
      </c>
      <c r="S606" s="36">
        <f>VLOOKUP($E606,Inputs!$A$6:$B$13,2,FALSE)*Inputs!$B$2</f>
        <v/>
      </c>
      <c r="T606" s="35">
        <f>$L606*$S606</f>
        <v/>
      </c>
      <c r="U606" s="35">
        <f>$L606+$T606</f>
        <v/>
      </c>
    </row>
    <row r="607">
      <c r="A607" s="3" t="inlineStr">
        <is>
          <t>PKG-23::L-002</t>
        </is>
      </c>
      <c r="B607" s="3" t="inlineStr">
        <is>
          <t>PKG-23</t>
        </is>
      </c>
      <c r="C607" s="3" t="inlineStr">
        <is>
          <t>DEL-23.02</t>
        </is>
      </c>
      <c r="D607" s="3" t="inlineStr">
        <is>
          <t>L-002</t>
        </is>
      </c>
      <c r="E607" s="3" t="inlineStr">
        <is>
          <t>E</t>
        </is>
      </c>
      <c r="F607" s="3" t="inlineStr">
        <is>
          <t>PKG-23</t>
        </is>
      </c>
      <c r="G607" s="3" t="inlineStr">
        <is>
          <t>DEL-23.02</t>
        </is>
      </c>
      <c r="H607" s="3" t="inlineStr">
        <is>
          <t>Fire protection engineering design - Fire Protection Technical Specification</t>
        </is>
      </c>
      <c r="I607" s="22" t="n">
        <v>1</v>
      </c>
      <c r="J607" s="3" t="inlineStr">
        <is>
          <t>LS</t>
        </is>
      </c>
      <c r="K607" s="39" t="n">
        <v>40000</v>
      </c>
      <c r="L607" s="35" t="n">
        <v>40000</v>
      </c>
      <c r="M607" s="3" t="inlineStr">
        <is>
          <t>CAD</t>
        </is>
      </c>
      <c r="N607" s="3" t="inlineStr">
        <is>
          <t>ALLOWANCE</t>
        </is>
      </c>
      <c r="O607" s="3" t="inlineStr">
        <is>
          <t>A-012</t>
        </is>
      </c>
      <c r="P607" s="3" t="inlineStr">
        <is>
          <t>LOW</t>
        </is>
      </c>
      <c r="Q607" s="3" t="inlineStr">
        <is>
          <t>Fire water piping spec; fire hydrant spec; fire alarm spec; foam system spec; NFPA 30/24/72/11 compliance</t>
        </is>
      </c>
      <c r="R607" s="3">
        <f>VLOOKUP($F607,Inputs!$D$6:$E$41,2,FALSE)</f>
        <v/>
      </c>
      <c r="S607" s="36">
        <f>VLOOKUP($E607,Inputs!$A$6:$B$13,2,FALSE)*Inputs!$B$2</f>
        <v/>
      </c>
      <c r="T607" s="35">
        <f>$L607*$S607</f>
        <v/>
      </c>
      <c r="U607" s="35">
        <f>$L607+$T607</f>
        <v/>
      </c>
    </row>
    <row r="608">
      <c r="A608" s="3" t="inlineStr">
        <is>
          <t>PKG-23::L-003</t>
        </is>
      </c>
      <c r="B608" s="3" t="inlineStr">
        <is>
          <t>PKG-23</t>
        </is>
      </c>
      <c r="C608" s="3" t="inlineStr">
        <is>
          <t>DEL-23.03</t>
        </is>
      </c>
      <c r="D608" s="3" t="inlineStr">
        <is>
          <t>L-003</t>
        </is>
      </c>
      <c r="E608" s="3" t="inlineStr">
        <is>
          <t>E</t>
        </is>
      </c>
      <c r="F608" s="3" t="inlineStr">
        <is>
          <t>PKG-23</t>
        </is>
      </c>
      <c r="G608" s="3" t="inlineStr">
        <is>
          <t>DEL-23.03</t>
        </is>
      </c>
      <c r="H608" s="3" t="inlineStr">
        <is>
          <t>Fire protection engineering design - Fire Protection Design Calculations</t>
        </is>
      </c>
      <c r="I608" s="22" t="n">
        <v>1</v>
      </c>
      <c r="J608" s="3" t="inlineStr">
        <is>
          <t>LS</t>
        </is>
      </c>
      <c r="K608" s="39" t="n">
        <v>50000</v>
      </c>
      <c r="L608" s="35" t="n">
        <v>50000</v>
      </c>
      <c r="M608" s="3" t="inlineStr">
        <is>
          <t>CAD</t>
        </is>
      </c>
      <c r="N608" s="3" t="inlineStr">
        <is>
          <t>ALLOWANCE</t>
        </is>
      </c>
      <c r="O608" s="3" t="inlineStr">
        <is>
          <t>A-012</t>
        </is>
      </c>
      <c r="P608" s="3" t="inlineStr">
        <is>
          <t>LOW</t>
        </is>
      </c>
      <c r="Q608" s="3" t="inlineStr">
        <is>
          <t>Fire water demand calcs per NFPA 30; hydraulic calcs per NFPA 24; foam system sizing per NFPA 11/16</t>
        </is>
      </c>
      <c r="R608" s="3">
        <f>VLOOKUP($F608,Inputs!$D$6:$E$41,2,FALSE)</f>
        <v/>
      </c>
      <c r="S608" s="36">
        <f>VLOOKUP($E608,Inputs!$A$6:$B$13,2,FALSE)*Inputs!$B$2</f>
        <v/>
      </c>
      <c r="T608" s="35">
        <f>$L608*$S608</f>
        <v/>
      </c>
      <c r="U608" s="35">
        <f>$L608+$T608</f>
        <v/>
      </c>
    </row>
    <row r="609">
      <c r="A609" s="3" t="inlineStr">
        <is>
          <t>PKG-23::L-004</t>
        </is>
      </c>
      <c r="B609" s="3" t="inlineStr">
        <is>
          <t>PKG-23</t>
        </is>
      </c>
      <c r="C609" s="3" t="inlineStr">
        <is>
          <t>DEL-23.04</t>
        </is>
      </c>
      <c r="D609" s="3" t="inlineStr">
        <is>
          <t>L-004</t>
        </is>
      </c>
      <c r="E609" s="3" t="inlineStr">
        <is>
          <t>E</t>
        </is>
      </c>
      <c r="F609" s="3" t="inlineStr">
        <is>
          <t>PKG-23</t>
        </is>
      </c>
      <c r="G609" s="3" t="inlineStr">
        <is>
          <t>DEL-23.04</t>
        </is>
      </c>
      <c r="H609" s="3" t="inlineStr">
        <is>
          <t>Fire protection engineering design - Fire Protection Data Sheet Package</t>
        </is>
      </c>
      <c r="I609" s="22" t="n">
        <v>1</v>
      </c>
      <c r="J609" s="3" t="inlineStr">
        <is>
          <t>LS</t>
        </is>
      </c>
      <c r="K609" s="39" t="n">
        <v>30000</v>
      </c>
      <c r="L609" s="35" t="n">
        <v>30000</v>
      </c>
      <c r="M609" s="3" t="inlineStr">
        <is>
          <t>CAD</t>
        </is>
      </c>
      <c r="N609" s="3" t="inlineStr">
        <is>
          <t>ALLOWANCE</t>
        </is>
      </c>
      <c r="O609" s="3" t="inlineStr">
        <is>
          <t>A-012</t>
        </is>
      </c>
      <c r="P609" s="3" t="inlineStr">
        <is>
          <t>LOW</t>
        </is>
      </c>
      <c r="Q609" s="3" t="inlineStr">
        <is>
          <t>Fire hydrant data sheets (8-12); fire alarm panel data sheet; foam equipment data sheets</t>
        </is>
      </c>
      <c r="R609" s="3">
        <f>VLOOKUP($F609,Inputs!$D$6:$E$41,2,FALSE)</f>
        <v/>
      </c>
      <c r="S609" s="36">
        <f>VLOOKUP($E609,Inputs!$A$6:$B$13,2,FALSE)*Inputs!$B$2</f>
        <v/>
      </c>
      <c r="T609" s="35">
        <f>$L609*$S609</f>
        <v/>
      </c>
      <c r="U609" s="35">
        <f>$L609+$T609</f>
        <v/>
      </c>
    </row>
    <row r="610">
      <c r="A610" s="3" t="inlineStr">
        <is>
          <t>PKG-23::L-005</t>
        </is>
      </c>
      <c r="B610" s="3" t="inlineStr">
        <is>
          <t>PKG-23</t>
        </is>
      </c>
      <c r="C610" s="3" t="inlineStr">
        <is>
          <t>DEL-23.01</t>
        </is>
      </c>
      <c r="D610" s="3" t="inlineStr">
        <is>
          <t>L-005</t>
        </is>
      </c>
      <c r="E610" s="3" t="inlineStr">
        <is>
          <t>MAT</t>
        </is>
      </c>
      <c r="F610" s="3" t="inlineStr">
        <is>
          <t>PKG-23</t>
        </is>
      </c>
      <c r="G610" s="3" t="inlineStr">
        <is>
          <t>DEL-23.01</t>
        </is>
      </c>
      <c r="H610" s="3" t="inlineStr">
        <is>
          <t>Fire water piping - underground ductile iron</t>
        </is>
      </c>
      <c r="I610" s="22" t="n">
        <v>1</v>
      </c>
      <c r="J610" s="3" t="inlineStr">
        <is>
          <t>LS</t>
        </is>
      </c>
      <c r="K610" s="39" t="n">
        <v>165000</v>
      </c>
      <c r="L610" s="35" t="n">
        <v>165000</v>
      </c>
      <c r="M610" s="3" t="inlineStr">
        <is>
          <t>CAD</t>
        </is>
      </c>
      <c r="N610" s="3" t="inlineStr">
        <is>
          <t>ALLOWANCE</t>
        </is>
      </c>
      <c r="O610" s="3" t="inlineStr">
        <is>
          <t>A-001 + A-009</t>
        </is>
      </c>
      <c r="P610" s="3" t="inlineStr">
        <is>
          <t>LOW</t>
        </is>
      </c>
      <c r="Q610" s="3" t="inlineStr">
        <is>
          <t>Ductile iron pipe DN150-DN300 (500-800 LM) with cement-mortar lining; polyethylene wrap; fittings; valve boxes; per AWWA C151</t>
        </is>
      </c>
      <c r="R610" s="3">
        <f>VLOOKUP($F610,Inputs!$D$6:$E$41,2,FALSE)</f>
        <v/>
      </c>
      <c r="S610" s="36">
        <f>VLOOKUP($E610,Inputs!$A$6:$B$13,2,FALSE)*Inputs!$B$2</f>
        <v/>
      </c>
      <c r="T610" s="35">
        <f>$L610*$S610</f>
        <v/>
      </c>
      <c r="U610" s="35">
        <f>$L610+$T610</f>
        <v/>
      </c>
    </row>
    <row r="611">
      <c r="A611" s="3" t="inlineStr">
        <is>
          <t>PKG-23::L-006</t>
        </is>
      </c>
      <c r="B611" s="3" t="inlineStr">
        <is>
          <t>PKG-23</t>
        </is>
      </c>
      <c r="C611" s="3" t="inlineStr">
        <is>
          <t>DEL-23.01</t>
        </is>
      </c>
      <c r="D611" s="3" t="inlineStr">
        <is>
          <t>L-006</t>
        </is>
      </c>
      <c r="E611" s="3" t="inlineStr">
        <is>
          <t>MAT</t>
        </is>
      </c>
      <c r="F611" s="3" t="inlineStr">
        <is>
          <t>PKG-23</t>
        </is>
      </c>
      <c r="G611" s="3" t="inlineStr">
        <is>
          <t>DEL-23.01</t>
        </is>
      </c>
      <c r="H611" s="3" t="inlineStr">
        <is>
          <t>Fire water piping - above-ground steel</t>
        </is>
      </c>
      <c r="I611" s="22" t="n">
        <v>1</v>
      </c>
      <c r="J611" s="3" t="inlineStr">
        <is>
          <t>LS</t>
        </is>
      </c>
      <c r="K611" s="39" t="n">
        <v>65000</v>
      </c>
      <c r="L611" s="35" t="n">
        <v>65000</v>
      </c>
      <c r="M611" s="3" t="inlineStr">
        <is>
          <t>CAD</t>
        </is>
      </c>
      <c r="N611" s="3" t="inlineStr">
        <is>
          <t>ALLOWANCE</t>
        </is>
      </c>
      <c r="O611" s="3" t="inlineStr">
        <is>
          <t>A-001 + A-009</t>
        </is>
      </c>
      <c r="P611" s="3" t="inlineStr">
        <is>
          <t>LOW</t>
        </is>
      </c>
      <c r="Q611" s="3" t="inlineStr">
        <is>
          <t>Steel pipe Schedule 40 DN100-DN200 (200-400 LM); fittings; supports; fire protection paint; per ASTM A53</t>
        </is>
      </c>
      <c r="R611" s="3">
        <f>VLOOKUP($F611,Inputs!$D$6:$E$41,2,FALSE)</f>
        <v/>
      </c>
      <c r="S611" s="36">
        <f>VLOOKUP($E611,Inputs!$A$6:$B$13,2,FALSE)*Inputs!$B$2</f>
        <v/>
      </c>
      <c r="T611" s="35">
        <f>$L611*$S611</f>
        <v/>
      </c>
      <c r="U611" s="35">
        <f>$L611+$T611</f>
        <v/>
      </c>
    </row>
    <row r="612">
      <c r="A612" s="3" t="inlineStr">
        <is>
          <t>PKG-23::L-007</t>
        </is>
      </c>
      <c r="B612" s="3" t="inlineStr">
        <is>
          <t>PKG-23</t>
        </is>
      </c>
      <c r="C612" s="3" t="inlineStr">
        <is>
          <t>DEL-23.04</t>
        </is>
      </c>
      <c r="D612" s="3" t="inlineStr">
        <is>
          <t>L-007</t>
        </is>
      </c>
      <c r="E612" s="3" t="inlineStr">
        <is>
          <t>MAT</t>
        </is>
      </c>
      <c r="F612" s="3" t="inlineStr">
        <is>
          <t>PKG-23</t>
        </is>
      </c>
      <c r="G612" s="3" t="inlineStr">
        <is>
          <t>DEL-23.04</t>
        </is>
      </c>
      <c r="H612" s="3" t="inlineStr">
        <is>
          <t>Fire hydrants and accessories</t>
        </is>
      </c>
      <c r="I612" s="22" t="n">
        <v>1</v>
      </c>
      <c r="J612" s="3" t="inlineStr">
        <is>
          <t>LS</t>
        </is>
      </c>
      <c r="K612" s="39" t="n">
        <v>120000</v>
      </c>
      <c r="L612" s="35" t="n">
        <v>120000</v>
      </c>
      <c r="M612" s="3" t="inlineStr">
        <is>
          <t>CAD</t>
        </is>
      </c>
      <c r="N612" s="3" t="inlineStr">
        <is>
          <t>ALLOWANCE</t>
        </is>
      </c>
      <c r="O612" s="3" t="inlineStr">
        <is>
          <t>A-002 + A-009</t>
        </is>
      </c>
      <c r="P612" s="3" t="inlineStr">
        <is>
          <t>LOW</t>
        </is>
      </c>
      <c r="Q612" s="3" t="inlineStr">
        <is>
          <t>Dry-barrel fire hydrants (8-12 units) rated -40C; 2x2.5in + 1x4.5in outlets; valve boxes; FDC (2 units); hose bibs</t>
        </is>
      </c>
      <c r="R612" s="3">
        <f>VLOOKUP($F612,Inputs!$D$6:$E$41,2,FALSE)</f>
        <v/>
      </c>
      <c r="S612" s="36">
        <f>VLOOKUP($E612,Inputs!$A$6:$B$13,2,FALSE)*Inputs!$B$2</f>
        <v/>
      </c>
      <c r="T612" s="35">
        <f>$L612*$S612</f>
        <v/>
      </c>
      <c r="U612" s="35">
        <f>$L612+$T612</f>
        <v/>
      </c>
    </row>
    <row r="613">
      <c r="A613" s="3" t="inlineStr">
        <is>
          <t>PKG-23::L-008</t>
        </is>
      </c>
      <c r="B613" s="3" t="inlineStr">
        <is>
          <t>PKG-23</t>
        </is>
      </c>
      <c r="C613" s="3" t="inlineStr">
        <is>
          <t>DEL-23.01</t>
        </is>
      </c>
      <c r="D613" s="3" t="inlineStr">
        <is>
          <t>L-008</t>
        </is>
      </c>
      <c r="E613" s="3" t="inlineStr">
        <is>
          <t>MAT</t>
        </is>
      </c>
      <c r="F613" s="3" t="inlineStr">
        <is>
          <t>PKG-23</t>
        </is>
      </c>
      <c r="G613" s="3" t="inlineStr">
        <is>
          <t>DEL-23.01</t>
        </is>
      </c>
      <c r="H613" s="3" t="inlineStr">
        <is>
          <t>Fire water valves and fittings</t>
        </is>
      </c>
      <c r="I613" s="22" t="n">
        <v>1</v>
      </c>
      <c r="J613" s="3" t="inlineStr">
        <is>
          <t>LS</t>
        </is>
      </c>
      <c r="K613" s="39" t="n">
        <v>55000</v>
      </c>
      <c r="L613" s="35" t="n">
        <v>55000</v>
      </c>
      <c r="M613" s="3" t="inlineStr">
        <is>
          <t>CAD</t>
        </is>
      </c>
      <c r="N613" s="3" t="inlineStr">
        <is>
          <t>ALLOWANCE</t>
        </is>
      </c>
      <c r="O613" s="3" t="inlineStr">
        <is>
          <t>A-003 + A-009</t>
        </is>
      </c>
      <c r="P613" s="3" t="inlineStr">
        <is>
          <t>LOW</t>
        </is>
      </c>
      <c r="Q613" s="3" t="inlineStr">
        <is>
          <t>Gate valves OS&amp;Y (12-18); PIV valves (4-6); check valves (2-4); valve markers; fittings per AWWA C509</t>
        </is>
      </c>
      <c r="R613" s="3">
        <f>VLOOKUP($F613,Inputs!$D$6:$E$41,2,FALSE)</f>
        <v/>
      </c>
      <c r="S613" s="36">
        <f>VLOOKUP($E613,Inputs!$A$6:$B$13,2,FALSE)*Inputs!$B$2</f>
        <v/>
      </c>
      <c r="T613" s="35">
        <f>$L613*$S613</f>
        <v/>
      </c>
      <c r="U613" s="35">
        <f>$L613+$T613</f>
        <v/>
      </c>
    </row>
    <row r="614">
      <c r="A614" s="3" t="inlineStr">
        <is>
          <t>PKG-23::L-009</t>
        </is>
      </c>
      <c r="B614" s="3" t="inlineStr">
        <is>
          <t>PKG-23</t>
        </is>
      </c>
      <c r="C614" s="3" t="inlineStr">
        <is>
          <t>DEL-23.04</t>
        </is>
      </c>
      <c r="D614" s="3" t="inlineStr">
        <is>
          <t>L-009</t>
        </is>
      </c>
      <c r="E614" s="3" t="inlineStr">
        <is>
          <t>MAT</t>
        </is>
      </c>
      <c r="F614" s="3" t="inlineStr">
        <is>
          <t>PKG-23</t>
        </is>
      </c>
      <c r="G614" s="3" t="inlineStr">
        <is>
          <t>DEL-23.04</t>
        </is>
      </c>
      <c r="H614" s="3" t="inlineStr">
        <is>
          <t>Fire alarm control panel and equipment</t>
        </is>
      </c>
      <c r="I614" s="22" t="n">
        <v>1</v>
      </c>
      <c r="J614" s="3" t="inlineStr">
        <is>
          <t>LS</t>
        </is>
      </c>
      <c r="K614" s="39" t="n">
        <v>65000</v>
      </c>
      <c r="L614" s="35" t="n">
        <v>65000</v>
      </c>
      <c r="M614" s="3" t="inlineStr">
        <is>
          <t>CAD</t>
        </is>
      </c>
      <c r="N614" s="3" t="inlineStr">
        <is>
          <t>ALLOWANCE</t>
        </is>
      </c>
      <c r="O614" s="3" t="inlineStr">
        <is>
          <t>A-004 + A-010</t>
        </is>
      </c>
      <c r="P614" s="3" t="inlineStr">
        <is>
          <t>LOW</t>
        </is>
      </c>
      <c r="Q614" s="3" t="inlineStr">
        <is>
          <t>Addressable FACP per ULC-S527; network interface for DCS integration; battery backup; annunciator panels</t>
        </is>
      </c>
      <c r="R614" s="3">
        <f>VLOOKUP($F614,Inputs!$D$6:$E$41,2,FALSE)</f>
        <v/>
      </c>
      <c r="S614" s="36">
        <f>VLOOKUP($E614,Inputs!$A$6:$B$13,2,FALSE)*Inputs!$B$2</f>
        <v/>
      </c>
      <c r="T614" s="35">
        <f>$L614*$S614</f>
        <v/>
      </c>
      <c r="U614" s="35">
        <f>$L614+$T614</f>
        <v/>
      </c>
    </row>
    <row r="615">
      <c r="A615" s="3" t="inlineStr">
        <is>
          <t>PKG-23::L-010</t>
        </is>
      </c>
      <c r="B615" s="3" t="inlineStr">
        <is>
          <t>PKG-23</t>
        </is>
      </c>
      <c r="C615" s="3" t="inlineStr">
        <is>
          <t>DEL-23.04</t>
        </is>
      </c>
      <c r="D615" s="3" t="inlineStr">
        <is>
          <t>L-010</t>
        </is>
      </c>
      <c r="E615" s="3" t="inlineStr">
        <is>
          <t>MAT</t>
        </is>
      </c>
      <c r="F615" s="3" t="inlineStr">
        <is>
          <t>PKG-23</t>
        </is>
      </c>
      <c r="G615" s="3" t="inlineStr">
        <is>
          <t>DEL-23.04</t>
        </is>
      </c>
      <c r="H615" s="3" t="inlineStr">
        <is>
          <t>Fire detection devices</t>
        </is>
      </c>
      <c r="I615" s="22" t="n">
        <v>1</v>
      </c>
      <c r="J615" s="3" t="inlineStr">
        <is>
          <t>LS</t>
        </is>
      </c>
      <c r="K615" s="39" t="n">
        <v>85000</v>
      </c>
      <c r="L615" s="35" t="n">
        <v>85000</v>
      </c>
      <c r="M615" s="3" t="inlineStr">
        <is>
          <t>CAD</t>
        </is>
      </c>
      <c r="N615" s="3" t="inlineStr">
        <is>
          <t>ALLOWANCE</t>
        </is>
      </c>
      <c r="O615" s="3" t="inlineStr">
        <is>
          <t>A-005 + A-010</t>
        </is>
      </c>
      <c r="P615" s="3" t="inlineStr">
        <is>
          <t>LOW</t>
        </is>
      </c>
      <c r="Q615" s="3" t="inlineStr">
        <is>
          <t>Heat detectors (40-60); flame detectors UV/IR (15-25); smoke detectors (10-20); manual pull stations (20-30); per ULC standards</t>
        </is>
      </c>
      <c r="R615" s="3">
        <f>VLOOKUP($F615,Inputs!$D$6:$E$41,2,FALSE)</f>
        <v/>
      </c>
      <c r="S615" s="36">
        <f>VLOOKUP($E615,Inputs!$A$6:$B$13,2,FALSE)*Inputs!$B$2</f>
        <v/>
      </c>
      <c r="T615" s="35">
        <f>$L615*$S615</f>
        <v/>
      </c>
      <c r="U615" s="35">
        <f>$L615+$T615</f>
        <v/>
      </c>
    </row>
    <row r="616">
      <c r="A616" s="3" t="inlineStr">
        <is>
          <t>PKG-23::L-011</t>
        </is>
      </c>
      <c r="B616" s="3" t="inlineStr">
        <is>
          <t>PKG-23</t>
        </is>
      </c>
      <c r="C616" s="3" t="inlineStr">
        <is>
          <t>DEL-23.01</t>
        </is>
      </c>
      <c r="D616" s="3" t="inlineStr">
        <is>
          <t>L-011</t>
        </is>
      </c>
      <c r="E616" s="3" t="inlineStr">
        <is>
          <t>MAT</t>
        </is>
      </c>
      <c r="F616" s="3" t="inlineStr">
        <is>
          <t>PKG-23</t>
        </is>
      </c>
      <c r="G616" s="3" t="inlineStr">
        <is>
          <t>DEL-23.01</t>
        </is>
      </c>
      <c r="H616" s="3" t="inlineStr">
        <is>
          <t>Fire alarm notification and wiring</t>
        </is>
      </c>
      <c r="I616" s="22" t="n">
        <v>1</v>
      </c>
      <c r="J616" s="3" t="inlineStr">
        <is>
          <t>LS</t>
        </is>
      </c>
      <c r="K616" s="39" t="n">
        <v>65000</v>
      </c>
      <c r="L616" s="35" t="n">
        <v>65000</v>
      </c>
      <c r="M616" s="3" t="inlineStr">
        <is>
          <t>CAD</t>
        </is>
      </c>
      <c r="N616" s="3" t="inlineStr">
        <is>
          <t>ALLOWANCE</t>
        </is>
      </c>
      <c r="O616" s="3" t="inlineStr">
        <is>
          <t>A-005 + A-010</t>
        </is>
      </c>
      <c r="P616" s="3" t="inlineStr">
        <is>
          <t>LOW</t>
        </is>
      </c>
      <c r="Q616" s="3" t="inlineStr">
        <is>
          <t>Horn/strobes (40-60 devices); fire alarm cable per ULC-S139; conduit; junction boxes; weatherproof enclosures</t>
        </is>
      </c>
      <c r="R616" s="3">
        <f>VLOOKUP($F616,Inputs!$D$6:$E$41,2,FALSE)</f>
        <v/>
      </c>
      <c r="S616" s="36">
        <f>VLOOKUP($E616,Inputs!$A$6:$B$13,2,FALSE)*Inputs!$B$2</f>
        <v/>
      </c>
      <c r="T616" s="35">
        <f>$L616*$S616</f>
        <v/>
      </c>
      <c r="U616" s="35">
        <f>$L616+$T616</f>
        <v/>
      </c>
    </row>
    <row r="617">
      <c r="A617" s="3" t="inlineStr">
        <is>
          <t>PKG-23::L-012</t>
        </is>
      </c>
      <c r="B617" s="3" t="inlineStr">
        <is>
          <t>PKG-23</t>
        </is>
      </c>
      <c r="C617" s="3" t="inlineStr">
        <is>
          <t>DEL-23.04</t>
        </is>
      </c>
      <c r="D617" s="3" t="inlineStr">
        <is>
          <t>L-012</t>
        </is>
      </c>
      <c r="E617" s="3" t="inlineStr">
        <is>
          <t>MAT</t>
        </is>
      </c>
      <c r="F617" s="3" t="inlineStr">
        <is>
          <t>PKG-23</t>
        </is>
      </c>
      <c r="G617" s="3" t="inlineStr">
        <is>
          <t>DEL-23.04</t>
        </is>
      </c>
      <c r="H617" s="3" t="inlineStr">
        <is>
          <t>Foam concentrate storage and proportioning</t>
        </is>
      </c>
      <c r="I617" s="22" t="n">
        <v>1</v>
      </c>
      <c r="J617" s="3" t="inlineStr">
        <is>
          <t>LS</t>
        </is>
      </c>
      <c r="K617" s="39" t="n">
        <v>185000</v>
      </c>
      <c r="L617" s="35" t="n">
        <v>185000</v>
      </c>
      <c r="M617" s="3" t="inlineStr">
        <is>
          <t>CAD</t>
        </is>
      </c>
      <c r="N617" s="3" t="inlineStr">
        <is>
          <t>ALLOWANCE</t>
        </is>
      </c>
      <c r="O617" s="3" t="inlineStr">
        <is>
          <t>A-006 + A-011</t>
        </is>
      </c>
      <c r="P617" s="3" t="inlineStr">
        <is>
          <t>LOW</t>
        </is>
      </c>
      <c r="Q617" s="3" t="inlineStr">
        <is>
          <t>Foam concentrate tank (2000-4000 gal); bladder tank proportioner or balanced pressure system; foam concentrate (AR-AFFF 3%)</t>
        </is>
      </c>
      <c r="R617" s="3">
        <f>VLOOKUP($F617,Inputs!$D$6:$E$41,2,FALSE)</f>
        <v/>
      </c>
      <c r="S617" s="36">
        <f>VLOOKUP($E617,Inputs!$A$6:$B$13,2,FALSE)*Inputs!$B$2</f>
        <v/>
      </c>
      <c r="T617" s="35">
        <f>$L617*$S617</f>
        <v/>
      </c>
      <c r="U617" s="35">
        <f>$L617+$T617</f>
        <v/>
      </c>
    </row>
    <row r="618">
      <c r="A618" s="3" t="inlineStr">
        <is>
          <t>PKG-23::L-013</t>
        </is>
      </c>
      <c r="B618" s="3" t="inlineStr">
        <is>
          <t>PKG-23</t>
        </is>
      </c>
      <c r="C618" s="3" t="inlineStr">
        <is>
          <t>DEL-23.04</t>
        </is>
      </c>
      <c r="D618" s="3" t="inlineStr">
        <is>
          <t>L-013</t>
        </is>
      </c>
      <c r="E618" s="3" t="inlineStr">
        <is>
          <t>MAT</t>
        </is>
      </c>
      <c r="F618" s="3" t="inlineStr">
        <is>
          <t>PKG-23</t>
        </is>
      </c>
      <c r="G618" s="3" t="inlineStr">
        <is>
          <t>DEL-23.04</t>
        </is>
      </c>
      <c r="H618" s="3" t="inlineStr">
        <is>
          <t>Tank foam discharge systems</t>
        </is>
      </c>
      <c r="I618" s="22" t="n">
        <v>1</v>
      </c>
      <c r="J618" s="3" t="inlineStr">
        <is>
          <t>LS</t>
        </is>
      </c>
      <c r="K618" s="39" t="n">
        <v>145000</v>
      </c>
      <c r="L618" s="35" t="n">
        <v>145000</v>
      </c>
      <c r="M618" s="3" t="inlineStr">
        <is>
          <t>CAD</t>
        </is>
      </c>
      <c r="N618" s="3" t="inlineStr">
        <is>
          <t>ALLOWANCE</t>
        </is>
      </c>
      <c r="O618" s="3" t="inlineStr">
        <is>
          <t>A-007 + A-011</t>
        </is>
      </c>
      <c r="P618" s="3" t="inlineStr">
        <is>
          <t>LOW</t>
        </is>
      </c>
      <c r="Q618" s="3" t="inlineStr">
        <is>
          <t>Foam chambers or foam makers for 3 x 15000 MT tanks; foam piping to tanks; control valves; per NFPA 11</t>
        </is>
      </c>
      <c r="R618" s="3">
        <f>VLOOKUP($F618,Inputs!$D$6:$E$41,2,FALSE)</f>
        <v/>
      </c>
      <c r="S618" s="36">
        <f>VLOOKUP($E618,Inputs!$A$6:$B$13,2,FALSE)*Inputs!$B$2</f>
        <v/>
      </c>
      <c r="T618" s="35">
        <f>$L618*$S618</f>
        <v/>
      </c>
      <c r="U618" s="35">
        <f>$L618+$T618</f>
        <v/>
      </c>
    </row>
    <row r="619">
      <c r="A619" s="3" t="inlineStr">
        <is>
          <t>PKG-23::L-014</t>
        </is>
      </c>
      <c r="B619" s="3" t="inlineStr">
        <is>
          <t>PKG-23</t>
        </is>
      </c>
      <c r="C619" s="3" t="inlineStr">
        <is>
          <t>DEL-23.04</t>
        </is>
      </c>
      <c r="D619" s="3" t="inlineStr">
        <is>
          <t>L-014</t>
        </is>
      </c>
      <c r="E619" s="3" t="inlineStr">
        <is>
          <t>MAT</t>
        </is>
      </c>
      <c r="F619" s="3" t="inlineStr">
        <is>
          <t>PKG-23</t>
        </is>
      </c>
      <c r="G619" s="3" t="inlineStr">
        <is>
          <t>DEL-23.04</t>
        </is>
      </c>
      <c r="H619" s="3" t="inlineStr">
        <is>
          <t>Marine loading foam system</t>
        </is>
      </c>
      <c r="I619" s="22" t="n">
        <v>1</v>
      </c>
      <c r="J619" s="3" t="inlineStr">
        <is>
          <t>LS</t>
        </is>
      </c>
      <c r="K619" s="39" t="n">
        <v>95000</v>
      </c>
      <c r="L619" s="35" t="n">
        <v>95000</v>
      </c>
      <c r="M619" s="3" t="inlineStr">
        <is>
          <t>CAD</t>
        </is>
      </c>
      <c r="N619" s="3" t="inlineStr">
        <is>
          <t>ALLOWANCE</t>
        </is>
      </c>
      <c r="O619" s="3" t="inlineStr">
        <is>
          <t>A-008 + A-011</t>
        </is>
      </c>
      <c r="P619" s="3" t="inlineStr">
        <is>
          <t>LOW</t>
        </is>
      </c>
      <c r="Q619" s="3" t="inlineStr">
        <is>
          <t>Foam monitors or nozzles for marine loading platform; foam piping; quick-disconnect fittings; control valves</t>
        </is>
      </c>
      <c r="R619" s="3">
        <f>VLOOKUP($F619,Inputs!$D$6:$E$41,2,FALSE)</f>
        <v/>
      </c>
      <c r="S619" s="36">
        <f>VLOOKUP($E619,Inputs!$A$6:$B$13,2,FALSE)*Inputs!$B$2</f>
        <v/>
      </c>
      <c r="T619" s="35">
        <f>$L619*$S619</f>
        <v/>
      </c>
      <c r="U619" s="35">
        <f>$L619+$T619</f>
        <v/>
      </c>
    </row>
    <row r="620">
      <c r="A620" s="3" t="inlineStr">
        <is>
          <t>PKG-23::L-015</t>
        </is>
      </c>
      <c r="B620" s="3" t="inlineStr">
        <is>
          <t>PKG-23</t>
        </is>
      </c>
      <c r="C620" s="3" t="inlineStr">
        <is>
          <t>DEL-23.01</t>
        </is>
      </c>
      <c r="D620" s="3" t="inlineStr">
        <is>
          <t>L-015</t>
        </is>
      </c>
      <c r="E620" s="3" t="inlineStr">
        <is>
          <t>CD</t>
        </is>
      </c>
      <c r="F620" s="3" t="inlineStr">
        <is>
          <t>PKG-23</t>
        </is>
      </c>
      <c r="G620" s="3" t="inlineStr">
        <is>
          <t>DEL-23.01</t>
        </is>
      </c>
      <c r="H620" s="3" t="inlineStr">
        <is>
          <t>Fire water loop installation</t>
        </is>
      </c>
      <c r="I620" s="22" t="n">
        <v>1</v>
      </c>
      <c r="J620" s="3" t="inlineStr">
        <is>
          <t>LS</t>
        </is>
      </c>
      <c r="K620" s="39" t="n">
        <v>300000</v>
      </c>
      <c r="L620" s="35" t="n">
        <v>300000</v>
      </c>
      <c r="M620" s="3" t="inlineStr">
        <is>
          <t>CAD</t>
        </is>
      </c>
      <c r="N620" s="3" t="inlineStr">
        <is>
          <t>ALLOWANCE</t>
        </is>
      </c>
      <c r="O620" s="3" t="inlineStr">
        <is>
          <t>A-013 + A-014</t>
        </is>
      </c>
      <c r="P620" s="3" t="inlineStr">
        <is>
          <t>LOW</t>
        </is>
      </c>
      <c r="Q620" s="3" t="inlineStr">
        <is>
          <t>Trench excavation (700-1200 LM); pipe laying and jointing; valve installation; thrust blocks; backfill; coordination with PKG-03</t>
        </is>
      </c>
      <c r="R620" s="3">
        <f>VLOOKUP($F620,Inputs!$D$6:$E$41,2,FALSE)</f>
        <v/>
      </c>
      <c r="S620" s="36">
        <f>VLOOKUP($E620,Inputs!$A$6:$B$13,2,FALSE)*Inputs!$B$2</f>
        <v/>
      </c>
      <c r="T620" s="35">
        <f>$L620*$S620</f>
        <v/>
      </c>
      <c r="U620" s="35">
        <f>$L620+$T620</f>
        <v/>
      </c>
    </row>
    <row r="621">
      <c r="A621" s="3" t="inlineStr">
        <is>
          <t>PKG-23::L-016</t>
        </is>
      </c>
      <c r="B621" s="3" t="inlineStr">
        <is>
          <t>PKG-23</t>
        </is>
      </c>
      <c r="C621" s="3" t="inlineStr">
        <is>
          <t>DEL-23.04</t>
        </is>
      </c>
      <c r="D621" s="3" t="inlineStr">
        <is>
          <t>L-016</t>
        </is>
      </c>
      <c r="E621" s="3" t="inlineStr">
        <is>
          <t>CD</t>
        </is>
      </c>
      <c r="F621" s="3" t="inlineStr">
        <is>
          <t>PKG-23</t>
        </is>
      </c>
      <c r="G621" s="3" t="inlineStr">
        <is>
          <t>DEL-23.04</t>
        </is>
      </c>
      <c r="H621" s="3" t="inlineStr">
        <is>
          <t>Fire hydrant and FDC installation</t>
        </is>
      </c>
      <c r="I621" s="22" t="n">
        <v>1</v>
      </c>
      <c r="J621" s="3" t="inlineStr">
        <is>
          <t>LS</t>
        </is>
      </c>
      <c r="K621" s="39" t="n">
        <v>55000</v>
      </c>
      <c r="L621" s="35" t="n">
        <v>55000</v>
      </c>
      <c r="M621" s="3" t="inlineStr">
        <is>
          <t>CAD</t>
        </is>
      </c>
      <c r="N621" s="3" t="inlineStr">
        <is>
          <t>ALLOWANCE</t>
        </is>
      </c>
      <c r="O621" s="3" t="inlineStr">
        <is>
          <t>A-015</t>
        </is>
      </c>
      <c r="P621" s="3" t="inlineStr">
        <is>
          <t>LOW</t>
        </is>
      </c>
      <c r="Q621" s="3" t="inlineStr">
        <is>
          <t>Hydrant installation (8-12 units); concrete pads; valve box installation; FDC installation; marking posts</t>
        </is>
      </c>
      <c r="R621" s="3">
        <f>VLOOKUP($F621,Inputs!$D$6:$E$41,2,FALSE)</f>
        <v/>
      </c>
      <c r="S621" s="36">
        <f>VLOOKUP($E621,Inputs!$A$6:$B$13,2,FALSE)*Inputs!$B$2</f>
        <v/>
      </c>
      <c r="T621" s="35">
        <f>$L621*$S621</f>
        <v/>
      </c>
      <c r="U621" s="35">
        <f>$L621+$T621</f>
        <v/>
      </c>
    </row>
    <row r="622">
      <c r="A622" s="3" t="inlineStr">
        <is>
          <t>PKG-23::L-017</t>
        </is>
      </c>
      <c r="B622" s="3" t="inlineStr">
        <is>
          <t>PKG-23</t>
        </is>
      </c>
      <c r="C622" s="3" t="inlineStr">
        <is>
          <t>DEL-23.01</t>
        </is>
      </c>
      <c r="D622" s="3" t="inlineStr">
        <is>
          <t>L-017</t>
        </is>
      </c>
      <c r="E622" s="3" t="inlineStr">
        <is>
          <t>CD</t>
        </is>
      </c>
      <c r="F622" s="3" t="inlineStr">
        <is>
          <t>PKG-23</t>
        </is>
      </c>
      <c r="G622" s="3" t="inlineStr">
        <is>
          <t>DEL-23.01</t>
        </is>
      </c>
      <c r="H622" s="3" t="inlineStr">
        <is>
          <t>Fire alarm system installation</t>
        </is>
      </c>
      <c r="I622" s="22" t="n">
        <v>1</v>
      </c>
      <c r="J622" s="3" t="inlineStr">
        <is>
          <t>LS</t>
        </is>
      </c>
      <c r="K622" s="39" t="n">
        <v>95000</v>
      </c>
      <c r="L622" s="35" t="n">
        <v>95000</v>
      </c>
      <c r="M622" s="3" t="inlineStr">
        <is>
          <t>CAD</t>
        </is>
      </c>
      <c r="N622" s="3" t="inlineStr">
        <is>
          <t>ALLOWANCE</t>
        </is>
      </c>
      <c r="O622" s="3" t="inlineStr">
        <is>
          <t>A-016</t>
        </is>
      </c>
      <c r="P622" s="3" t="inlineStr">
        <is>
          <t>LOW</t>
        </is>
      </c>
      <c r="Q622" s="3" t="inlineStr">
        <is>
          <t>FACP installation; detector mounting; device wiring; conduit installation; terminations; programming; coordination with PKG-19</t>
        </is>
      </c>
      <c r="R622" s="3">
        <f>VLOOKUP($F622,Inputs!$D$6:$E$41,2,FALSE)</f>
        <v/>
      </c>
      <c r="S622" s="36">
        <f>VLOOKUP($E622,Inputs!$A$6:$B$13,2,FALSE)*Inputs!$B$2</f>
        <v/>
      </c>
      <c r="T622" s="35">
        <f>$L622*$S622</f>
        <v/>
      </c>
      <c r="U622" s="35">
        <f>$L622+$T622</f>
        <v/>
      </c>
    </row>
    <row r="623">
      <c r="A623" s="3" t="inlineStr">
        <is>
          <t>PKG-23::L-018</t>
        </is>
      </c>
      <c r="B623" s="3" t="inlineStr">
        <is>
          <t>PKG-23</t>
        </is>
      </c>
      <c r="C623" s="3" t="inlineStr">
        <is>
          <t>DEL-23.04</t>
        </is>
      </c>
      <c r="D623" s="3" t="inlineStr">
        <is>
          <t>L-018</t>
        </is>
      </c>
      <c r="E623" s="3" t="inlineStr">
        <is>
          <t>CD</t>
        </is>
      </c>
      <c r="F623" s="3" t="inlineStr">
        <is>
          <t>PKG-23</t>
        </is>
      </c>
      <c r="G623" s="3" t="inlineStr">
        <is>
          <t>DEL-23.04</t>
        </is>
      </c>
      <c r="H623" s="3" t="inlineStr">
        <is>
          <t>Foam system installation</t>
        </is>
      </c>
      <c r="I623" s="22" t="n">
        <v>1</v>
      </c>
      <c r="J623" s="3" t="inlineStr">
        <is>
          <t>LS</t>
        </is>
      </c>
      <c r="K623" s="39" t="n">
        <v>150000</v>
      </c>
      <c r="L623" s="35" t="n">
        <v>150000</v>
      </c>
      <c r="M623" s="3" t="inlineStr">
        <is>
          <t>CAD</t>
        </is>
      </c>
      <c r="N623" s="3" t="inlineStr">
        <is>
          <t>ALLOWANCE</t>
        </is>
      </c>
      <c r="O623" s="3" t="inlineStr">
        <is>
          <t>A-017</t>
        </is>
      </c>
      <c r="P623" s="3" t="inlineStr">
        <is>
          <t>LOW</t>
        </is>
      </c>
      <c r="Q623" s="3" t="inlineStr">
        <is>
          <t>Foam tank installation; proportioner installation; foam piping to tanks and marine loading; foam chamber mounting; controls</t>
        </is>
      </c>
      <c r="R623" s="3">
        <f>VLOOKUP($F623,Inputs!$D$6:$E$41,2,FALSE)</f>
        <v/>
      </c>
      <c r="S623" s="36">
        <f>VLOOKUP($E623,Inputs!$A$6:$B$13,2,FALSE)*Inputs!$B$2</f>
        <v/>
      </c>
      <c r="T623" s="35">
        <f>$L623*$S623</f>
        <v/>
      </c>
      <c r="U623" s="35">
        <f>$L623+$T623</f>
        <v/>
      </c>
    </row>
    <row r="624">
      <c r="A624" s="3" t="inlineStr">
        <is>
          <t>PKG-23::L-019</t>
        </is>
      </c>
      <c r="B624" s="3" t="inlineStr">
        <is>
          <t>PKG-23</t>
        </is>
      </c>
      <c r="C624" s="3" t="n"/>
      <c r="D624" s="3" t="inlineStr">
        <is>
          <t>L-019</t>
        </is>
      </c>
      <c r="E624" s="3" t="inlineStr">
        <is>
          <t>CI</t>
        </is>
      </c>
      <c r="F624" s="3" t="inlineStr">
        <is>
          <t>PKG-23</t>
        </is>
      </c>
      <c r="G624" s="3" t="n"/>
      <c r="H624" s="3" t="inlineStr">
        <is>
          <t>Construction Indirects (factor-based)</t>
        </is>
      </c>
      <c r="I624" s="22" t="n">
        <v>1</v>
      </c>
      <c r="J624" s="3" t="inlineStr">
        <is>
          <t>LS</t>
        </is>
      </c>
      <c r="K624" s="39" t="n">
        <v>108000</v>
      </c>
      <c r="L624" s="35" t="n">
        <v>108000</v>
      </c>
      <c r="M624" s="3" t="inlineStr">
        <is>
          <t>CAD</t>
        </is>
      </c>
      <c r="N624" s="3" t="inlineStr">
        <is>
          <t>PARAMETRIC</t>
        </is>
      </c>
      <c r="O624" s="3" t="inlineStr">
        <is>
          <t>D-009 (factor=0.18)</t>
        </is>
      </c>
      <c r="P624" s="3" t="inlineStr">
        <is>
          <t>MEDIUM</t>
        </is>
      </c>
      <c r="Q624" s="3" t="inlineStr">
        <is>
          <t>CI = 0.18 x CD ($600k); includes site supervision; temporary facilities; HSE; QA/QC field inspection; per fallback typical model</t>
        </is>
      </c>
      <c r="R624" s="3">
        <f>VLOOKUP($F624,Inputs!$D$6:$E$41,2,FALSE)</f>
        <v/>
      </c>
      <c r="S624" s="36">
        <f>VLOOKUP($E624,Inputs!$A$6:$B$13,2,FALSE)*Inputs!$B$2</f>
        <v/>
      </c>
      <c r="T624" s="35">
        <f>$L624*$S624</f>
        <v/>
      </c>
      <c r="U624" s="35">
        <f>$L624+$T624</f>
        <v/>
      </c>
    </row>
    <row r="625">
      <c r="A625" s="3" t="inlineStr">
        <is>
          <t>PKG-23::L-020</t>
        </is>
      </c>
      <c r="B625" s="3" t="inlineStr">
        <is>
          <t>PKG-23</t>
        </is>
      </c>
      <c r="C625" s="3" t="n"/>
      <c r="D625" s="3" t="inlineStr">
        <is>
          <t>L-020</t>
        </is>
      </c>
      <c r="E625" s="3" t="inlineStr">
        <is>
          <t>P</t>
        </is>
      </c>
      <c r="F625" s="3" t="inlineStr">
        <is>
          <t>PKG-23</t>
        </is>
      </c>
      <c r="G625" s="3" t="n"/>
      <c r="H625" s="3" t="inlineStr">
        <is>
          <t>Procurement Services (factor-based)</t>
        </is>
      </c>
      <c r="I625" s="22" t="n">
        <v>1</v>
      </c>
      <c r="J625" s="3" t="inlineStr">
        <is>
          <t>LS</t>
        </is>
      </c>
      <c r="K625" s="39" t="n">
        <v>21000</v>
      </c>
      <c r="L625" s="35" t="n">
        <v>21000</v>
      </c>
      <c r="M625" s="3" t="inlineStr">
        <is>
          <t>CAD</t>
        </is>
      </c>
      <c r="N625" s="3" t="inlineStr">
        <is>
          <t>PARAMETRIC</t>
        </is>
      </c>
      <c r="O625" s="3" t="inlineStr">
        <is>
          <t>D-009 (factor=0.02)</t>
        </is>
      </c>
      <c r="P625" s="3" t="inlineStr">
        <is>
          <t>MEDIUM</t>
        </is>
      </c>
      <c r="Q625" s="3" t="inlineStr">
        <is>
          <t>P = 0.02 x MAT ($1065k); includes fire protection equipment sourcing; vendor coordination; expediting; per fallback typical model</t>
        </is>
      </c>
      <c r="R625" s="3">
        <f>VLOOKUP($F625,Inputs!$D$6:$E$41,2,FALSE)</f>
        <v/>
      </c>
      <c r="S625" s="36">
        <f>VLOOKUP($E625,Inputs!$A$6:$B$13,2,FALSE)*Inputs!$B$2</f>
        <v/>
      </c>
      <c r="T625" s="35">
        <f>$L625*$S625</f>
        <v/>
      </c>
      <c r="U625" s="35">
        <f>$L625+$T625</f>
        <v/>
      </c>
    </row>
    <row r="626">
      <c r="A626" s="3" t="inlineStr">
        <is>
          <t>PKG-23::L-021</t>
        </is>
      </c>
      <c r="B626" s="3" t="inlineStr">
        <is>
          <t>PKG-23</t>
        </is>
      </c>
      <c r="C626" s="3" t="n"/>
      <c r="D626" s="3" t="inlineStr">
        <is>
          <t>L-021</t>
        </is>
      </c>
      <c r="E626" s="3" t="inlineStr">
        <is>
          <t>PM</t>
        </is>
      </c>
      <c r="F626" s="3" t="inlineStr">
        <is>
          <t>PKG-23</t>
        </is>
      </c>
      <c r="G626" s="3" t="n"/>
      <c r="H626" s="3" t="inlineStr">
        <is>
          <t>EPCM/Project Management (factor-based)</t>
        </is>
      </c>
      <c r="I626" s="22" t="n">
        <v>1</v>
      </c>
      <c r="J626" s="3" t="inlineStr">
        <is>
          <t>LS</t>
        </is>
      </c>
      <c r="K626" s="39" t="n">
        <v>106000</v>
      </c>
      <c r="L626" s="35" t="n">
        <v>106000</v>
      </c>
      <c r="M626" s="3" t="inlineStr">
        <is>
          <t>CAD</t>
        </is>
      </c>
      <c r="N626" s="3" t="inlineStr">
        <is>
          <t>PARAMETRIC</t>
        </is>
      </c>
      <c r="O626" s="3" t="inlineStr">
        <is>
          <t>D-009 (factor=0.06)</t>
        </is>
      </c>
      <c r="P626" s="3" t="inlineStr">
        <is>
          <t>MEDIUM</t>
        </is>
      </c>
      <c r="Q626" s="3" t="inlineStr">
        <is>
          <t>PM = 0.06 x (CD + CI + MAT) ($1773k); includes project management; engineering management; coordination; per fallback typical model</t>
        </is>
      </c>
      <c r="R626" s="3">
        <f>VLOOKUP($F626,Inputs!$D$6:$E$41,2,FALSE)</f>
        <v/>
      </c>
      <c r="S626" s="36">
        <f>VLOOKUP($E626,Inputs!$A$6:$B$13,2,FALSE)*Inputs!$B$2</f>
        <v/>
      </c>
      <c r="T626" s="35">
        <f>$L626*$S626</f>
        <v/>
      </c>
      <c r="U626" s="35">
        <f>$L626+$T626</f>
        <v/>
      </c>
    </row>
    <row r="627">
      <c r="A627" s="3" t="inlineStr">
        <is>
          <t>PKG-23::L-022</t>
        </is>
      </c>
      <c r="B627" s="3" t="inlineStr">
        <is>
          <t>PKG-23</t>
        </is>
      </c>
      <c r="C627" s="3" t="inlineStr">
        <is>
          <t>DEL-23.05</t>
        </is>
      </c>
      <c r="D627" s="3" t="inlineStr">
        <is>
          <t>L-022</t>
        </is>
      </c>
      <c r="E627" s="3" t="inlineStr">
        <is>
          <t>COM</t>
        </is>
      </c>
      <c r="F627" s="3" t="inlineStr">
        <is>
          <t>PKG-23</t>
        </is>
      </c>
      <c r="G627" s="3" t="inlineStr">
        <is>
          <t>DEL-23.05</t>
        </is>
      </c>
      <c r="H627" s="3" t="inlineStr">
        <is>
          <t>Commissioning (factor-based)</t>
        </is>
      </c>
      <c r="I627" s="22" t="n">
        <v>1</v>
      </c>
      <c r="J627" s="3" t="inlineStr">
        <is>
          <t>LS</t>
        </is>
      </c>
      <c r="K627" s="39" t="n">
        <v>53000</v>
      </c>
      <c r="L627" s="35" t="n">
        <v>53000</v>
      </c>
      <c r="M627" s="3" t="inlineStr">
        <is>
          <t>CAD</t>
        </is>
      </c>
      <c r="N627" s="3" t="inlineStr">
        <is>
          <t>PARAMETRIC</t>
        </is>
      </c>
      <c r="O627" s="3" t="inlineStr">
        <is>
          <t>D-009 (factor=0.03)</t>
        </is>
      </c>
      <c r="P627" s="3" t="inlineStr">
        <is>
          <t>MEDIUM</t>
        </is>
      </c>
      <c r="Q627" s="3" t="inlineStr">
        <is>
          <t>COM = 0.03 x (CD + CI + MAT) ($1773k); includes hydrostatic testing; flow testing; fire alarm testing; foam system testing; per DEL-23.05 scope</t>
        </is>
      </c>
      <c r="R627" s="3">
        <f>VLOOKUP($F627,Inputs!$D$6:$E$41,2,FALSE)</f>
        <v/>
      </c>
      <c r="S627" s="36">
        <f>VLOOKUP($E627,Inputs!$A$6:$B$13,2,FALSE)*Inputs!$B$2</f>
        <v/>
      </c>
      <c r="T627" s="35">
        <f>$L627*$S627</f>
        <v/>
      </c>
      <c r="U627" s="35">
        <f>$L627+$T627</f>
        <v/>
      </c>
    </row>
    <row r="628">
      <c r="A628" s="3" t="inlineStr">
        <is>
          <t>PKG-24::L-001</t>
        </is>
      </c>
      <c r="B628" s="3" t="inlineStr">
        <is>
          <t>PKG-24</t>
        </is>
      </c>
      <c r="C628" s="3" t="inlineStr">
        <is>
          <t>DEL-24.01</t>
        </is>
      </c>
      <c r="D628" s="3" t="inlineStr">
        <is>
          <t>L-001</t>
        </is>
      </c>
      <c r="E628" s="3" t="inlineStr">
        <is>
          <t>E</t>
        </is>
      </c>
      <c r="F628" s="3" t="inlineStr">
        <is>
          <t>PKG-24</t>
        </is>
      </c>
      <c r="G628" s="3" t="inlineStr">
        <is>
          <t>DEL-24.01</t>
        </is>
      </c>
      <c r="H628" s="3" t="inlineStr">
        <is>
          <t>Security systems engineering design - Design Drawing Set</t>
        </is>
      </c>
      <c r="I628" s="22" t="n">
        <v>1</v>
      </c>
      <c r="J628" s="3" t="inlineStr">
        <is>
          <t>LS</t>
        </is>
      </c>
      <c r="K628" s="39" t="n">
        <v>48000</v>
      </c>
      <c r="L628" s="35" t="n">
        <v>48000</v>
      </c>
      <c r="M628" s="3" t="inlineStr">
        <is>
          <t>CAD</t>
        </is>
      </c>
      <c r="N628" s="3" t="inlineStr">
        <is>
          <t>ALLOWANCE</t>
        </is>
      </c>
      <c r="O628" s="3" t="inlineStr">
        <is>
          <t>A-001</t>
        </is>
      </c>
      <c r="P628" s="3" t="inlineStr">
        <is>
          <t>LOW</t>
        </is>
      </c>
      <c r="Q628" s="3" t="inlineStr">
        <is>
          <t>CCTV layout; camera coverage drawings; access control layout; system architecture diagram; typical mounting details; 600-800 hours @ $140-175/hr blended (senior designer + CAD technician)</t>
        </is>
      </c>
      <c r="R628" s="3">
        <f>VLOOKUP($F628,Inputs!$D$6:$E$41,2,FALSE)</f>
        <v/>
      </c>
      <c r="S628" s="36">
        <f>VLOOKUP($E628,Inputs!$A$6:$B$13,2,FALSE)*Inputs!$B$2</f>
        <v/>
      </c>
      <c r="T628" s="35">
        <f>$L628*$S628</f>
        <v/>
      </c>
      <c r="U628" s="35">
        <f>$L628+$T628</f>
        <v/>
      </c>
    </row>
    <row r="629">
      <c r="A629" s="3" t="inlineStr">
        <is>
          <t>PKG-24::L-002</t>
        </is>
      </c>
      <c r="B629" s="3" t="inlineStr">
        <is>
          <t>PKG-24</t>
        </is>
      </c>
      <c r="C629" s="3" t="inlineStr">
        <is>
          <t>DEL-24.02</t>
        </is>
      </c>
      <c r="D629" s="3" t="inlineStr">
        <is>
          <t>L-002</t>
        </is>
      </c>
      <c r="E629" s="3" t="inlineStr">
        <is>
          <t>E</t>
        </is>
      </c>
      <c r="F629" s="3" t="inlineStr">
        <is>
          <t>PKG-24</t>
        </is>
      </c>
      <c r="G629" s="3" t="inlineStr">
        <is>
          <t>DEL-24.02</t>
        </is>
      </c>
      <c r="H629" s="3" t="inlineStr">
        <is>
          <t>Security systems engineering design - Technical Specification</t>
        </is>
      </c>
      <c r="I629" s="22" t="n">
        <v>1</v>
      </c>
      <c r="J629" s="3" t="inlineStr">
        <is>
          <t>LS</t>
        </is>
      </c>
      <c r="K629" s="39" t="n">
        <v>32000</v>
      </c>
      <c r="L629" s="35" t="n">
        <v>32000</v>
      </c>
      <c r="M629" s="3" t="inlineStr">
        <is>
          <t>CAD</t>
        </is>
      </c>
      <c r="N629" s="3" t="inlineStr">
        <is>
          <t>ALLOWANCE</t>
        </is>
      </c>
      <c r="O629" s="3" t="inlineStr">
        <is>
          <t>A-001</t>
        </is>
      </c>
      <c r="P629" s="3" t="inlineStr">
        <is>
          <t>LOW</t>
        </is>
      </c>
      <c r="Q629" s="3" t="inlineStr">
        <is>
          <t>CCTV specification; access control specification; network infrastructure requirements; testing/commissioning requirements; 400-500 hours @ $140-175/hr blended</t>
        </is>
      </c>
      <c r="R629" s="3">
        <f>VLOOKUP($F629,Inputs!$D$6:$E$41,2,FALSE)</f>
        <v/>
      </c>
      <c r="S629" s="36">
        <f>VLOOKUP($E629,Inputs!$A$6:$B$13,2,FALSE)*Inputs!$B$2</f>
        <v/>
      </c>
      <c r="T629" s="35">
        <f>$L629*$S629</f>
        <v/>
      </c>
      <c r="U629" s="35">
        <f>$L629+$T629</f>
        <v/>
      </c>
    </row>
    <row r="630">
      <c r="A630" s="3" t="inlineStr">
        <is>
          <t>PKG-24::L-003</t>
        </is>
      </c>
      <c r="B630" s="3" t="inlineStr">
        <is>
          <t>PKG-24</t>
        </is>
      </c>
      <c r="C630" s="3" t="inlineStr">
        <is>
          <t>DEL-24.03</t>
        </is>
      </c>
      <c r="D630" s="3" t="inlineStr">
        <is>
          <t>L-003</t>
        </is>
      </c>
      <c r="E630" s="3" t="inlineStr">
        <is>
          <t>E</t>
        </is>
      </c>
      <c r="F630" s="3" t="inlineStr">
        <is>
          <t>PKG-24</t>
        </is>
      </c>
      <c r="G630" s="3" t="inlineStr">
        <is>
          <t>DEL-24.03</t>
        </is>
      </c>
      <c r="H630" s="3" t="inlineStr">
        <is>
          <t>Security systems engineering - Data Sheet Package</t>
        </is>
      </c>
      <c r="I630" s="22" t="n">
        <v>1</v>
      </c>
      <c r="J630" s="3" t="inlineStr">
        <is>
          <t>LS</t>
        </is>
      </c>
      <c r="K630" s="39" t="n">
        <v>18000</v>
      </c>
      <c r="L630" s="35" t="n">
        <v>18000</v>
      </c>
      <c r="M630" s="3" t="inlineStr">
        <is>
          <t>CAD</t>
        </is>
      </c>
      <c r="N630" s="3" t="inlineStr">
        <is>
          <t>ALLOWANCE</t>
        </is>
      </c>
      <c r="O630" s="3" t="inlineStr">
        <is>
          <t>A-001</t>
        </is>
      </c>
      <c r="P630" s="3" t="inlineStr">
        <is>
          <t>LOW</t>
        </is>
      </c>
      <c r="Q630" s="3" t="inlineStr">
        <is>
          <t>Equipment submittal review; compliance verification; datasheet compilation; 200-250 hours @ $140-175/hr blended</t>
        </is>
      </c>
      <c r="R630" s="3">
        <f>VLOOKUP($F630,Inputs!$D$6:$E$41,2,FALSE)</f>
        <v/>
      </c>
      <c r="S630" s="36">
        <f>VLOOKUP($E630,Inputs!$A$6:$B$13,2,FALSE)*Inputs!$B$2</f>
        <v/>
      </c>
      <c r="T630" s="35">
        <f>$L630*$S630</f>
        <v/>
      </c>
      <c r="U630" s="35">
        <f>$L630+$T630</f>
        <v/>
      </c>
    </row>
    <row r="631">
      <c r="A631" s="3" t="inlineStr">
        <is>
          <t>PKG-24::L-004</t>
        </is>
      </c>
      <c r="B631" s="3" t="inlineStr">
        <is>
          <t>PKG-24</t>
        </is>
      </c>
      <c r="C631" s="3" t="inlineStr">
        <is>
          <t>DEL-24.04</t>
        </is>
      </c>
      <c r="D631" s="3" t="inlineStr">
        <is>
          <t>L-004</t>
        </is>
      </c>
      <c r="E631" s="3" t="inlineStr">
        <is>
          <t>E</t>
        </is>
      </c>
      <c r="F631" s="3" t="inlineStr">
        <is>
          <t>PKG-24</t>
        </is>
      </c>
      <c r="G631" s="3" t="inlineStr">
        <is>
          <t>DEL-24.04</t>
        </is>
      </c>
      <c r="H631" s="3" t="inlineStr">
        <is>
          <t>Security systems engineering - Installation &amp; Test Records support</t>
        </is>
      </c>
      <c r="I631" s="22" t="n">
        <v>1</v>
      </c>
      <c r="J631" s="3" t="inlineStr">
        <is>
          <t>LS</t>
        </is>
      </c>
      <c r="K631" s="39" t="n">
        <v>25000</v>
      </c>
      <c r="L631" s="35" t="n">
        <v>25000</v>
      </c>
      <c r="M631" s="3" t="inlineStr">
        <is>
          <t>CAD</t>
        </is>
      </c>
      <c r="N631" s="3" t="inlineStr">
        <is>
          <t>ALLOWANCE</t>
        </is>
      </c>
      <c r="O631" s="3" t="inlineStr">
        <is>
          <t>A-001</t>
        </is>
      </c>
      <c r="P631" s="3" t="inlineStr">
        <is>
          <t>LOW</t>
        </is>
      </c>
      <c r="Q631" s="3" t="inlineStr">
        <is>
          <t>Coverage verification; SAT witness; commissioning support; deficiency review; as-built markup review; 300-350 hours @ $140-175/hr blended</t>
        </is>
      </c>
      <c r="R631" s="3">
        <f>VLOOKUP($F631,Inputs!$D$6:$E$41,2,FALSE)</f>
        <v/>
      </c>
      <c r="S631" s="36">
        <f>VLOOKUP($E631,Inputs!$A$6:$B$13,2,FALSE)*Inputs!$B$2</f>
        <v/>
      </c>
      <c r="T631" s="35">
        <f>$L631*$S631</f>
        <v/>
      </c>
      <c r="U631" s="35">
        <f>$L631+$T631</f>
        <v/>
      </c>
    </row>
    <row r="632">
      <c r="A632" s="3" t="inlineStr">
        <is>
          <t>PKG-24::L-005</t>
        </is>
      </c>
      <c r="B632" s="3" t="inlineStr">
        <is>
          <t>PKG-24</t>
        </is>
      </c>
      <c r="C632" s="3" t="inlineStr">
        <is>
          <t>DEL-24.03</t>
        </is>
      </c>
      <c r="D632" s="3" t="inlineStr">
        <is>
          <t>L-005</t>
        </is>
      </c>
      <c r="E632" s="3" t="inlineStr">
        <is>
          <t>MAT</t>
        </is>
      </c>
      <c r="F632" s="3" t="inlineStr">
        <is>
          <t>PKG-24</t>
        </is>
      </c>
      <c r="G632" s="3" t="inlineStr">
        <is>
          <t>DEL-24.03</t>
        </is>
      </c>
      <c r="H632" s="3" t="inlineStr">
        <is>
          <t>CCTV fixed cameras with mounts</t>
        </is>
      </c>
      <c r="I632" s="22" t="n">
        <v>18</v>
      </c>
      <c r="J632" s="3" t="inlineStr">
        <is>
          <t>EA</t>
        </is>
      </c>
      <c r="K632" s="39" t="n">
        <v>3500</v>
      </c>
      <c r="L632" s="35" t="n">
        <v>63000</v>
      </c>
      <c r="M632" s="3" t="inlineStr">
        <is>
          <t>CAD</t>
        </is>
      </c>
      <c r="N632" s="3" t="inlineStr">
        <is>
          <t>ALLOWANCE</t>
        </is>
      </c>
      <c r="O632" s="3" t="inlineStr">
        <is>
          <t>A-002</t>
        </is>
      </c>
      <c r="P632" s="3" t="inlineStr">
        <is>
          <t>LOW</t>
        </is>
      </c>
      <c r="Q632" s="3" t="inlineStr">
        <is>
          <t>IP cameras 2-4MP resolution; outdoor IP66/IP67 rated; marine-grade housings; IR illumination; mounting brackets; typical unit cost $2500-4500 for industrial-grade outdoor cameras</t>
        </is>
      </c>
      <c r="R632" s="3">
        <f>VLOOKUP($F632,Inputs!$D$6:$E$41,2,FALSE)</f>
        <v/>
      </c>
      <c r="S632" s="36">
        <f>VLOOKUP($E632,Inputs!$A$6:$B$13,2,FALSE)*Inputs!$B$2</f>
        <v/>
      </c>
      <c r="T632" s="35">
        <f>$L632*$S632</f>
        <v/>
      </c>
      <c r="U632" s="35">
        <f>$L632+$T632</f>
        <v/>
      </c>
    </row>
    <row r="633">
      <c r="A633" s="3" t="inlineStr">
        <is>
          <t>PKG-24::L-006</t>
        </is>
      </c>
      <c r="B633" s="3" t="inlineStr">
        <is>
          <t>PKG-24</t>
        </is>
      </c>
      <c r="C633" s="3" t="inlineStr">
        <is>
          <t>DEL-24.03</t>
        </is>
      </c>
      <c r="D633" s="3" t="inlineStr">
        <is>
          <t>L-006</t>
        </is>
      </c>
      <c r="E633" s="3" t="inlineStr">
        <is>
          <t>MAT</t>
        </is>
      </c>
      <c r="F633" s="3" t="inlineStr">
        <is>
          <t>PKG-24</t>
        </is>
      </c>
      <c r="G633" s="3" t="inlineStr">
        <is>
          <t>DEL-24.03</t>
        </is>
      </c>
      <c r="H633" s="3" t="inlineStr">
        <is>
          <t>CCTV PTZ cameras with mounts</t>
        </is>
      </c>
      <c r="I633" s="22" t="n">
        <v>3</v>
      </c>
      <c r="J633" s="3" t="inlineStr">
        <is>
          <t>EA</t>
        </is>
      </c>
      <c r="K633" s="39" t="n">
        <v>12000</v>
      </c>
      <c r="L633" s="35" t="n">
        <v>36000</v>
      </c>
      <c r="M633" s="3" t="inlineStr">
        <is>
          <t>CAD</t>
        </is>
      </c>
      <c r="N633" s="3" t="inlineStr">
        <is>
          <t>ALLOWANCE</t>
        </is>
      </c>
      <c r="O633" s="3" t="inlineStr">
        <is>
          <t>A-003</t>
        </is>
      </c>
      <c r="P633" s="3" t="inlineStr">
        <is>
          <t>LOW</t>
        </is>
      </c>
      <c r="Q633" s="3" t="inlineStr">
        <is>
          <t>IP PTZ cameras 2-4MP; 30x optical zoom; outdoor IP66/IP67 rated; marine-grade; heavy-duty pan/tilt; mounting brackets; typical unit cost $9000-15000</t>
        </is>
      </c>
      <c r="R633" s="3">
        <f>VLOOKUP($F633,Inputs!$D$6:$E$41,2,FALSE)</f>
        <v/>
      </c>
      <c r="S633" s="36">
        <f>VLOOKUP($E633,Inputs!$A$6:$B$13,2,FALSE)*Inputs!$B$2</f>
        <v/>
      </c>
      <c r="T633" s="35">
        <f>$L633*$S633</f>
        <v/>
      </c>
      <c r="U633" s="35">
        <f>$L633+$T633</f>
        <v/>
      </c>
    </row>
    <row r="634">
      <c r="A634" s="3" t="inlineStr">
        <is>
          <t>PKG-24::L-007</t>
        </is>
      </c>
      <c r="B634" s="3" t="inlineStr">
        <is>
          <t>PKG-24</t>
        </is>
      </c>
      <c r="C634" s="3" t="inlineStr">
        <is>
          <t>DEL-24.03</t>
        </is>
      </c>
      <c r="D634" s="3" t="inlineStr">
        <is>
          <t>L-007</t>
        </is>
      </c>
      <c r="E634" s="3" t="inlineStr">
        <is>
          <t>MAT</t>
        </is>
      </c>
      <c r="F634" s="3" t="inlineStr">
        <is>
          <t>PKG-24</t>
        </is>
      </c>
      <c r="G634" s="3" t="inlineStr">
        <is>
          <t>DEL-24.03</t>
        </is>
      </c>
      <c r="H634" s="3" t="inlineStr">
        <is>
          <t>Network Video Recorder (NVR) system</t>
        </is>
      </c>
      <c r="I634" s="22" t="n">
        <v>2</v>
      </c>
      <c r="J634" s="3" t="inlineStr">
        <is>
          <t>EA</t>
        </is>
      </c>
      <c r="K634" s="39" t="n">
        <v>15000</v>
      </c>
      <c r="L634" s="35" t="n">
        <v>30000</v>
      </c>
      <c r="M634" s="3" t="inlineStr">
        <is>
          <t>CAD</t>
        </is>
      </c>
      <c r="N634" s="3" t="inlineStr">
        <is>
          <t>ALLOWANCE</t>
        </is>
      </c>
      <c r="O634" s="3" t="inlineStr">
        <is>
          <t>A-004</t>
        </is>
      </c>
      <c r="P634" s="3" t="inlineStr">
        <is>
          <t>LOW</t>
        </is>
      </c>
      <c r="Q634" s="3" t="inlineStr">
        <is>
          <t>NVR 32-64 channel; 30-90 day retention @ 4MP; RAID storage; redundant dual NVR configuration; rack-mount; typical unit cost $12000-18000 per NVR</t>
        </is>
      </c>
      <c r="R634" s="3">
        <f>VLOOKUP($F634,Inputs!$D$6:$E$41,2,FALSE)</f>
        <v/>
      </c>
      <c r="S634" s="36">
        <f>VLOOKUP($E634,Inputs!$A$6:$B$13,2,FALSE)*Inputs!$B$2</f>
        <v/>
      </c>
      <c r="T634" s="35">
        <f>$L634*$S634</f>
        <v/>
      </c>
      <c r="U634" s="35">
        <f>$L634+$T634</f>
        <v/>
      </c>
    </row>
    <row r="635">
      <c r="A635" s="3" t="inlineStr">
        <is>
          <t>PKG-24::L-008</t>
        </is>
      </c>
      <c r="B635" s="3" t="inlineStr">
        <is>
          <t>PKG-24</t>
        </is>
      </c>
      <c r="C635" s="3" t="inlineStr">
        <is>
          <t>DEL-24.03</t>
        </is>
      </c>
      <c r="D635" s="3" t="inlineStr">
        <is>
          <t>L-008</t>
        </is>
      </c>
      <c r="E635" s="3" t="inlineStr">
        <is>
          <t>MAT</t>
        </is>
      </c>
      <c r="F635" s="3" t="inlineStr">
        <is>
          <t>PKG-24</t>
        </is>
      </c>
      <c r="G635" s="3" t="inlineStr">
        <is>
          <t>DEL-24.03</t>
        </is>
      </c>
      <c r="H635" s="3" t="inlineStr">
        <is>
          <t>Video Management System (VMS) software and licensing</t>
        </is>
      </c>
      <c r="I635" s="22" t="n">
        <v>1</v>
      </c>
      <c r="J635" s="3" t="inlineStr">
        <is>
          <t>LS</t>
        </is>
      </c>
      <c r="K635" s="39" t="n">
        <v>25000</v>
      </c>
      <c r="L635" s="35" t="n">
        <v>25000</v>
      </c>
      <c r="M635" s="3" t="inlineStr">
        <is>
          <t>CAD</t>
        </is>
      </c>
      <c r="N635" s="3" t="inlineStr">
        <is>
          <t>ALLOWANCE</t>
        </is>
      </c>
      <c r="O635" s="3" t="inlineStr">
        <is>
          <t>A-005</t>
        </is>
      </c>
      <c r="P635" s="3" t="inlineStr">
        <is>
          <t>LOW</t>
        </is>
      </c>
      <c r="Q635" s="3" t="inlineStr">
        <is>
          <t>VMS software platform; 5-10 user licenses; ONVIF-compliant; alarm management; integration APIs; Terminal interface capability per DEC-05</t>
        </is>
      </c>
      <c r="R635" s="3">
        <f>VLOOKUP($F635,Inputs!$D$6:$E$41,2,FALSE)</f>
        <v/>
      </c>
      <c r="S635" s="36">
        <f>VLOOKUP($E635,Inputs!$A$6:$B$13,2,FALSE)*Inputs!$B$2</f>
        <v/>
      </c>
      <c r="T635" s="35">
        <f>$L635*$S635</f>
        <v/>
      </c>
      <c r="U635" s="35">
        <f>$L635+$T635</f>
        <v/>
      </c>
    </row>
    <row r="636">
      <c r="A636" s="3" t="inlineStr">
        <is>
          <t>PKG-24::L-009</t>
        </is>
      </c>
      <c r="B636" s="3" t="inlineStr">
        <is>
          <t>PKG-24</t>
        </is>
      </c>
      <c r="C636" s="3" t="inlineStr">
        <is>
          <t>DEL-24.03</t>
        </is>
      </c>
      <c r="D636" s="3" t="inlineStr">
        <is>
          <t>L-009</t>
        </is>
      </c>
      <c r="E636" s="3" t="inlineStr">
        <is>
          <t>MAT</t>
        </is>
      </c>
      <c r="F636" s="3" t="inlineStr">
        <is>
          <t>PKG-24</t>
        </is>
      </c>
      <c r="G636" s="3" t="inlineStr">
        <is>
          <t>DEL-24.03</t>
        </is>
      </c>
      <c r="H636" s="3" t="inlineStr">
        <is>
          <t>Access control card readers</t>
        </is>
      </c>
      <c r="I636" s="22" t="n">
        <v>12</v>
      </c>
      <c r="J636" s="3" t="inlineStr">
        <is>
          <t>EA</t>
        </is>
      </c>
      <c r="K636" s="39" t="n">
        <v>1200</v>
      </c>
      <c r="L636" s="35" t="n">
        <v>14400</v>
      </c>
      <c r="M636" s="3" t="inlineStr">
        <is>
          <t>CAD</t>
        </is>
      </c>
      <c r="N636" s="3" t="inlineStr">
        <is>
          <t>ALLOWANCE</t>
        </is>
      </c>
      <c r="O636" s="3" t="inlineStr">
        <is>
          <t>A-006</t>
        </is>
      </c>
      <c r="P636" s="3" t="inlineStr">
        <is>
          <t>LOW</t>
        </is>
      </c>
      <c r="Q636" s="3" t="inlineStr">
        <is>
          <t>Proximity or smart card readers (125kHz/13.56MHz); outdoor IP65 rated; IK08 vandal resistant; OSDP or Wiegand protocol; typical unit cost $800-1500</t>
        </is>
      </c>
      <c r="R636" s="3">
        <f>VLOOKUP($F636,Inputs!$D$6:$E$41,2,FALSE)</f>
        <v/>
      </c>
      <c r="S636" s="36">
        <f>VLOOKUP($E636,Inputs!$A$6:$B$13,2,FALSE)*Inputs!$B$2</f>
        <v/>
      </c>
      <c r="T636" s="35">
        <f>$L636*$S636</f>
        <v/>
      </c>
      <c r="U636" s="35">
        <f>$L636+$T636</f>
        <v/>
      </c>
    </row>
    <row r="637">
      <c r="A637" s="3" t="inlineStr">
        <is>
          <t>PKG-24::L-010</t>
        </is>
      </c>
      <c r="B637" s="3" t="inlineStr">
        <is>
          <t>PKG-24</t>
        </is>
      </c>
      <c r="C637" s="3" t="inlineStr">
        <is>
          <t>DEL-24.03</t>
        </is>
      </c>
      <c r="D637" s="3" t="inlineStr">
        <is>
          <t>L-010</t>
        </is>
      </c>
      <c r="E637" s="3" t="inlineStr">
        <is>
          <t>MAT</t>
        </is>
      </c>
      <c r="F637" s="3" t="inlineStr">
        <is>
          <t>PKG-24</t>
        </is>
      </c>
      <c r="G637" s="3" t="inlineStr">
        <is>
          <t>DEL-24.03</t>
        </is>
      </c>
      <c r="H637" s="3" t="inlineStr">
        <is>
          <t>Access control controllers and panels</t>
        </is>
      </c>
      <c r="I637" s="22" t="n">
        <v>2</v>
      </c>
      <c r="J637" s="3" t="inlineStr">
        <is>
          <t>EA</t>
        </is>
      </c>
      <c r="K637" s="39" t="n">
        <v>8000</v>
      </c>
      <c r="L637" s="35" t="n">
        <v>16000</v>
      </c>
      <c r="M637" s="3" t="inlineStr">
        <is>
          <t>CAD</t>
        </is>
      </c>
      <c r="N637" s="3" t="inlineStr">
        <is>
          <t>ALLOWANCE</t>
        </is>
      </c>
      <c r="O637" s="3" t="inlineStr">
        <is>
          <t>A-007</t>
        </is>
      </c>
      <c r="P637" s="3" t="inlineStr">
        <is>
          <t>LOW</t>
        </is>
      </c>
      <c r="Q637" s="3" t="inlineStr">
        <is>
          <t>Network-based access control panels; 8-16 doors per panel; TCP/IP communication; battery backup; fail-safe/fail-secure configurable; typical unit cost $6000-10000</t>
        </is>
      </c>
      <c r="R637" s="3">
        <f>VLOOKUP($F637,Inputs!$D$6:$E$41,2,FALSE)</f>
        <v/>
      </c>
      <c r="S637" s="36">
        <f>VLOOKUP($E637,Inputs!$A$6:$B$13,2,FALSE)*Inputs!$B$2</f>
        <v/>
      </c>
      <c r="T637" s="35">
        <f>$L637*$S637</f>
        <v/>
      </c>
      <c r="U637" s="35">
        <f>$L637+$T637</f>
        <v/>
      </c>
    </row>
    <row r="638">
      <c r="A638" s="3" t="inlineStr">
        <is>
          <t>PKG-24::L-011</t>
        </is>
      </c>
      <c r="B638" s="3" t="inlineStr">
        <is>
          <t>PKG-24</t>
        </is>
      </c>
      <c r="C638" s="3" t="inlineStr">
        <is>
          <t>DEL-24.03</t>
        </is>
      </c>
      <c r="D638" s="3" t="inlineStr">
        <is>
          <t>L-011</t>
        </is>
      </c>
      <c r="E638" s="3" t="inlineStr">
        <is>
          <t>MAT</t>
        </is>
      </c>
      <c r="F638" s="3" t="inlineStr">
        <is>
          <t>PKG-24</t>
        </is>
      </c>
      <c r="G638" s="3" t="inlineStr">
        <is>
          <t>DEL-24.03</t>
        </is>
      </c>
      <c r="H638" s="3" t="inlineStr">
        <is>
          <t>Access control software and licensing</t>
        </is>
      </c>
      <c r="I638" s="22" t="n">
        <v>1</v>
      </c>
      <c r="J638" s="3" t="inlineStr">
        <is>
          <t>LS</t>
        </is>
      </c>
      <c r="K638" s="39" t="n">
        <v>18000</v>
      </c>
      <c r="L638" s="35" t="n">
        <v>18000</v>
      </c>
      <c r="M638" s="3" t="inlineStr">
        <is>
          <t>CAD</t>
        </is>
      </c>
      <c r="N638" s="3" t="inlineStr">
        <is>
          <t>ALLOWANCE</t>
        </is>
      </c>
      <c r="O638" s="3" t="inlineStr">
        <is>
          <t>A-008</t>
        </is>
      </c>
      <c r="P638" s="3" t="inlineStr">
        <is>
          <t>LOW</t>
        </is>
      </c>
      <c r="Q638" s="3" t="inlineStr">
        <is>
          <t>Access control management software; 3-5 user licenses; cardholder management; audit trails; Terminal integration per DEC-05; reporting features</t>
        </is>
      </c>
      <c r="R638" s="3">
        <f>VLOOKUP($F638,Inputs!$D$6:$E$41,2,FALSE)</f>
        <v/>
      </c>
      <c r="S638" s="36">
        <f>VLOOKUP($E638,Inputs!$A$6:$B$13,2,FALSE)*Inputs!$B$2</f>
        <v/>
      </c>
      <c r="T638" s="35">
        <f>$L638*$S638</f>
        <v/>
      </c>
      <c r="U638" s="35">
        <f>$L638+$T638</f>
        <v/>
      </c>
    </row>
    <row r="639">
      <c r="A639" s="3" t="inlineStr">
        <is>
          <t>PKG-24::L-012</t>
        </is>
      </c>
      <c r="B639" s="3" t="inlineStr">
        <is>
          <t>PKG-24</t>
        </is>
      </c>
      <c r="C639" s="3" t="inlineStr">
        <is>
          <t>DEL-24.03</t>
        </is>
      </c>
      <c r="D639" s="3" t="inlineStr">
        <is>
          <t>L-012</t>
        </is>
      </c>
      <c r="E639" s="3" t="inlineStr">
        <is>
          <t>MAT</t>
        </is>
      </c>
      <c r="F639" s="3" t="inlineStr">
        <is>
          <t>PKG-24</t>
        </is>
      </c>
      <c r="G639" s="3" t="inlineStr">
        <is>
          <t>DEL-24.03</t>
        </is>
      </c>
      <c r="H639" s="3" t="inlineStr">
        <is>
          <t>Door hardware - Electric strikes and magnetic locks</t>
        </is>
      </c>
      <c r="I639" s="22" t="n">
        <v>12</v>
      </c>
      <c r="J639" s="3" t="inlineStr">
        <is>
          <t>EA</t>
        </is>
      </c>
      <c r="K639" s="39" t="n">
        <v>650</v>
      </c>
      <c r="L639" s="35" t="n">
        <v>7800</v>
      </c>
      <c r="M639" s="3" t="inlineStr">
        <is>
          <t>CAD</t>
        </is>
      </c>
      <c r="N639" s="3" t="inlineStr">
        <is>
          <t>ALLOWANCE</t>
        </is>
      </c>
      <c r="O639" s="3" t="inlineStr">
        <is>
          <t>A-009</t>
        </is>
      </c>
      <c r="P639" s="3" t="inlineStr">
        <is>
          <t>LOW</t>
        </is>
      </c>
      <c r="Q639" s="3" t="inlineStr">
        <is>
          <t>Electric strikes or mag locks for 12 controlled doors/gates; fail-safe/fail-secure per design; stainless steel; typical unit cost $450-850</t>
        </is>
      </c>
      <c r="R639" s="3">
        <f>VLOOKUP($F639,Inputs!$D$6:$E$41,2,FALSE)</f>
        <v/>
      </c>
      <c r="S639" s="36">
        <f>VLOOKUP($E639,Inputs!$A$6:$B$13,2,FALSE)*Inputs!$B$2</f>
        <v/>
      </c>
      <c r="T639" s="35">
        <f>$L639*$S639</f>
        <v/>
      </c>
      <c r="U639" s="35">
        <f>$L639+$T639</f>
        <v/>
      </c>
    </row>
    <row r="640">
      <c r="A640" s="3" t="inlineStr">
        <is>
          <t>PKG-24::L-013</t>
        </is>
      </c>
      <c r="B640" s="3" t="inlineStr">
        <is>
          <t>PKG-24</t>
        </is>
      </c>
      <c r="C640" s="3" t="inlineStr">
        <is>
          <t>DEL-24.03</t>
        </is>
      </c>
      <c r="D640" s="3" t="inlineStr">
        <is>
          <t>L-013</t>
        </is>
      </c>
      <c r="E640" s="3" t="inlineStr">
        <is>
          <t>MAT</t>
        </is>
      </c>
      <c r="F640" s="3" t="inlineStr">
        <is>
          <t>PKG-24</t>
        </is>
      </c>
      <c r="G640" s="3" t="inlineStr">
        <is>
          <t>DEL-24.03</t>
        </is>
      </c>
      <c r="H640" s="3" t="inlineStr">
        <is>
          <t>Door hardware - REX devices and door position switches</t>
        </is>
      </c>
      <c r="I640" s="22" t="n">
        <v>12</v>
      </c>
      <c r="J640" s="3" t="inlineStr">
        <is>
          <t>EA</t>
        </is>
      </c>
      <c r="K640" s="39" t="n">
        <v>180</v>
      </c>
      <c r="L640" s="35" t="n">
        <v>2160</v>
      </c>
      <c r="M640" s="3" t="inlineStr">
        <is>
          <t>CAD</t>
        </is>
      </c>
      <c r="N640" s="3" t="inlineStr">
        <is>
          <t>ALLOWANCE</t>
        </is>
      </c>
      <c r="O640" s="3" t="inlineStr">
        <is>
          <t>A-009</t>
        </is>
      </c>
      <c r="P640" s="3" t="inlineStr">
        <is>
          <t>LOW</t>
        </is>
      </c>
      <c r="Q640" s="3" t="inlineStr">
        <is>
          <t>Request-to-exit motion sensors or buttons; door position switches; 1 set per controlled door; typical unit cost $120-240 per set</t>
        </is>
      </c>
      <c r="R640" s="3">
        <f>VLOOKUP($F640,Inputs!$D$6:$E$41,2,FALSE)</f>
        <v/>
      </c>
      <c r="S640" s="36">
        <f>VLOOKUP($E640,Inputs!$A$6:$B$13,2,FALSE)*Inputs!$B$2</f>
        <v/>
      </c>
      <c r="T640" s="35">
        <f>$L640*$S640</f>
        <v/>
      </c>
      <c r="U640" s="35">
        <f>$L640+$T640</f>
        <v/>
      </c>
    </row>
    <row r="641">
      <c r="A641" s="3" t="inlineStr">
        <is>
          <t>PKG-24::L-014</t>
        </is>
      </c>
      <c r="B641" s="3" t="inlineStr">
        <is>
          <t>PKG-24</t>
        </is>
      </c>
      <c r="C641" s="3" t="inlineStr">
        <is>
          <t>DEL-24.03</t>
        </is>
      </c>
      <c r="D641" s="3" t="inlineStr">
        <is>
          <t>L-014</t>
        </is>
      </c>
      <c r="E641" s="3" t="inlineStr">
        <is>
          <t>MAT</t>
        </is>
      </c>
      <c r="F641" s="3" t="inlineStr">
        <is>
          <t>PKG-24</t>
        </is>
      </c>
      <c r="G641" s="3" t="inlineStr">
        <is>
          <t>DEL-24.03</t>
        </is>
      </c>
      <c r="H641" s="3" t="inlineStr">
        <is>
          <t>Network switches (PoE) and fiber equipment</t>
        </is>
      </c>
      <c r="I641" s="22" t="n">
        <v>4</v>
      </c>
      <c r="J641" s="3" t="inlineStr">
        <is>
          <t>EA</t>
        </is>
      </c>
      <c r="K641" s="39" t="n">
        <v>4500</v>
      </c>
      <c r="L641" s="35" t="n">
        <v>18000</v>
      </c>
      <c r="M641" s="3" t="inlineStr">
        <is>
          <t>CAD</t>
        </is>
      </c>
      <c r="N641" s="3" t="inlineStr">
        <is>
          <t>ALLOWANCE</t>
        </is>
      </c>
      <c r="O641" s="3" t="inlineStr">
        <is>
          <t>A-010</t>
        </is>
      </c>
      <c r="P641" s="3" t="inlineStr">
        <is>
          <t>LOW</t>
        </is>
      </c>
      <c r="Q641" s="3" t="inlineStr">
        <is>
          <t>Managed PoE+ switches (24-48 port); fiber SFP modules; patch panels; typical unit cost $3500-5500 per switch with accessories</t>
        </is>
      </c>
      <c r="R641" s="3">
        <f>VLOOKUP($F641,Inputs!$D$6:$E$41,2,FALSE)</f>
        <v/>
      </c>
      <c r="S641" s="36">
        <f>VLOOKUP($E641,Inputs!$A$6:$B$13,2,FALSE)*Inputs!$B$2</f>
        <v/>
      </c>
      <c r="T641" s="35">
        <f>$L641*$S641</f>
        <v/>
      </c>
      <c r="U641" s="35">
        <f>$L641+$T641</f>
        <v/>
      </c>
    </row>
    <row r="642">
      <c r="A642" s="3" t="inlineStr">
        <is>
          <t>PKG-24::L-015</t>
        </is>
      </c>
      <c r="B642" s="3" t="inlineStr">
        <is>
          <t>PKG-24</t>
        </is>
      </c>
      <c r="C642" s="3" t="inlineStr">
        <is>
          <t>DEL-24.03</t>
        </is>
      </c>
      <c r="D642" s="3" t="inlineStr">
        <is>
          <t>L-015</t>
        </is>
      </c>
      <c r="E642" s="3" t="inlineStr">
        <is>
          <t>MAT</t>
        </is>
      </c>
      <c r="F642" s="3" t="inlineStr">
        <is>
          <t>PKG-24</t>
        </is>
      </c>
      <c r="G642" s="3" t="inlineStr">
        <is>
          <t>DEL-24.03</t>
        </is>
      </c>
      <c r="H642" s="3" t="inlineStr">
        <is>
          <t>UPS and power supplies</t>
        </is>
      </c>
      <c r="I642" s="22" t="n">
        <v>3</v>
      </c>
      <c r="J642" s="3" t="inlineStr">
        <is>
          <t>EA</t>
        </is>
      </c>
      <c r="K642" s="39" t="n">
        <v>2800</v>
      </c>
      <c r="L642" s="35" t="n">
        <v>8400</v>
      </c>
      <c r="M642" s="3" t="inlineStr">
        <is>
          <t>CAD</t>
        </is>
      </c>
      <c r="N642" s="3" t="inlineStr">
        <is>
          <t>ALLOWANCE</t>
        </is>
      </c>
      <c r="O642" s="3" t="inlineStr">
        <is>
          <t>A-011</t>
        </is>
      </c>
      <c r="P642" s="3" t="inlineStr">
        <is>
          <t>LOW</t>
        </is>
      </c>
      <c r="Q642" s="3" t="inlineStr">
        <is>
          <t>UPS units for equipment rooms and critical controllers; 4-8 hour battery backup; rack-mount or standalone; typical unit cost $2000-3500</t>
        </is>
      </c>
      <c r="R642" s="3">
        <f>VLOOKUP($F642,Inputs!$D$6:$E$41,2,FALSE)</f>
        <v/>
      </c>
      <c r="S642" s="36">
        <f>VLOOKUP($E642,Inputs!$A$6:$B$13,2,FALSE)*Inputs!$B$2</f>
        <v/>
      </c>
      <c r="T642" s="35">
        <f>$L642*$S642</f>
        <v/>
      </c>
      <c r="U642" s="35">
        <f>$L642+$T642</f>
        <v/>
      </c>
    </row>
    <row r="643">
      <c r="A643" s="3" t="inlineStr">
        <is>
          <t>PKG-24::L-016</t>
        </is>
      </c>
      <c r="B643" s="3" t="inlineStr">
        <is>
          <t>PKG-24</t>
        </is>
      </c>
      <c r="C643" s="3" t="inlineStr">
        <is>
          <t>DEL-24.03</t>
        </is>
      </c>
      <c r="D643" s="3" t="inlineStr">
        <is>
          <t>L-016</t>
        </is>
      </c>
      <c r="E643" s="3" t="inlineStr">
        <is>
          <t>MAT</t>
        </is>
      </c>
      <c r="F643" s="3" t="inlineStr">
        <is>
          <t>PKG-24</t>
        </is>
      </c>
      <c r="G643" s="3" t="inlineStr">
        <is>
          <t>DEL-24.03</t>
        </is>
      </c>
      <c r="H643" s="3" t="inlineStr">
        <is>
          <t>Cabling and conduit materials</t>
        </is>
      </c>
      <c r="I643" s="22" t="n">
        <v>1</v>
      </c>
      <c r="J643" s="3" t="inlineStr">
        <is>
          <t>LS</t>
        </is>
      </c>
      <c r="K643" s="39" t="n">
        <v>95000</v>
      </c>
      <c r="L643" s="35" t="n">
        <v>95000</v>
      </c>
      <c r="M643" s="3" t="inlineStr">
        <is>
          <t>CAD</t>
        </is>
      </c>
      <c r="N643" s="3" t="inlineStr">
        <is>
          <t>ALLOWANCE</t>
        </is>
      </c>
      <c r="O643" s="3" t="inlineStr">
        <is>
          <t>A-012</t>
        </is>
      </c>
      <c r="P643" s="3" t="inlineStr">
        <is>
          <t>LOW</t>
        </is>
      </c>
      <c r="Q643" s="3" t="inlineStr">
        <is>
          <t>Cat6A cabling (2000-3000m); single-mode fiber (500-800m); outdoor-rated; conduit and fittings; cable trays; pull boxes; labels; typical bulk cabling materials for 21 cameras + 12 readers + network infrastructure</t>
        </is>
      </c>
      <c r="R643" s="3">
        <f>VLOOKUP($F643,Inputs!$D$6:$E$41,2,FALSE)</f>
        <v/>
      </c>
      <c r="S643" s="36">
        <f>VLOOKUP($E643,Inputs!$A$6:$B$13,2,FALSE)*Inputs!$B$2</f>
        <v/>
      </c>
      <c r="T643" s="35">
        <f>$L643*$S643</f>
        <v/>
      </c>
      <c r="U643" s="35">
        <f>$L643+$T643</f>
        <v/>
      </c>
    </row>
    <row r="644">
      <c r="A644" s="3" t="inlineStr">
        <is>
          <t>PKG-24::L-017</t>
        </is>
      </c>
      <c r="B644" s="3" t="inlineStr">
        <is>
          <t>PKG-24</t>
        </is>
      </c>
      <c r="C644" s="3" t="inlineStr">
        <is>
          <t>DEL-24.03</t>
        </is>
      </c>
      <c r="D644" s="3" t="inlineStr">
        <is>
          <t>L-017</t>
        </is>
      </c>
      <c r="E644" s="3" t="inlineStr">
        <is>
          <t>MAT</t>
        </is>
      </c>
      <c r="F644" s="3" t="inlineStr">
        <is>
          <t>PKG-24</t>
        </is>
      </c>
      <c r="G644" s="3" t="inlineStr">
        <is>
          <t>DEL-24.03</t>
        </is>
      </c>
      <c r="H644" s="3" t="inlineStr">
        <is>
          <t>Camera poles and mounting structures</t>
        </is>
      </c>
      <c r="I644" s="22" t="n">
        <v>8</v>
      </c>
      <c r="J644" s="3" t="inlineStr">
        <is>
          <t>EA</t>
        </is>
      </c>
      <c r="K644" s="39" t="n">
        <v>3200</v>
      </c>
      <c r="L644" s="35" t="n">
        <v>25600</v>
      </c>
      <c r="M644" s="3" t="inlineStr">
        <is>
          <t>CAD</t>
        </is>
      </c>
      <c r="N644" s="3" t="inlineStr">
        <is>
          <t>ALLOWANCE</t>
        </is>
      </c>
      <c r="O644" s="3" t="inlineStr">
        <is>
          <t>A-013</t>
        </is>
      </c>
      <c r="P644" s="3" t="inlineStr">
        <is>
          <t>LOW</t>
        </is>
      </c>
      <c r="Q644" s="3" t="inlineStr">
        <is>
          <t>Dedicated camera poles 4-8m height for areas without building/structure mounting; includes foundation; typical unit cost $2500-4000 per pole with foundation and installation</t>
        </is>
      </c>
      <c r="R644" s="3">
        <f>VLOOKUP($F644,Inputs!$D$6:$E$41,2,FALSE)</f>
        <v/>
      </c>
      <c r="S644" s="36">
        <f>VLOOKUP($E644,Inputs!$A$6:$B$13,2,FALSE)*Inputs!$B$2</f>
        <v/>
      </c>
      <c r="T644" s="35">
        <f>$L644*$S644</f>
        <v/>
      </c>
      <c r="U644" s="35">
        <f>$L644+$T644</f>
        <v/>
      </c>
    </row>
    <row r="645">
      <c r="A645" s="3" t="inlineStr">
        <is>
          <t>PKG-24::L-018</t>
        </is>
      </c>
      <c r="B645" s="3" t="inlineStr">
        <is>
          <t>PKG-24</t>
        </is>
      </c>
      <c r="C645" s="3" t="inlineStr">
        <is>
          <t>DEL-24.04</t>
        </is>
      </c>
      <c r="D645" s="3" t="inlineStr">
        <is>
          <t>L-018</t>
        </is>
      </c>
      <c r="E645" s="3" t="inlineStr">
        <is>
          <t>CD</t>
        </is>
      </c>
      <c r="F645" s="3" t="inlineStr">
        <is>
          <t>PKG-24</t>
        </is>
      </c>
      <c r="G645" s="3" t="inlineStr">
        <is>
          <t>DEL-24.04</t>
        </is>
      </c>
      <c r="H645" s="3" t="inlineStr">
        <is>
          <t>CCTV equipment installation</t>
        </is>
      </c>
      <c r="I645" s="22" t="n">
        <v>21</v>
      </c>
      <c r="J645" s="3" t="inlineStr">
        <is>
          <t>EA</t>
        </is>
      </c>
      <c r="K645" s="39" t="n">
        <v>850</v>
      </c>
      <c r="L645" s="35" t="n">
        <v>17850</v>
      </c>
      <c r="M645" s="3" t="inlineStr">
        <is>
          <t>CAD</t>
        </is>
      </c>
      <c r="N645" s="3" t="inlineStr">
        <is>
          <t>ALLOWANCE</t>
        </is>
      </c>
      <c r="O645" s="3" t="inlineStr">
        <is>
          <t>A-014 + A-020</t>
        </is>
      </c>
      <c r="P645" s="3" t="inlineStr">
        <is>
          <t>LOW</t>
        </is>
      </c>
      <c r="Q645" s="3" t="inlineStr">
        <is>
          <t>Fixed and PTZ camera installation; mounting; cable pulling/termination; aiming; configuration; typical labor 6-12 hours per camera @ $120-150/hr loaded labor rate</t>
        </is>
      </c>
      <c r="R645" s="3">
        <f>VLOOKUP($F645,Inputs!$D$6:$E$41,2,FALSE)</f>
        <v/>
      </c>
      <c r="S645" s="36">
        <f>VLOOKUP($E645,Inputs!$A$6:$B$13,2,FALSE)*Inputs!$B$2</f>
        <v/>
      </c>
      <c r="T645" s="35">
        <f>$L645*$S645</f>
        <v/>
      </c>
      <c r="U645" s="35">
        <f>$L645+$T645</f>
        <v/>
      </c>
    </row>
    <row r="646">
      <c r="A646" s="3" t="inlineStr">
        <is>
          <t>PKG-24::L-019</t>
        </is>
      </c>
      <c r="B646" s="3" t="inlineStr">
        <is>
          <t>PKG-24</t>
        </is>
      </c>
      <c r="C646" s="3" t="inlineStr">
        <is>
          <t>DEL-24.04</t>
        </is>
      </c>
      <c r="D646" s="3" t="inlineStr">
        <is>
          <t>L-019</t>
        </is>
      </c>
      <c r="E646" s="3" t="inlineStr">
        <is>
          <t>CD</t>
        </is>
      </c>
      <c r="F646" s="3" t="inlineStr">
        <is>
          <t>PKG-24</t>
        </is>
      </c>
      <c r="G646" s="3" t="inlineStr">
        <is>
          <t>DEL-24.04</t>
        </is>
      </c>
      <c r="H646" s="3" t="inlineStr">
        <is>
          <t>Access control equipment installation</t>
        </is>
      </c>
      <c r="I646" s="22" t="n">
        <v>12</v>
      </c>
      <c r="J646" s="3" t="inlineStr">
        <is>
          <t>EA</t>
        </is>
      </c>
      <c r="K646" s="39" t="n">
        <v>1100</v>
      </c>
      <c r="L646" s="35" t="n">
        <v>13200</v>
      </c>
      <c r="M646" s="3" t="inlineStr">
        <is>
          <t>CAD</t>
        </is>
      </c>
      <c r="N646" s="3" t="inlineStr">
        <is>
          <t>ALLOWANCE</t>
        </is>
      </c>
      <c r="O646" s="3" t="inlineStr">
        <is>
          <t>A-015 + A-020</t>
        </is>
      </c>
      <c r="P646" s="3" t="inlineStr">
        <is>
          <t>LOW</t>
        </is>
      </c>
      <c r="Q646" s="3" t="inlineStr">
        <is>
          <t>Card reader installation; controller installation; door hardware installation; cable pulling/termination; configuration; typical labor 8-14 hours per door @ $120-150/hr loaded labor rate</t>
        </is>
      </c>
      <c r="R646" s="3">
        <f>VLOOKUP($F646,Inputs!$D$6:$E$41,2,FALSE)</f>
        <v/>
      </c>
      <c r="S646" s="36">
        <f>VLOOKUP($E646,Inputs!$A$6:$B$13,2,FALSE)*Inputs!$B$2</f>
        <v/>
      </c>
      <c r="T646" s="35">
        <f>$L646*$S646</f>
        <v/>
      </c>
      <c r="U646" s="35">
        <f>$L646+$T646</f>
        <v/>
      </c>
    </row>
    <row r="647">
      <c r="A647" s="3" t="inlineStr">
        <is>
          <t>PKG-24::L-020</t>
        </is>
      </c>
      <c r="B647" s="3" t="inlineStr">
        <is>
          <t>PKG-24</t>
        </is>
      </c>
      <c r="C647" s="3" t="inlineStr">
        <is>
          <t>DEL-24.04</t>
        </is>
      </c>
      <c r="D647" s="3" t="inlineStr">
        <is>
          <t>L-020</t>
        </is>
      </c>
      <c r="E647" s="3" t="inlineStr">
        <is>
          <t>CD</t>
        </is>
      </c>
      <c r="F647" s="3" t="inlineStr">
        <is>
          <t>PKG-24</t>
        </is>
      </c>
      <c r="G647" s="3" t="inlineStr">
        <is>
          <t>DEL-24.04</t>
        </is>
      </c>
      <c r="H647" s="3" t="inlineStr">
        <is>
          <t>Network and central equipment installation</t>
        </is>
      </c>
      <c r="I647" s="22" t="n">
        <v>1</v>
      </c>
      <c r="J647" s="3" t="inlineStr">
        <is>
          <t>LS</t>
        </is>
      </c>
      <c r="K647" s="39" t="n">
        <v>42000</v>
      </c>
      <c r="L647" s="35" t="n">
        <v>42000</v>
      </c>
      <c r="M647" s="3" t="inlineStr">
        <is>
          <t>CAD</t>
        </is>
      </c>
      <c r="N647" s="3" t="inlineStr">
        <is>
          <t>ALLOWANCE</t>
        </is>
      </c>
      <c r="O647" s="3" t="inlineStr">
        <is>
          <t>A-016 + A-020</t>
        </is>
      </c>
      <c r="P647" s="3" t="inlineStr">
        <is>
          <t>LOW</t>
        </is>
      </c>
      <c r="Q647" s="3" t="inlineStr">
        <is>
          <t>NVR/VMS server installation and configuration; network switch installation and configuration; fiber terminations; rack installation; UPS installation; typical 250-350 hours @ $120-150/hr loaded labor rate</t>
        </is>
      </c>
      <c r="R647" s="3">
        <f>VLOOKUP($F647,Inputs!$D$6:$E$41,2,FALSE)</f>
        <v/>
      </c>
      <c r="S647" s="36">
        <f>VLOOKUP($E647,Inputs!$A$6:$B$13,2,FALSE)*Inputs!$B$2</f>
        <v/>
      </c>
      <c r="T647" s="35">
        <f>$L647*$S647</f>
        <v/>
      </c>
      <c r="U647" s="35">
        <f>$L647+$T647</f>
        <v/>
      </c>
    </row>
    <row r="648">
      <c r="A648" s="3" t="inlineStr">
        <is>
          <t>PKG-24::L-021</t>
        </is>
      </c>
      <c r="B648" s="3" t="inlineStr">
        <is>
          <t>PKG-24</t>
        </is>
      </c>
      <c r="C648" s="3" t="inlineStr">
        <is>
          <t>DEL-24.04</t>
        </is>
      </c>
      <c r="D648" s="3" t="inlineStr">
        <is>
          <t>L-021</t>
        </is>
      </c>
      <c r="E648" s="3" t="inlineStr">
        <is>
          <t>CD</t>
        </is>
      </c>
      <c r="F648" s="3" t="inlineStr">
        <is>
          <t>PKG-24</t>
        </is>
      </c>
      <c r="G648" s="3" t="inlineStr">
        <is>
          <t>DEL-24.04</t>
        </is>
      </c>
      <c r="H648" s="3" t="inlineStr">
        <is>
          <t>Underground conduit installation</t>
        </is>
      </c>
      <c r="I648" s="22" t="n">
        <v>1</v>
      </c>
      <c r="J648" s="3" t="inlineStr">
        <is>
          <t>LS</t>
        </is>
      </c>
      <c r="K648" s="39" t="n">
        <v>95000</v>
      </c>
      <c r="L648" s="35" t="n">
        <v>95000</v>
      </c>
      <c r="M648" s="3" t="inlineStr">
        <is>
          <t>CAD</t>
        </is>
      </c>
      <c r="N648" s="3" t="inlineStr">
        <is>
          <t>ALLOWANCE</t>
        </is>
      </c>
      <c r="O648" s="3" t="inlineStr">
        <is>
          <t>A-017</t>
        </is>
      </c>
      <c r="P648" s="3" t="inlineStr">
        <is>
          <t>LOW</t>
        </is>
      </c>
      <c r="Q648" s="3" t="inlineStr">
        <is>
          <t>Trenching or boring for underground conduit routing; conduit installation; pull boxes; backfill; coordinate with PKG-03; approximately 400-700 LM conduit runs; includes excavation/backfill labor</t>
        </is>
      </c>
      <c r="R648" s="3">
        <f>VLOOKUP($F648,Inputs!$D$6:$E$41,2,FALSE)</f>
        <v/>
      </c>
      <c r="S648" s="36">
        <f>VLOOKUP($E648,Inputs!$A$6:$B$13,2,FALSE)*Inputs!$B$2</f>
        <v/>
      </c>
      <c r="T648" s="35">
        <f>$L648*$S648</f>
        <v/>
      </c>
      <c r="U648" s="35">
        <f>$L648+$T648</f>
        <v/>
      </c>
    </row>
    <row r="649">
      <c r="A649" s="3" t="inlineStr">
        <is>
          <t>PKG-24::L-022</t>
        </is>
      </c>
      <c r="B649" s="3" t="inlineStr">
        <is>
          <t>PKG-24</t>
        </is>
      </c>
      <c r="C649" s="3" t="inlineStr">
        <is>
          <t>DEL-24.04</t>
        </is>
      </c>
      <c r="D649" s="3" t="inlineStr">
        <is>
          <t>L-022</t>
        </is>
      </c>
      <c r="E649" s="3" t="inlineStr">
        <is>
          <t>CD</t>
        </is>
      </c>
      <c r="F649" s="3" t="inlineStr">
        <is>
          <t>PKG-24</t>
        </is>
      </c>
      <c r="G649" s="3" t="inlineStr">
        <is>
          <t>DEL-24.04</t>
        </is>
      </c>
      <c r="H649" s="3" t="inlineStr">
        <is>
          <t>Camera pole foundations and installation</t>
        </is>
      </c>
      <c r="I649" s="22" t="n">
        <v>8</v>
      </c>
      <c r="J649" s="3" t="inlineStr">
        <is>
          <t>EA</t>
        </is>
      </c>
      <c r="K649" s="39" t="n">
        <v>1400</v>
      </c>
      <c r="L649" s="35" t="n">
        <v>11200</v>
      </c>
      <c r="M649" s="3" t="inlineStr">
        <is>
          <t>CAD</t>
        </is>
      </c>
      <c r="N649" s="3" t="inlineStr">
        <is>
          <t>ALLOWANCE</t>
        </is>
      </c>
      <c r="O649" s="3" t="inlineStr">
        <is>
          <t>A-018</t>
        </is>
      </c>
      <c r="P649" s="3" t="inlineStr">
        <is>
          <t>LOW</t>
        </is>
      </c>
      <c r="Q649" s="3" t="inlineStr">
        <is>
          <t>Concrete foundations for camera poles; pole erection; grounding; typical labor 10-16 hours per pole @ $120-150/hr loaded labor + concrete materials labor</t>
        </is>
      </c>
      <c r="R649" s="3">
        <f>VLOOKUP($F649,Inputs!$D$6:$E$41,2,FALSE)</f>
        <v/>
      </c>
      <c r="S649" s="36">
        <f>VLOOKUP($E649,Inputs!$A$6:$B$13,2,FALSE)*Inputs!$B$2</f>
        <v/>
      </c>
      <c r="T649" s="35">
        <f>$L649*$S649</f>
        <v/>
      </c>
      <c r="U649" s="35">
        <f>$L649+$T649</f>
        <v/>
      </c>
    </row>
    <row r="650">
      <c r="A650" s="3" t="inlineStr">
        <is>
          <t>PKG-24::L-023</t>
        </is>
      </c>
      <c r="B650" s="3" t="inlineStr">
        <is>
          <t>PKG-24</t>
        </is>
      </c>
      <c r="C650" s="3" t="inlineStr">
        <is>
          <t>DEL-24.04</t>
        </is>
      </c>
      <c r="D650" s="3" t="inlineStr">
        <is>
          <t>L-023</t>
        </is>
      </c>
      <c r="E650" s="3" t="inlineStr">
        <is>
          <t>CD</t>
        </is>
      </c>
      <c r="F650" s="3" t="inlineStr">
        <is>
          <t>PKG-24</t>
        </is>
      </c>
      <c r="G650" s="3" t="inlineStr">
        <is>
          <t>DEL-24.04</t>
        </is>
      </c>
      <c r="H650" s="3" t="inlineStr">
        <is>
          <t>System testing and commissioning labor</t>
        </is>
      </c>
      <c r="I650" s="22" t="n">
        <v>1</v>
      </c>
      <c r="J650" s="3" t="inlineStr">
        <is>
          <t>LS</t>
        </is>
      </c>
      <c r="K650" s="39" t="n">
        <v>65000</v>
      </c>
      <c r="L650" s="35" t="n">
        <v>65000</v>
      </c>
      <c r="M650" s="3" t="inlineStr">
        <is>
          <t>CAD</t>
        </is>
      </c>
      <c r="N650" s="3" t="inlineStr">
        <is>
          <t>ALLOWANCE</t>
        </is>
      </c>
      <c r="O650" s="3" t="inlineStr">
        <is>
          <t>A-019 + A-021</t>
        </is>
      </c>
      <c r="P650" s="3" t="inlineStr">
        <is>
          <t>LOW</t>
        </is>
      </c>
      <c r="Q650" s="3" t="inlineStr">
        <is>
          <t>Cable testing; camera functional testing; access control functional testing; coverage verification; integration testing; SAT support; commissioning; Terminal integration coordination per DEC-05; typical 400-550 hours @ $120-150/hr loaded labor rate</t>
        </is>
      </c>
      <c r="R650" s="3">
        <f>VLOOKUP($F650,Inputs!$D$6:$E$41,2,FALSE)</f>
        <v/>
      </c>
      <c r="S650" s="36">
        <f>VLOOKUP($E650,Inputs!$A$6:$B$13,2,FALSE)*Inputs!$B$2</f>
        <v/>
      </c>
      <c r="T650" s="35">
        <f>$L650*$S650</f>
        <v/>
      </c>
      <c r="U650" s="35">
        <f>$L650+$T650</f>
        <v/>
      </c>
    </row>
    <row r="651">
      <c r="A651" s="3" t="inlineStr">
        <is>
          <t>PKG-24::L-024</t>
        </is>
      </c>
      <c r="B651" s="3" t="inlineStr">
        <is>
          <t>PKG-24</t>
        </is>
      </c>
      <c r="C651" s="3" t="n"/>
      <c r="D651" s="3" t="inlineStr">
        <is>
          <t>L-024</t>
        </is>
      </c>
      <c r="E651" s="3" t="inlineStr">
        <is>
          <t>CI</t>
        </is>
      </c>
      <c r="F651" s="3" t="inlineStr">
        <is>
          <t>PKG-24</t>
        </is>
      </c>
      <c r="G651" s="3" t="n"/>
      <c r="H651" s="3" t="inlineStr">
        <is>
          <t>Construction Indirects (factor-based)</t>
        </is>
      </c>
      <c r="I651" s="22" t="n">
        <v>1</v>
      </c>
      <c r="J651" s="3" t="inlineStr">
        <is>
          <t>LS</t>
        </is>
      </c>
      <c r="K651" s="39" t="n">
        <v>44000</v>
      </c>
      <c r="L651" s="35" t="n">
        <v>44000</v>
      </c>
      <c r="M651" s="3" t="inlineStr">
        <is>
          <t>CAD</t>
        </is>
      </c>
      <c r="N651" s="3" t="inlineStr">
        <is>
          <t>PARAMETRIC</t>
        </is>
      </c>
      <c r="O651" s="3" t="inlineStr">
        <is>
          <t>D-009 (factor=0.18)</t>
        </is>
      </c>
      <c r="P651" s="3" t="inlineStr">
        <is>
          <t>MEDIUM</t>
        </is>
      </c>
      <c r="Q651" s="3" t="inlineStr">
        <is>
          <t>CI = 0.18 × CD ($244k); includes field supervision; temporary facilities allocation; HSE; QA/QC field inspection; construction management; small tools; per fallback typical model</t>
        </is>
      </c>
      <c r="R651" s="3">
        <f>VLOOKUP($F651,Inputs!$D$6:$E$41,2,FALSE)</f>
        <v/>
      </c>
      <c r="S651" s="36">
        <f>VLOOKUP($E651,Inputs!$A$6:$B$13,2,FALSE)*Inputs!$B$2</f>
        <v/>
      </c>
      <c r="T651" s="35">
        <f>$L651*$S651</f>
        <v/>
      </c>
      <c r="U651" s="35">
        <f>$L651+$T651</f>
        <v/>
      </c>
    </row>
    <row r="652">
      <c r="A652" s="3" t="inlineStr">
        <is>
          <t>PKG-24::L-025</t>
        </is>
      </c>
      <c r="B652" s="3" t="inlineStr">
        <is>
          <t>PKG-24</t>
        </is>
      </c>
      <c r="C652" s="3" t="n"/>
      <c r="D652" s="3" t="inlineStr">
        <is>
          <t>L-025</t>
        </is>
      </c>
      <c r="E652" s="3" t="inlineStr">
        <is>
          <t>P</t>
        </is>
      </c>
      <c r="F652" s="3" t="inlineStr">
        <is>
          <t>PKG-24</t>
        </is>
      </c>
      <c r="G652" s="3" t="n"/>
      <c r="H652" s="3" t="inlineStr">
        <is>
          <t>Procurement Services (factor-based)</t>
        </is>
      </c>
      <c r="I652" s="22" t="n">
        <v>1</v>
      </c>
      <c r="J652" s="3" t="inlineStr">
        <is>
          <t>LS</t>
        </is>
      </c>
      <c r="K652" s="39" t="n">
        <v>7000</v>
      </c>
      <c r="L652" s="35" t="n">
        <v>7000</v>
      </c>
      <c r="M652" s="3" t="inlineStr">
        <is>
          <t>CAD</t>
        </is>
      </c>
      <c r="N652" s="3" t="inlineStr">
        <is>
          <t>PARAMETRIC</t>
        </is>
      </c>
      <c r="O652" s="3" t="inlineStr">
        <is>
          <t>D-009 (factor=0.02)</t>
        </is>
      </c>
      <c r="P652" s="3" t="inlineStr">
        <is>
          <t>MEDIUM</t>
        </is>
      </c>
      <c r="Q652" s="3" t="inlineStr">
        <is>
          <t>P = 0.02 × MAT ($359k); includes equipment sourcing; vendor coordination; PO processing; expediting; receiving inspection; documentation management; per fallback typical model</t>
        </is>
      </c>
      <c r="R652" s="3">
        <f>VLOOKUP($F652,Inputs!$D$6:$E$41,2,FALSE)</f>
        <v/>
      </c>
      <c r="S652" s="36">
        <f>VLOOKUP($E652,Inputs!$A$6:$B$13,2,FALSE)*Inputs!$B$2</f>
        <v/>
      </c>
      <c r="T652" s="35">
        <f>$L652*$S652</f>
        <v/>
      </c>
      <c r="U652" s="35">
        <f>$L652+$T652</f>
        <v/>
      </c>
    </row>
    <row r="653">
      <c r="A653" s="3" t="inlineStr">
        <is>
          <t>PKG-24::L-026</t>
        </is>
      </c>
      <c r="B653" s="3" t="inlineStr">
        <is>
          <t>PKG-24</t>
        </is>
      </c>
      <c r="C653" s="3" t="n"/>
      <c r="D653" s="3" t="inlineStr">
        <is>
          <t>L-026</t>
        </is>
      </c>
      <c r="E653" s="3" t="inlineStr">
        <is>
          <t>PM</t>
        </is>
      </c>
      <c r="F653" s="3" t="inlineStr">
        <is>
          <t>PKG-24</t>
        </is>
      </c>
      <c r="G653" s="3" t="n"/>
      <c r="H653" s="3" t="inlineStr">
        <is>
          <t>EPCM/Project Management (factor-based)</t>
        </is>
      </c>
      <c r="I653" s="22" t="n">
        <v>1</v>
      </c>
      <c r="J653" s="3" t="inlineStr">
        <is>
          <t>LS</t>
        </is>
      </c>
      <c r="K653" s="39" t="n">
        <v>37000</v>
      </c>
      <c r="L653" s="35" t="n">
        <v>37000</v>
      </c>
      <c r="M653" s="3" t="inlineStr">
        <is>
          <t>CAD</t>
        </is>
      </c>
      <c r="N653" s="3" t="inlineStr">
        <is>
          <t>PARAMETRIC</t>
        </is>
      </c>
      <c r="O653" s="3" t="inlineStr">
        <is>
          <t>D-009 (factor=0.06)</t>
        </is>
      </c>
      <c r="P653" s="3" t="inlineStr">
        <is>
          <t>MEDIUM</t>
        </is>
      </c>
      <c r="Q653" s="3" t="inlineStr">
        <is>
          <t>PM = 0.06 × (CD + CI + MAT) ($647k); includes project management allocation; engineering management; schedule/cost control; contract administration; Terminal coordination; per fallback typical model</t>
        </is>
      </c>
      <c r="R653" s="3">
        <f>VLOOKUP($F653,Inputs!$D$6:$E$41,2,FALSE)</f>
        <v/>
      </c>
      <c r="S653" s="36">
        <f>VLOOKUP($E653,Inputs!$A$6:$B$13,2,FALSE)*Inputs!$B$2</f>
        <v/>
      </c>
      <c r="T653" s="35">
        <f>$L653*$S653</f>
        <v/>
      </c>
      <c r="U653" s="35">
        <f>$L653+$T653</f>
        <v/>
      </c>
    </row>
    <row r="654">
      <c r="A654" s="3" t="inlineStr">
        <is>
          <t>PKG-24::L-027</t>
        </is>
      </c>
      <c r="B654" s="3" t="inlineStr">
        <is>
          <t>PKG-24</t>
        </is>
      </c>
      <c r="C654" s="3" t="n"/>
      <c r="D654" s="3" t="inlineStr">
        <is>
          <t>L-027</t>
        </is>
      </c>
      <c r="E654" s="3" t="inlineStr">
        <is>
          <t>COM</t>
        </is>
      </c>
      <c r="F654" s="3" t="inlineStr">
        <is>
          <t>PKG-24</t>
        </is>
      </c>
      <c r="G654" s="3" t="n"/>
      <c r="H654" s="3" t="inlineStr">
        <is>
          <t>Commissioning Services (factor-based)</t>
        </is>
      </c>
      <c r="I654" s="22" t="n">
        <v>1</v>
      </c>
      <c r="J654" s="3" t="inlineStr">
        <is>
          <t>LS</t>
        </is>
      </c>
      <c r="K654" s="39" t="n">
        <v>19000</v>
      </c>
      <c r="L654" s="35" t="n">
        <v>19000</v>
      </c>
      <c r="M654" s="3" t="inlineStr">
        <is>
          <t>CAD</t>
        </is>
      </c>
      <c r="N654" s="3" t="inlineStr">
        <is>
          <t>PARAMETRIC</t>
        </is>
      </c>
      <c r="O654" s="3" t="inlineStr">
        <is>
          <t>D-009 (factor=0.03)</t>
        </is>
      </c>
      <c r="P654" s="3" t="inlineStr">
        <is>
          <t>MEDIUM</t>
        </is>
      </c>
      <c r="Q654" s="3" t="inlineStr">
        <is>
          <t>COM = 0.03 × (CD + CI + MAT) ($647k); includes commissioning planning; integrated system testing; performance verification; Terminal integration verification per DEC-05; deficiency closeout; training support (PKG-35); handover; per fallback typical model</t>
        </is>
      </c>
      <c r="R654" s="3">
        <f>VLOOKUP($F654,Inputs!$D$6:$E$41,2,FALSE)</f>
        <v/>
      </c>
      <c r="S654" s="36">
        <f>VLOOKUP($E654,Inputs!$A$6:$B$13,2,FALSE)*Inputs!$B$2</f>
        <v/>
      </c>
      <c r="T654" s="35">
        <f>$L654*$S654</f>
        <v/>
      </c>
      <c r="U654" s="35">
        <f>$L654+$T654</f>
        <v/>
      </c>
    </row>
    <row r="655">
      <c r="A655" s="3" t="inlineStr">
        <is>
          <t>PKG-25::2501-01</t>
        </is>
      </c>
      <c r="B655" s="3" t="inlineStr">
        <is>
          <t>PKG-25</t>
        </is>
      </c>
      <c r="C655" s="3" t="inlineStr">
        <is>
          <t>DEL-25.01</t>
        </is>
      </c>
      <c r="D655" s="3" t="inlineStr">
        <is>
          <t>2501-01</t>
        </is>
      </c>
      <c r="E655" s="3" t="inlineStr">
        <is>
          <t>MAT</t>
        </is>
      </c>
      <c r="F655" s="3" t="inlineStr">
        <is>
          <t>PKG-25</t>
        </is>
      </c>
      <c r="G655" s="3" t="inlineStr">
        <is>
          <t>DEL-25.01</t>
        </is>
      </c>
      <c r="H655" s="3" t="inlineStr">
        <is>
          <t>Fiber optic cabling system (single-mode and multi-mode; 800-1500 LM total; fiber counts 12-24; termination and splicing)</t>
        </is>
      </c>
      <c r="I655" s="22" t="n">
        <v>1</v>
      </c>
      <c r="J655" s="3" t="inlineStr">
        <is>
          <t>LS</t>
        </is>
      </c>
      <c r="K655" s="39" t="n">
        <v>80000</v>
      </c>
      <c r="L655" s="35" t="n">
        <v>80000</v>
      </c>
      <c r="M655" s="3" t="inlineStr">
        <is>
          <t>CAD</t>
        </is>
      </c>
      <c r="N655" s="3" t="inlineStr">
        <is>
          <t>ALLOWANCE</t>
        </is>
      </c>
      <c r="O655" s="3" t="inlineStr">
        <is>
          <t>A-2501</t>
        </is>
      </c>
      <c r="P655" s="3" t="inlineStr">
        <is>
          <t>LOW</t>
        </is>
      </c>
      <c r="Q655" s="3" t="inlineStr">
        <is>
          <t>OS2 single-mode for backbone (300-600 LM); OM3/OM4 multi-mode for distribution (500-900 LM); includes cables + connectors + splicing; integrated materials + labor allowance</t>
        </is>
      </c>
      <c r="R655" s="3">
        <f>VLOOKUP($F655,Inputs!$D$6:$E$41,2,FALSE)</f>
        <v/>
      </c>
      <c r="S655" s="36">
        <f>VLOOKUP($E655,Inputs!$A$6:$B$13,2,FALSE)*Inputs!$B$2</f>
        <v/>
      </c>
      <c r="T655" s="35">
        <f>$L655*$S655</f>
        <v/>
      </c>
      <c r="U655" s="35">
        <f>$L655+$T655</f>
        <v/>
      </c>
    </row>
    <row r="656">
      <c r="A656" s="3" t="inlineStr">
        <is>
          <t>PKG-25::2501-02</t>
        </is>
      </c>
      <c r="B656" s="3" t="inlineStr">
        <is>
          <t>PKG-25</t>
        </is>
      </c>
      <c r="C656" s="3" t="inlineStr">
        <is>
          <t>DEL-25.01</t>
        </is>
      </c>
      <c r="D656" s="3" t="inlineStr">
        <is>
          <t>2501-02</t>
        </is>
      </c>
      <c r="E656" s="3" t="inlineStr">
        <is>
          <t>CD</t>
        </is>
      </c>
      <c r="F656" s="3" t="inlineStr">
        <is>
          <t>PKG-25</t>
        </is>
      </c>
      <c r="G656" s="3" t="inlineStr">
        <is>
          <t>DEL-25.01</t>
        </is>
      </c>
      <c r="H656" s="3" t="inlineStr">
        <is>
          <t>Fiber optic cable installation and testing (pulling; termination; splicing; OTDR testing)</t>
        </is>
      </c>
      <c r="I656" s="22" t="n">
        <v>1</v>
      </c>
      <c r="J656" s="3" t="inlineStr">
        <is>
          <t>LS</t>
        </is>
      </c>
      <c r="K656" s="39" t="n">
        <v>40000</v>
      </c>
      <c r="L656" s="35" t="n">
        <v>40000</v>
      </c>
      <c r="M656" s="3" t="inlineStr">
        <is>
          <t>CAD</t>
        </is>
      </c>
      <c r="N656" s="3" t="inlineStr">
        <is>
          <t>ALLOWANCE</t>
        </is>
      </c>
      <c r="O656" s="3" t="inlineStr">
        <is>
          <t>A-2501 + A-2509</t>
        </is>
      </c>
      <c r="P656" s="3" t="inlineStr">
        <is>
          <t>LOW</t>
        </is>
      </c>
      <c r="Q656" s="3" t="inlineStr">
        <is>
          <t>Installation labor for fiber infrastructure; includes pathway coordination per DEL-25.01; testing per DEL-25.04</t>
        </is>
      </c>
      <c r="R656" s="3">
        <f>VLOOKUP($F656,Inputs!$D$6:$E$41,2,FALSE)</f>
        <v/>
      </c>
      <c r="S656" s="36">
        <f>VLOOKUP($E656,Inputs!$A$6:$B$13,2,FALSE)*Inputs!$B$2</f>
        <v/>
      </c>
      <c r="T656" s="35">
        <f>$L656*$S656</f>
        <v/>
      </c>
      <c r="U656" s="35">
        <f>$L656+$T656</f>
        <v/>
      </c>
    </row>
    <row r="657">
      <c r="A657" s="3" t="inlineStr">
        <is>
          <t>PKG-25::2502-01</t>
        </is>
      </c>
      <c r="B657" s="3" t="inlineStr">
        <is>
          <t>PKG-25</t>
        </is>
      </c>
      <c r="C657" s="3" t="inlineStr">
        <is>
          <t>DEL-25.01</t>
        </is>
      </c>
      <c r="D657" s="3" t="inlineStr">
        <is>
          <t>2502-01</t>
        </is>
      </c>
      <c r="E657" s="3" t="inlineStr">
        <is>
          <t>MAT</t>
        </is>
      </c>
      <c r="F657" s="3" t="inlineStr">
        <is>
          <t>PKG-25</t>
        </is>
      </c>
      <c r="G657" s="3" t="inlineStr">
        <is>
          <t>DEL-25.01</t>
        </is>
      </c>
      <c r="H657" s="3" t="inlineStr">
        <is>
          <t>Structured copper cabling system (Cat 6 or Cat 6A; 1500-2500 LM horizontal; 50-100 outlets)</t>
        </is>
      </c>
      <c r="I657" s="22" t="n">
        <v>1</v>
      </c>
      <c r="J657" s="3" t="inlineStr">
        <is>
          <t>LS</t>
        </is>
      </c>
      <c r="K657" s="39" t="n">
        <v>50000</v>
      </c>
      <c r="L657" s="35" t="n">
        <v>50000</v>
      </c>
      <c r="M657" s="3" t="inlineStr">
        <is>
          <t>CAD</t>
        </is>
      </c>
      <c r="N657" s="3" t="inlineStr">
        <is>
          <t>ALLOWANCE</t>
        </is>
      </c>
      <c r="O657" s="3" t="inlineStr">
        <is>
          <t>A-2502</t>
        </is>
      </c>
      <c r="P657" s="3" t="inlineStr">
        <is>
          <t>LOW</t>
        </is>
      </c>
      <c r="Q657" s="3" t="inlineStr">
        <is>
          <t>Cat 6/6A UTP or F/UTP per DEL-25.02; includes horizontal cables + outlet jacks + backbone cables; integrated materials + labor allowance</t>
        </is>
      </c>
      <c r="R657" s="3">
        <f>VLOOKUP($F657,Inputs!$D$6:$E$41,2,FALSE)</f>
        <v/>
      </c>
      <c r="S657" s="36">
        <f>VLOOKUP($E657,Inputs!$A$6:$B$13,2,FALSE)*Inputs!$B$2</f>
        <v/>
      </c>
      <c r="T657" s="35">
        <f>$L657*$S657</f>
        <v/>
      </c>
      <c r="U657" s="35">
        <f>$L657+$T657</f>
        <v/>
      </c>
    </row>
    <row r="658">
      <c r="A658" s="3" t="inlineStr">
        <is>
          <t>PKG-25::2502-02</t>
        </is>
      </c>
      <c r="B658" s="3" t="inlineStr">
        <is>
          <t>PKG-25</t>
        </is>
      </c>
      <c r="C658" s="3" t="inlineStr">
        <is>
          <t>DEL-25.01</t>
        </is>
      </c>
      <c r="D658" s="3" t="inlineStr">
        <is>
          <t>2502-02</t>
        </is>
      </c>
      <c r="E658" s="3" t="inlineStr">
        <is>
          <t>CD</t>
        </is>
      </c>
      <c r="F658" s="3" t="inlineStr">
        <is>
          <t>PKG-25</t>
        </is>
      </c>
      <c r="G658" s="3" t="inlineStr">
        <is>
          <t>DEL-25.01</t>
        </is>
      </c>
      <c r="H658" s="3" t="inlineStr">
        <is>
          <t>Structured copper cable installation and testing (pulling; termination; certification testing)</t>
        </is>
      </c>
      <c r="I658" s="22" t="n">
        <v>1</v>
      </c>
      <c r="J658" s="3" t="inlineStr">
        <is>
          <t>LS</t>
        </is>
      </c>
      <c r="K658" s="39" t="n">
        <v>35000</v>
      </c>
      <c r="L658" s="35" t="n">
        <v>35000</v>
      </c>
      <c r="M658" s="3" t="inlineStr">
        <is>
          <t>CAD</t>
        </is>
      </c>
      <c r="N658" s="3" t="inlineStr">
        <is>
          <t>ALLOWANCE</t>
        </is>
      </c>
      <c r="O658" s="3" t="inlineStr">
        <is>
          <t>A-2502 + A-2510</t>
        </is>
      </c>
      <c r="P658" s="3" t="inlineStr">
        <is>
          <t>LOW</t>
        </is>
      </c>
      <c r="Q658" s="3" t="inlineStr">
        <is>
          <t>Installation labor for copper structured cabling; termination at outlets and patch panels; certification per TIA-568; testing per DEL-25.04</t>
        </is>
      </c>
      <c r="R658" s="3">
        <f>VLOOKUP($F658,Inputs!$D$6:$E$41,2,FALSE)</f>
        <v/>
      </c>
      <c r="S658" s="36">
        <f>VLOOKUP($E658,Inputs!$A$6:$B$13,2,FALSE)*Inputs!$B$2</f>
        <v/>
      </c>
      <c r="T658" s="35">
        <f>$L658*$S658</f>
        <v/>
      </c>
      <c r="U658" s="35">
        <f>$L658+$T658</f>
        <v/>
      </c>
    </row>
    <row r="659">
      <c r="A659" s="3" t="inlineStr">
        <is>
          <t>PKG-25::2503-01</t>
        </is>
      </c>
      <c r="B659" s="3" t="inlineStr">
        <is>
          <t>PKG-25</t>
        </is>
      </c>
      <c r="C659" s="3" t="inlineStr">
        <is>
          <t>DEL-25.03</t>
        </is>
      </c>
      <c r="D659" s="3" t="inlineStr">
        <is>
          <t>2503-01</t>
        </is>
      </c>
      <c r="E659" s="3" t="inlineStr">
        <is>
          <t>MAT</t>
        </is>
      </c>
      <c r="F659" s="3" t="inlineStr">
        <is>
          <t>PKG-25</t>
        </is>
      </c>
      <c r="G659" s="3" t="inlineStr">
        <is>
          <t>DEL-25.03</t>
        </is>
      </c>
      <c r="H659" s="3" t="inlineStr">
        <is>
          <t>Network switches and active equipment (1 core switch + 3-7 access switches; 150-300 total ports)</t>
        </is>
      </c>
      <c r="I659" s="22" t="n">
        <v>1</v>
      </c>
      <c r="J659" s="3" t="inlineStr">
        <is>
          <t>LS</t>
        </is>
      </c>
      <c r="K659" s="39" t="n">
        <v>95000</v>
      </c>
      <c r="L659" s="35" t="n">
        <v>95000</v>
      </c>
      <c r="M659" s="3" t="inlineStr">
        <is>
          <t>CAD</t>
        </is>
      </c>
      <c r="N659" s="3" t="inlineStr">
        <is>
          <t>ALLOWANCE</t>
        </is>
      </c>
      <c r="O659" s="3" t="inlineStr">
        <is>
          <t>A-2503 + A-2511</t>
        </is>
      </c>
      <c r="P659" s="3" t="inlineStr">
        <is>
          <t>LOW</t>
        </is>
      </c>
      <c r="Q659" s="3" t="inlineStr">
        <is>
          <t>Managed switches; 24-48 ports each; VLAN/QoS capable; fiber uplinks; PoE capability TBD (may add 20-40%); includes SFP transceivers</t>
        </is>
      </c>
      <c r="R659" s="3">
        <f>VLOOKUP($F659,Inputs!$D$6:$E$41,2,FALSE)</f>
        <v/>
      </c>
      <c r="S659" s="36">
        <f>VLOOKUP($E659,Inputs!$A$6:$B$13,2,FALSE)*Inputs!$B$2</f>
        <v/>
      </c>
      <c r="T659" s="35">
        <f>$L659*$S659</f>
        <v/>
      </c>
      <c r="U659" s="35">
        <f>$L659+$T659</f>
        <v/>
      </c>
    </row>
    <row r="660">
      <c r="A660" s="3" t="inlineStr">
        <is>
          <t>PKG-25::2504-01</t>
        </is>
      </c>
      <c r="B660" s="3" t="inlineStr">
        <is>
          <t>PKG-25</t>
        </is>
      </c>
      <c r="C660" s="3" t="inlineStr">
        <is>
          <t>DEL-25.01</t>
        </is>
      </c>
      <c r="D660" s="3" t="inlineStr">
        <is>
          <t>2504-01</t>
        </is>
      </c>
      <c r="E660" s="3" t="inlineStr">
        <is>
          <t>MAT</t>
        </is>
      </c>
      <c r="F660" s="3" t="inlineStr">
        <is>
          <t>PKG-25</t>
        </is>
      </c>
      <c r="G660" s="3" t="inlineStr">
        <is>
          <t>DEL-25.01</t>
        </is>
      </c>
      <c r="H660" s="3" t="inlineStr">
        <is>
          <t>Patch panels (fiber and copper; 8-15 panels total; 24-48 ports each; rack-mounted)</t>
        </is>
      </c>
      <c r="I660" s="22" t="n">
        <v>1</v>
      </c>
      <c r="J660" s="3" t="inlineStr">
        <is>
          <t>LS</t>
        </is>
      </c>
      <c r="K660" s="39" t="n">
        <v>30000</v>
      </c>
      <c r="L660" s="35" t="n">
        <v>30000</v>
      </c>
      <c r="M660" s="3" t="inlineStr">
        <is>
          <t>CAD</t>
        </is>
      </c>
      <c r="N660" s="3" t="inlineStr">
        <is>
          <t>ALLOWANCE</t>
        </is>
      </c>
      <c r="O660" s="3" t="inlineStr">
        <is>
          <t>A-2504 + A-2512</t>
        </is>
      </c>
      <c r="P660" s="3" t="inlineStr">
        <is>
          <t>LOW</t>
        </is>
      </c>
      <c r="Q660" s="3" t="inlineStr">
        <is>
          <t>Fiber patch panels (LC or SC connectors per DEL-25.02); copper patch panels (Cat 6/6A); includes patch cords; 19-inch rack-mount per EIA-310-D</t>
        </is>
      </c>
      <c r="R660" s="3">
        <f>VLOOKUP($F660,Inputs!$D$6:$E$41,2,FALSE)</f>
        <v/>
      </c>
      <c r="S660" s="36">
        <f>VLOOKUP($E660,Inputs!$A$6:$B$13,2,FALSE)*Inputs!$B$2</f>
        <v/>
      </c>
      <c r="T660" s="35">
        <f>$L660*$S660</f>
        <v/>
      </c>
      <c r="U660" s="35">
        <f>$L660+$T660</f>
        <v/>
      </c>
    </row>
    <row r="661">
      <c r="A661" s="3" t="inlineStr">
        <is>
          <t>PKG-25::2505-01</t>
        </is>
      </c>
      <c r="B661" s="3" t="inlineStr">
        <is>
          <t>PKG-25</t>
        </is>
      </c>
      <c r="C661" s="3" t="inlineStr">
        <is>
          <t>DEL-25.01</t>
        </is>
      </c>
      <c r="D661" s="3" t="inlineStr">
        <is>
          <t>2505-01</t>
        </is>
      </c>
      <c r="E661" s="3" t="inlineStr">
        <is>
          <t>MAT</t>
        </is>
      </c>
      <c r="F661" s="3" t="inlineStr">
        <is>
          <t>PKG-25</t>
        </is>
      </c>
      <c r="G661" s="3" t="inlineStr">
        <is>
          <t>DEL-25.01</t>
        </is>
      </c>
      <c r="H661" s="3" t="inlineStr">
        <is>
          <t>Cable management and infrastructure (J-hooks; labels; grounding; firestopping)</t>
        </is>
      </c>
      <c r="I661" s="22" t="n">
        <v>1</v>
      </c>
      <c r="J661" s="3" t="inlineStr">
        <is>
          <t>LS</t>
        </is>
      </c>
      <c r="K661" s="39" t="n">
        <v>15000</v>
      </c>
      <c r="L661" s="35" t="n">
        <v>15000</v>
      </c>
      <c r="M661" s="3" t="inlineStr">
        <is>
          <t>CAD</t>
        </is>
      </c>
      <c r="N661" s="3" t="inlineStr">
        <is>
          <t>ALLOWANCE</t>
        </is>
      </c>
      <c r="O661" s="3" t="inlineStr">
        <is>
          <t>A-2505 + A-2513</t>
        </is>
      </c>
      <c r="P661" s="3" t="inlineStr">
        <is>
          <t>MED</t>
        </is>
      </c>
      <c r="Q661" s="3" t="inlineStr">
        <is>
          <t>Cable support hardware; TIA-606 labeling; TIA-607 grounding/bonding; firestopping at penetrations; pathway coordination with PKG-17</t>
        </is>
      </c>
      <c r="R661" s="3">
        <f>VLOOKUP($F661,Inputs!$D$6:$E$41,2,FALSE)</f>
        <v/>
      </c>
      <c r="S661" s="36">
        <f>VLOOKUP($E661,Inputs!$A$6:$B$13,2,FALSE)*Inputs!$B$2</f>
        <v/>
      </c>
      <c r="T661" s="35">
        <f>$L661*$S661</f>
        <v/>
      </c>
      <c r="U661" s="35">
        <f>$L661+$T661</f>
        <v/>
      </c>
    </row>
    <row r="662">
      <c r="A662" s="3" t="inlineStr">
        <is>
          <t>PKG-25::2506-01</t>
        </is>
      </c>
      <c r="B662" s="3" t="inlineStr">
        <is>
          <t>PKG-25</t>
        </is>
      </c>
      <c r="C662" s="3" t="inlineStr">
        <is>
          <t>DEL-25.01</t>
        </is>
      </c>
      <c r="D662" s="3" t="inlineStr">
        <is>
          <t>2506-01</t>
        </is>
      </c>
      <c r="E662" s="3" t="inlineStr">
        <is>
          <t>E</t>
        </is>
      </c>
      <c r="F662" s="3" t="inlineStr">
        <is>
          <t>PKG-25</t>
        </is>
      </c>
      <c r="G662" s="3" t="inlineStr">
        <is>
          <t>DEL-25.01</t>
        </is>
      </c>
      <c r="H662" s="3" t="inlineStr">
        <is>
          <t>Engineering design (drawings; specifications; data sheets; test procedures; 600-800 hours)</t>
        </is>
      </c>
      <c r="I662" s="22" t="n">
        <v>1</v>
      </c>
      <c r="J662" s="3" t="inlineStr">
        <is>
          <t>LS</t>
        </is>
      </c>
      <c r="K662" s="39" t="n">
        <v>75000</v>
      </c>
      <c r="L662" s="35" t="n">
        <v>75000</v>
      </c>
      <c r="M662" s="3" t="inlineStr">
        <is>
          <t>CAD</t>
        </is>
      </c>
      <c r="N662" s="3" t="inlineStr">
        <is>
          <t>ALLOWANCE</t>
        </is>
      </c>
      <c r="O662" s="3" t="inlineStr">
        <is>
          <t>A-2506</t>
        </is>
      </c>
      <c r="P662" s="3" t="inlineStr">
        <is>
          <t>MED</t>
        </is>
      </c>
      <c r="Q662" s="3" t="inlineStr">
        <is>
          <t>DEL-25.01 (300-400 hrs); DEL-25.02 (100-150 hrs); DEL-25.03 (100-150 hrs); DEL-25.04 (100-100 hrs); blended rate $125-150/hr</t>
        </is>
      </c>
      <c r="R662" s="3">
        <f>VLOOKUP($F662,Inputs!$D$6:$E$41,2,FALSE)</f>
        <v/>
      </c>
      <c r="S662" s="36">
        <f>VLOOKUP($E662,Inputs!$A$6:$B$13,2,FALSE)*Inputs!$B$2</f>
        <v/>
      </c>
      <c r="T662" s="35">
        <f>$L662*$S662</f>
        <v/>
      </c>
      <c r="U662" s="35">
        <f>$L662+$T662</f>
        <v/>
      </c>
    </row>
    <row r="663">
      <c r="A663" s="3" t="inlineStr">
        <is>
          <t>PKG-25::2507-01</t>
        </is>
      </c>
      <c r="B663" s="3" t="inlineStr">
        <is>
          <t>PKG-25</t>
        </is>
      </c>
      <c r="C663" s="3" t="inlineStr">
        <is>
          <t>DEL-25.01</t>
        </is>
      </c>
      <c r="D663" s="3" t="inlineStr">
        <is>
          <t>2507-01</t>
        </is>
      </c>
      <c r="E663" s="3" t="inlineStr">
        <is>
          <t>CD</t>
        </is>
      </c>
      <c r="F663" s="3" t="inlineStr">
        <is>
          <t>PKG-25</t>
        </is>
      </c>
      <c r="G663" s="3" t="inlineStr">
        <is>
          <t>DEL-25.01</t>
        </is>
      </c>
      <c r="H663" s="3" t="inlineStr">
        <is>
          <t>Network equipment installation and mounting (rack installation; cable dressing; equipment configuration)</t>
        </is>
      </c>
      <c r="I663" s="22" t="n">
        <v>1</v>
      </c>
      <c r="J663" s="3" t="inlineStr">
        <is>
          <t>LS</t>
        </is>
      </c>
      <c r="K663" s="39" t="n">
        <v>40000</v>
      </c>
      <c r="L663" s="35" t="n">
        <v>40000</v>
      </c>
      <c r="M663" s="3" t="inlineStr">
        <is>
          <t>CAD</t>
        </is>
      </c>
      <c r="N663" s="3" t="inlineStr">
        <is>
          <t>ALLOWANCE</t>
        </is>
      </c>
      <c r="O663" s="3" t="inlineStr">
        <is>
          <t>A-2503</t>
        </is>
      </c>
      <c r="P663" s="3" t="inlineStr">
        <is>
          <t>LOW</t>
        </is>
      </c>
      <c r="Q663" s="3" t="inlineStr">
        <is>
          <t>Switch installation in racks; initial configuration; cable management; coordination with PKG-17 for power; PKG-22 for HVAC</t>
        </is>
      </c>
      <c r="R663" s="3">
        <f>VLOOKUP($F663,Inputs!$D$6:$E$41,2,FALSE)</f>
        <v/>
      </c>
      <c r="S663" s="36">
        <f>VLOOKUP($E663,Inputs!$A$6:$B$13,2,FALSE)*Inputs!$B$2</f>
        <v/>
      </c>
      <c r="T663" s="35">
        <f>$L663*$S663</f>
        <v/>
      </c>
      <c r="U663" s="35">
        <f>$L663+$T663</f>
        <v/>
      </c>
    </row>
    <row r="664">
      <c r="A664" s="3" t="inlineStr">
        <is>
          <t>PKG-25::2508-01</t>
        </is>
      </c>
      <c r="B664" s="3" t="inlineStr">
        <is>
          <t>PKG-25</t>
        </is>
      </c>
      <c r="C664" s="3" t="inlineStr">
        <is>
          <t>DEL-25.01</t>
        </is>
      </c>
      <c r="D664" s="3" t="inlineStr">
        <is>
          <t>2508-01</t>
        </is>
      </c>
      <c r="E664" s="3" t="inlineStr">
        <is>
          <t>CD</t>
        </is>
      </c>
      <c r="F664" s="3" t="inlineStr">
        <is>
          <t>PKG-25</t>
        </is>
      </c>
      <c r="G664" s="3" t="inlineStr">
        <is>
          <t>DEL-25.01</t>
        </is>
      </c>
      <c r="H664" s="3" t="inlineStr">
        <is>
          <t>Equipment room and TR infrastructure setup (rack setup; grounding; cable management)</t>
        </is>
      </c>
      <c r="I664" s="22" t="n">
        <v>1</v>
      </c>
      <c r="J664" s="3" t="inlineStr">
        <is>
          <t>LS</t>
        </is>
      </c>
      <c r="K664" s="39" t="n">
        <v>30000</v>
      </c>
      <c r="L664" s="35" t="n">
        <v>30000</v>
      </c>
      <c r="M664" s="3" t="inlineStr">
        <is>
          <t>CAD</t>
        </is>
      </c>
      <c r="N664" s="3" t="inlineStr">
        <is>
          <t>ALLOWANCE</t>
        </is>
      </c>
      <c r="O664" s="3" t="inlineStr">
        <is>
          <t>A-2515</t>
        </is>
      </c>
      <c r="P664" s="3" t="inlineStr">
        <is>
          <t>LOW</t>
        </is>
      </c>
      <c r="Q664" s="3" t="inlineStr">
        <is>
          <t>Equipment room (ER) and telecommunications rooms (TRs) infrastructure; coordinate with PKG-21 layouts and PKG-22 HVAC</t>
        </is>
      </c>
      <c r="R664" s="3">
        <f>VLOOKUP($F664,Inputs!$D$6:$E$41,2,FALSE)</f>
        <v/>
      </c>
      <c r="S664" s="36">
        <f>VLOOKUP($E664,Inputs!$A$6:$B$13,2,FALSE)*Inputs!$B$2</f>
        <v/>
      </c>
      <c r="T664" s="35">
        <f>$L664*$S664</f>
        <v/>
      </c>
      <c r="U664" s="35">
        <f>$L664+$T664</f>
        <v/>
      </c>
    </row>
    <row r="665">
      <c r="A665" s="3" t="inlineStr">
        <is>
          <t>PKG-25::2509-01</t>
        </is>
      </c>
      <c r="B665" s="3" t="inlineStr">
        <is>
          <t>PKG-25</t>
        </is>
      </c>
      <c r="C665" s="3" t="inlineStr">
        <is>
          <t>DEL-25.01</t>
        </is>
      </c>
      <c r="D665" s="3" t="inlineStr">
        <is>
          <t>2509-01</t>
        </is>
      </c>
      <c r="E665" s="3" t="inlineStr">
        <is>
          <t>CD</t>
        </is>
      </c>
      <c r="F665" s="3" t="inlineStr">
        <is>
          <t>PKG-25</t>
        </is>
      </c>
      <c r="G665" s="3" t="inlineStr">
        <is>
          <t>DEL-25.01</t>
        </is>
      </c>
      <c r="H665" s="3" t="inlineStr">
        <is>
          <t>Fiber splicing and termination labor (field termination; splice closures; testing)</t>
        </is>
      </c>
      <c r="I665" s="22" t="n">
        <v>1</v>
      </c>
      <c r="J665" s="3" t="inlineStr">
        <is>
          <t>LS</t>
        </is>
      </c>
      <c r="K665" s="39" t="n">
        <v>15000</v>
      </c>
      <c r="L665" s="35" t="n">
        <v>15000</v>
      </c>
      <c r="M665" s="3" t="inlineStr">
        <is>
          <t>CAD</t>
        </is>
      </c>
      <c r="N665" s="3" t="inlineStr">
        <is>
          <t>ALLOWANCE</t>
        </is>
      </c>
      <c r="O665" s="3" t="inlineStr">
        <is>
          <t>A-2509</t>
        </is>
      </c>
      <c r="P665" s="3" t="inlineStr">
        <is>
          <t>LOW</t>
        </is>
      </c>
      <c r="Q665" s="3" t="inlineStr">
        <is>
          <t>Specialized fiber splicing labor; connector termination; splice enclosures; coordinate with outdoor fiber runs</t>
        </is>
      </c>
      <c r="R665" s="3">
        <f>VLOOKUP($F665,Inputs!$D$6:$E$41,2,FALSE)</f>
        <v/>
      </c>
      <c r="S665" s="36">
        <f>VLOOKUP($E665,Inputs!$A$6:$B$13,2,FALSE)*Inputs!$B$2</f>
        <v/>
      </c>
      <c r="T665" s="35">
        <f>$L665*$S665</f>
        <v/>
      </c>
      <c r="U665" s="35">
        <f>$L665+$T665</f>
        <v/>
      </c>
    </row>
    <row r="666">
      <c r="A666" s="3" t="inlineStr">
        <is>
          <t>PKG-25::2510-01</t>
        </is>
      </c>
      <c r="B666" s="3" t="inlineStr">
        <is>
          <t>PKG-25</t>
        </is>
      </c>
      <c r="C666" s="3" t="n"/>
      <c r="D666" s="3" t="inlineStr">
        <is>
          <t>2510-01</t>
        </is>
      </c>
      <c r="E666" s="3" t="inlineStr">
        <is>
          <t>CI</t>
        </is>
      </c>
      <c r="F666" s="3" t="inlineStr">
        <is>
          <t>PKG-25</t>
        </is>
      </c>
      <c r="G666" s="3" t="n"/>
      <c r="H666" s="3" t="inlineStr">
        <is>
          <t>Construction indirects (field supervision; QA/QC; HSE; coordination)</t>
        </is>
      </c>
      <c r="I666" s="22" t="n">
        <v>1</v>
      </c>
      <c r="J666" s="3" t="inlineStr">
        <is>
          <t>LS</t>
        </is>
      </c>
      <c r="K666" s="39" t="n">
        <v>28800</v>
      </c>
      <c r="L666" s="35" t="n">
        <v>28800</v>
      </c>
      <c r="M666" s="3" t="inlineStr">
        <is>
          <t>CAD</t>
        </is>
      </c>
      <c r="N666" s="3" t="inlineStr">
        <is>
          <t>PARAMETRIC</t>
        </is>
      </c>
      <c r="O666" s="3" t="inlineStr">
        <is>
          <t>D-2506 (18% of CD=$160k)</t>
        </is>
      </c>
      <c r="P666" s="3" t="inlineStr">
        <is>
          <t>MED</t>
        </is>
      </c>
      <c r="Q666" s="3" t="inlineStr">
        <is>
          <t>Factor-based CI = 18% × CD; includes field superintendent; QA/QC; HSE; terminal coordination per A-2514</t>
        </is>
      </c>
      <c r="R666" s="3">
        <f>VLOOKUP($F666,Inputs!$D$6:$E$41,2,FALSE)</f>
        <v/>
      </c>
      <c r="S666" s="36">
        <f>VLOOKUP($E666,Inputs!$A$6:$B$13,2,FALSE)*Inputs!$B$2</f>
        <v/>
      </c>
      <c r="T666" s="35">
        <f>$L666*$S666</f>
        <v/>
      </c>
      <c r="U666" s="35">
        <f>$L666+$T666</f>
        <v/>
      </c>
    </row>
    <row r="667">
      <c r="A667" s="3" t="inlineStr">
        <is>
          <t>PKG-25::2511-01</t>
        </is>
      </c>
      <c r="B667" s="3" t="inlineStr">
        <is>
          <t>PKG-25</t>
        </is>
      </c>
      <c r="C667" s="3" t="n"/>
      <c r="D667" s="3" t="inlineStr">
        <is>
          <t>2511-01</t>
        </is>
      </c>
      <c r="E667" s="3" t="inlineStr">
        <is>
          <t>P</t>
        </is>
      </c>
      <c r="F667" s="3" t="inlineStr">
        <is>
          <t>PKG-25</t>
        </is>
      </c>
      <c r="G667" s="3" t="n"/>
      <c r="H667" s="3" t="inlineStr">
        <is>
          <t>Procurement services (vendor coordination; expediting; inspection)</t>
        </is>
      </c>
      <c r="I667" s="22" t="n">
        <v>1</v>
      </c>
      <c r="J667" s="3" t="inlineStr">
        <is>
          <t>LS</t>
        </is>
      </c>
      <c r="K667" s="39" t="n">
        <v>6900</v>
      </c>
      <c r="L667" s="35" t="n">
        <v>6900</v>
      </c>
      <c r="M667" s="3" t="inlineStr">
        <is>
          <t>CAD</t>
        </is>
      </c>
      <c r="N667" s="3" t="inlineStr">
        <is>
          <t>PARAMETRIC</t>
        </is>
      </c>
      <c r="O667" s="3" t="inlineStr">
        <is>
          <t>D-2506 (2% of MAT=$345k)</t>
        </is>
      </c>
      <c r="P667" s="3" t="inlineStr">
        <is>
          <t>MED</t>
        </is>
      </c>
      <c r="Q667" s="3" t="inlineStr">
        <is>
          <t>Factor-based P = 2% × MAT; vendor quote solicitation; equipment inspection; delivery coordination</t>
        </is>
      </c>
      <c r="R667" s="3">
        <f>VLOOKUP($F667,Inputs!$D$6:$E$41,2,FALSE)</f>
        <v/>
      </c>
      <c r="S667" s="36">
        <f>VLOOKUP($E667,Inputs!$A$6:$B$13,2,FALSE)*Inputs!$B$2</f>
        <v/>
      </c>
      <c r="T667" s="35">
        <f>$L667*$S667</f>
        <v/>
      </c>
      <c r="U667" s="35">
        <f>$L667+$T667</f>
        <v/>
      </c>
    </row>
    <row r="668">
      <c r="A668" s="3" t="inlineStr">
        <is>
          <t>PKG-25::2512-01</t>
        </is>
      </c>
      <c r="B668" s="3" t="inlineStr">
        <is>
          <t>PKG-25</t>
        </is>
      </c>
      <c r="C668" s="3" t="n"/>
      <c r="D668" s="3" t="inlineStr">
        <is>
          <t>2512-01</t>
        </is>
      </c>
      <c r="E668" s="3" t="inlineStr">
        <is>
          <t>PM</t>
        </is>
      </c>
      <c r="F668" s="3" t="inlineStr">
        <is>
          <t>PKG-25</t>
        </is>
      </c>
      <c r="G668" s="3" t="n"/>
      <c r="H668" s="3" t="inlineStr">
        <is>
          <t>Project management (EPCM; design coordination; document control)</t>
        </is>
      </c>
      <c r="I668" s="22" t="n">
        <v>1</v>
      </c>
      <c r="J668" s="3" t="inlineStr">
        <is>
          <t>LS</t>
        </is>
      </c>
      <c r="K668" s="39" t="n">
        <v>32028</v>
      </c>
      <c r="L668" s="35" t="n">
        <v>32028</v>
      </c>
      <c r="M668" s="3" t="inlineStr">
        <is>
          <t>CAD</t>
        </is>
      </c>
      <c r="N668" s="3" t="inlineStr">
        <is>
          <t>PARAMETRIC</t>
        </is>
      </c>
      <c r="O668" s="3" t="inlineStr">
        <is>
          <t>D-2506 (6% of CD+CI+MAT=$533.8k)</t>
        </is>
      </c>
      <c r="P668" s="3" t="inlineStr">
        <is>
          <t>MED</t>
        </is>
      </c>
      <c r="Q668" s="3" t="inlineStr">
        <is>
          <t>Factor-based PM = 6% × (CD+CI+MAT); EPCM allocation; interdisciplinary coordination; document management</t>
        </is>
      </c>
      <c r="R668" s="3">
        <f>VLOOKUP($F668,Inputs!$D$6:$E$41,2,FALSE)</f>
        <v/>
      </c>
      <c r="S668" s="36">
        <f>VLOOKUP($E668,Inputs!$A$6:$B$13,2,FALSE)*Inputs!$B$2</f>
        <v/>
      </c>
      <c r="T668" s="35">
        <f>$L668*$S668</f>
        <v/>
      </c>
      <c r="U668" s="35">
        <f>$L668+$T668</f>
        <v/>
      </c>
    </row>
    <row r="669">
      <c r="A669" s="3" t="inlineStr">
        <is>
          <t>PKG-25::2517-01</t>
        </is>
      </c>
      <c r="B669" s="3" t="inlineStr">
        <is>
          <t>PKG-25</t>
        </is>
      </c>
      <c r="C669" s="3" t="inlineStr">
        <is>
          <t>DEL-25.04</t>
        </is>
      </c>
      <c r="D669" s="3" t="inlineStr">
        <is>
          <t>2517-01</t>
        </is>
      </c>
      <c r="E669" s="3" t="inlineStr">
        <is>
          <t>COM</t>
        </is>
      </c>
      <c r="F669" s="3" t="inlineStr">
        <is>
          <t>PKG-25</t>
        </is>
      </c>
      <c r="G669" s="3" t="inlineStr">
        <is>
          <t>DEL-25.04</t>
        </is>
      </c>
      <c r="H669" s="3" t="inlineStr">
        <is>
          <t>Commissioning and integration testing (network testing; integration with PKG-19; performance verification)</t>
        </is>
      </c>
      <c r="I669" s="22" t="n">
        <v>1</v>
      </c>
      <c r="J669" s="3" t="inlineStr">
        <is>
          <t>LS</t>
        </is>
      </c>
      <c r="K669" s="39" t="n">
        <v>16014</v>
      </c>
      <c r="L669" s="35" t="n">
        <v>16014</v>
      </c>
      <c r="M669" s="3" t="inlineStr">
        <is>
          <t>CAD</t>
        </is>
      </c>
      <c r="N669" s="3" t="inlineStr">
        <is>
          <t>PARAMETRIC</t>
        </is>
      </c>
      <c r="O669" s="3" t="inlineStr">
        <is>
          <t>D-2506 (3% of CD+CI+MAT=$533.8k) + A-2517</t>
        </is>
      </c>
      <c r="P669" s="3" t="inlineStr">
        <is>
          <t>MED</t>
        </is>
      </c>
      <c r="Q669" s="3" t="inlineStr">
        <is>
          <t>Factor-based COM = 3% × (CD+CI+MAT); fiber/copper testing per DEL-25.04; network commissioning; PKG-19 integration per A-2516</t>
        </is>
      </c>
      <c r="R669" s="3">
        <f>VLOOKUP($F669,Inputs!$D$6:$E$41,2,FALSE)</f>
        <v/>
      </c>
      <c r="S669" s="36">
        <f>VLOOKUP($E669,Inputs!$A$6:$B$13,2,FALSE)*Inputs!$B$2</f>
        <v/>
      </c>
      <c r="T669" s="35">
        <f>$L669*$S669</f>
        <v/>
      </c>
      <c r="U669" s="35">
        <f>$L669+$T669</f>
        <v/>
      </c>
    </row>
    <row r="670">
      <c r="A670" s="3" t="inlineStr">
        <is>
          <t>PKG-25::2518-01</t>
        </is>
      </c>
      <c r="B670" s="3" t="inlineStr">
        <is>
          <t>PKG-25</t>
        </is>
      </c>
      <c r="C670" s="3" t="inlineStr">
        <is>
          <t>DEL-25.01</t>
        </is>
      </c>
      <c r="D670" s="3" t="inlineStr">
        <is>
          <t>2518-01</t>
        </is>
      </c>
      <c r="E670" s="3" t="inlineStr">
        <is>
          <t>MAT</t>
        </is>
      </c>
      <c r="F670" s="3" t="inlineStr">
        <is>
          <t>PKG-25</t>
        </is>
      </c>
      <c r="G670" s="3" t="inlineStr">
        <is>
          <t>DEL-25.01</t>
        </is>
      </c>
      <c r="H670" s="3" t="inlineStr">
        <is>
          <t>Spare capacity allowance (spare fibers; spare ports; pathway capacity)</t>
        </is>
      </c>
      <c r="I670" s="22" t="n">
        <v>1</v>
      </c>
      <c r="J670" s="3" t="inlineStr">
        <is>
          <t>LS</t>
        </is>
      </c>
      <c r="K670" s="39" t="n">
        <v>5000</v>
      </c>
      <c r="L670" s="35" t="n">
        <v>5000</v>
      </c>
      <c r="M670" s="3" t="inlineStr">
        <is>
          <t>CAD</t>
        </is>
      </c>
      <c r="N670" s="3" t="inlineStr">
        <is>
          <t>ALLOWANCE</t>
        </is>
      </c>
      <c r="O670" s="3" t="inlineStr">
        <is>
          <t>A-2518</t>
        </is>
      </c>
      <c r="P670" s="3" t="inlineStr">
        <is>
          <t>MED</t>
        </is>
      </c>
      <c r="Q670" s="3" t="inlineStr">
        <is>
          <t>Future expansion capacity per OBJ-8; embedded in cable/panel sizing; no separate equipment; 20-40% spare capacity in infrastructure</t>
        </is>
      </c>
      <c r="R670" s="3">
        <f>VLOOKUP($F670,Inputs!$D$6:$E$41,2,FALSE)</f>
        <v/>
      </c>
      <c r="S670" s="36">
        <f>VLOOKUP($E670,Inputs!$A$6:$B$13,2,FALSE)*Inputs!$B$2</f>
        <v/>
      </c>
      <c r="T670" s="35">
        <f>$L670*$S670</f>
        <v/>
      </c>
      <c r="U670" s="35">
        <f>$L670+$T670</f>
        <v/>
      </c>
    </row>
    <row r="671">
      <c r="A671" s="3" t="inlineStr">
        <is>
          <t>PKG-26::L2601</t>
        </is>
      </c>
      <c r="B671" s="3" t="inlineStr">
        <is>
          <t>PKG-26</t>
        </is>
      </c>
      <c r="C671" s="3" t="inlineStr">
        <is>
          <t>DEL-26.01</t>
        </is>
      </c>
      <c r="D671" s="3" t="inlineStr">
        <is>
          <t>L2601</t>
        </is>
      </c>
      <c r="E671" s="3" t="inlineStr">
        <is>
          <t>E</t>
        </is>
      </c>
      <c r="F671" s="3" t="inlineStr">
        <is>
          <t>PKG-26</t>
        </is>
      </c>
      <c r="G671" s="3" t="inlineStr">
        <is>
          <t>DEL-26.01</t>
        </is>
      </c>
      <c r="H671" s="3" t="inlineStr">
        <is>
          <t>Coating Technical Specification - specification writing (tank internal/external structural steel marine field painting specs)</t>
        </is>
      </c>
      <c r="I671" s="22" t="n">
        <v>1</v>
      </c>
      <c r="J671" s="3" t="inlineStr">
        <is>
          <t>LS</t>
        </is>
      </c>
      <c r="K671" s="39" t="n">
        <v>25000</v>
      </c>
      <c r="L671" s="35" t="n">
        <v>25000</v>
      </c>
      <c r="M671" s="3" t="inlineStr">
        <is>
          <t>CAD</t>
        </is>
      </c>
      <c r="N671" s="3" t="inlineStr">
        <is>
          <t>ALLOWANCE</t>
        </is>
      </c>
      <c r="O671" s="3" t="inlineStr">
        <is>
          <t>A-2601</t>
        </is>
      </c>
      <c r="P671" s="3" t="inlineStr">
        <is>
          <t>LOW</t>
        </is>
      </c>
      <c r="Q671" s="3" t="inlineStr">
        <is>
          <t>~100 hours at $250/hr; includes performance requirements materials workmanship for 5 coating application types</t>
        </is>
      </c>
      <c r="R671" s="3">
        <f>VLOOKUP($F671,Inputs!$D$6:$E$41,2,FALSE)</f>
        <v/>
      </c>
      <c r="S671" s="36">
        <f>VLOOKUP($E671,Inputs!$A$6:$B$13,2,FALSE)*Inputs!$B$2</f>
        <v/>
      </c>
      <c r="T671" s="35">
        <f>$L671*$S671</f>
        <v/>
      </c>
      <c r="U671" s="35">
        <f>$L671+$T671</f>
        <v/>
      </c>
    </row>
    <row r="672">
      <c r="A672" s="3" t="inlineStr">
        <is>
          <t>PKG-26::L2602</t>
        </is>
      </c>
      <c r="B672" s="3" t="inlineStr">
        <is>
          <t>PKG-26</t>
        </is>
      </c>
      <c r="C672" s="3" t="inlineStr">
        <is>
          <t>DEL-26.02</t>
        </is>
      </c>
      <c r="D672" s="3" t="inlineStr">
        <is>
          <t>L2602</t>
        </is>
      </c>
      <c r="E672" s="3" t="inlineStr">
        <is>
          <t>E</t>
        </is>
      </c>
      <c r="F672" s="3" t="inlineStr">
        <is>
          <t>PKG-26</t>
        </is>
      </c>
      <c r="G672" s="3" t="inlineStr">
        <is>
          <t>DEL-26.02</t>
        </is>
      </c>
      <c r="H672" s="3" t="inlineStr">
        <is>
          <t>Coating Procedures - procedure development (surface prep application inspection testing procedures)</t>
        </is>
      </c>
      <c r="I672" s="22" t="n">
        <v>1</v>
      </c>
      <c r="J672" s="3" t="inlineStr">
        <is>
          <t>LS</t>
        </is>
      </c>
      <c r="K672" s="39" t="n">
        <v>20000</v>
      </c>
      <c r="L672" s="35" t="n">
        <v>20000</v>
      </c>
      <c r="M672" s="3" t="inlineStr">
        <is>
          <t>CAD</t>
        </is>
      </c>
      <c r="N672" s="3" t="inlineStr">
        <is>
          <t>ALLOWANCE</t>
        </is>
      </c>
      <c r="O672" s="3" t="inlineStr">
        <is>
          <t>A-2602</t>
        </is>
      </c>
      <c r="P672" s="3" t="inlineStr">
        <is>
          <t>LOW</t>
        </is>
      </c>
      <c r="Q672" s="3" t="inlineStr">
        <is>
          <t>~80 hours at $250/hr; includes surface preparation procedures coating application procedures field painting procedures marine application procedures</t>
        </is>
      </c>
      <c r="R672" s="3">
        <f>VLOOKUP($F672,Inputs!$D$6:$E$41,2,FALSE)</f>
        <v/>
      </c>
      <c r="S672" s="36">
        <f>VLOOKUP($E672,Inputs!$A$6:$B$13,2,FALSE)*Inputs!$B$2</f>
        <v/>
      </c>
      <c r="T672" s="35">
        <f>$L672*$S672</f>
        <v/>
      </c>
      <c r="U672" s="35">
        <f>$L672+$T672</f>
        <v/>
      </c>
    </row>
    <row r="673">
      <c r="A673" s="3" t="inlineStr">
        <is>
          <t>PKG-26::L2603</t>
        </is>
      </c>
      <c r="B673" s="3" t="inlineStr">
        <is>
          <t>PKG-26</t>
        </is>
      </c>
      <c r="C673" s="3" t="inlineStr">
        <is>
          <t>DEL-26.03</t>
        </is>
      </c>
      <c r="D673" s="3" t="inlineStr">
        <is>
          <t>L2603</t>
        </is>
      </c>
      <c r="E673" s="3" t="inlineStr">
        <is>
          <t>E</t>
        </is>
      </c>
      <c r="F673" s="3" t="inlineStr">
        <is>
          <t>PKG-26</t>
        </is>
      </c>
      <c r="G673" s="3" t="inlineStr">
        <is>
          <t>DEL-26.03</t>
        </is>
      </c>
      <c r="H673" s="3" t="inlineStr">
        <is>
          <t>Coating Data Sheet Package - compilation of manufacturer data sheets FDA/NSF certificates application guides SDS</t>
        </is>
      </c>
      <c r="I673" s="22" t="n">
        <v>1</v>
      </c>
      <c r="J673" s="3" t="inlineStr">
        <is>
          <t>LS</t>
        </is>
      </c>
      <c r="K673" s="39" t="n">
        <v>10000</v>
      </c>
      <c r="L673" s="35" t="n">
        <v>10000</v>
      </c>
      <c r="M673" s="3" t="inlineStr">
        <is>
          <t>CAD</t>
        </is>
      </c>
      <c r="N673" s="3" t="inlineStr">
        <is>
          <t>ALLOWANCE</t>
        </is>
      </c>
      <c r="O673" s="3" t="inlineStr">
        <is>
          <t>A-2603</t>
        </is>
      </c>
      <c r="P673" s="3" t="inlineStr">
        <is>
          <t>LOW</t>
        </is>
      </c>
      <c r="Q673" s="3" t="inlineStr">
        <is>
          <t>~40 hours at $250/hr for data sheet compilation and organization by application type</t>
        </is>
      </c>
      <c r="R673" s="3">
        <f>VLOOKUP($F673,Inputs!$D$6:$E$41,2,FALSE)</f>
        <v/>
      </c>
      <c r="S673" s="36">
        <f>VLOOKUP($E673,Inputs!$A$6:$B$13,2,FALSE)*Inputs!$B$2</f>
        <v/>
      </c>
      <c r="T673" s="35">
        <f>$L673*$S673</f>
        <v/>
      </c>
      <c r="U673" s="35">
        <f>$L673+$T673</f>
        <v/>
      </c>
    </row>
    <row r="674">
      <c r="A674" s="3" t="inlineStr">
        <is>
          <t>PKG-26::L2604</t>
        </is>
      </c>
      <c r="B674" s="3" t="inlineStr">
        <is>
          <t>PKG-26</t>
        </is>
      </c>
      <c r="C674" s="3" t="inlineStr">
        <is>
          <t>DEL-26.04</t>
        </is>
      </c>
      <c r="D674" s="3" t="inlineStr">
        <is>
          <t>L2604</t>
        </is>
      </c>
      <c r="E674" s="3" t="inlineStr">
        <is>
          <t>E</t>
        </is>
      </c>
      <c r="F674" s="3" t="inlineStr">
        <is>
          <t>PKG-26</t>
        </is>
      </c>
      <c r="G674" s="3" t="inlineStr">
        <is>
          <t>DEL-26.04</t>
        </is>
      </c>
      <c r="H674" s="3" t="inlineStr">
        <is>
          <t>Coating Installation &amp; Test Records - QA/QC documentation templates record preparation (surface prep DFT holiday detection adhesion records)</t>
        </is>
      </c>
      <c r="I674" s="22" t="n">
        <v>1</v>
      </c>
      <c r="J674" s="3" t="inlineStr">
        <is>
          <t>LS</t>
        </is>
      </c>
      <c r="K674" s="39" t="n">
        <v>15000</v>
      </c>
      <c r="L674" s="35" t="n">
        <v>15000</v>
      </c>
      <c r="M674" s="3" t="inlineStr">
        <is>
          <t>CAD</t>
        </is>
      </c>
      <c r="N674" s="3" t="inlineStr">
        <is>
          <t>ALLOWANCE</t>
        </is>
      </c>
      <c r="O674" s="3" t="inlineStr">
        <is>
          <t>A-2604</t>
        </is>
      </c>
      <c r="P674" s="3" t="inlineStr">
        <is>
          <t>LOW</t>
        </is>
      </c>
      <c r="Q674" s="3" t="inlineStr">
        <is>
          <t>~60 hours at $250/hr for documentation templates and record closeout preparation</t>
        </is>
      </c>
      <c r="R674" s="3">
        <f>VLOOKUP($F674,Inputs!$D$6:$E$41,2,FALSE)</f>
        <v/>
      </c>
      <c r="S674" s="36">
        <f>VLOOKUP($E674,Inputs!$A$6:$B$13,2,FALSE)*Inputs!$B$2</f>
        <v/>
      </c>
      <c r="T674" s="35">
        <f>$L674*$S674</f>
        <v/>
      </c>
      <c r="U674" s="35">
        <f>$L674+$T674</f>
        <v/>
      </c>
    </row>
    <row r="675">
      <c r="A675" s="3" t="inlineStr">
        <is>
          <t>PKG-26::L2605</t>
        </is>
      </c>
      <c r="B675" s="3" t="inlineStr">
        <is>
          <t>PKG-26</t>
        </is>
      </c>
      <c r="C675" s="3" t="n"/>
      <c r="D675" s="3" t="inlineStr">
        <is>
          <t>L2605</t>
        </is>
      </c>
      <c r="E675" s="3" t="inlineStr">
        <is>
          <t>E</t>
        </is>
      </c>
      <c r="F675" s="3" t="inlineStr">
        <is>
          <t>PKG-26</t>
        </is>
      </c>
      <c r="G675" s="3" t="n"/>
      <c r="H675" s="3" t="inlineStr">
        <is>
          <t>Coating Engineering Coordination - interdisciplinary coordination with PKG-06 PKG-08 PKG-13 PKG-27 PKG-30 PKG-33</t>
        </is>
      </c>
      <c r="I675" s="22" t="n">
        <v>1</v>
      </c>
      <c r="J675" s="3" t="inlineStr">
        <is>
          <t>LS</t>
        </is>
      </c>
      <c r="K675" s="39" t="n">
        <v>22000</v>
      </c>
      <c r="L675" s="35" t="n">
        <v>22000</v>
      </c>
      <c r="M675" s="3" t="inlineStr">
        <is>
          <t>CAD</t>
        </is>
      </c>
      <c r="N675" s="3" t="inlineStr">
        <is>
          <t>ALLOWANCE</t>
        </is>
      </c>
      <c r="O675" s="3" t="inlineStr">
        <is>
          <t>A-2605</t>
        </is>
      </c>
      <c r="P675" s="3" t="inlineStr">
        <is>
          <t>LOW</t>
        </is>
      </c>
      <c r="Q675" s="3" t="inlineStr">
        <is>
          <t>~90 hours at $245/hr for interface coordination; critical for shop/field split marine zones food-grade requirements</t>
        </is>
      </c>
      <c r="R675" s="3">
        <f>VLOOKUP($F675,Inputs!$D$6:$E$41,2,FALSE)</f>
        <v/>
      </c>
      <c r="S675" s="36">
        <f>VLOOKUP($E675,Inputs!$A$6:$B$13,2,FALSE)*Inputs!$B$2</f>
        <v/>
      </c>
      <c r="T675" s="35">
        <f>$L675*$S675</f>
        <v/>
      </c>
      <c r="U675" s="35">
        <f>$L675+$T675</f>
        <v/>
      </c>
    </row>
    <row r="676">
      <c r="A676" s="3" t="inlineStr">
        <is>
          <t>PKG-26::L2606</t>
        </is>
      </c>
      <c r="B676" s="3" t="inlineStr">
        <is>
          <t>PKG-26</t>
        </is>
      </c>
      <c r="C676" s="3" t="n"/>
      <c r="D676" s="3" t="inlineStr">
        <is>
          <t>L2606</t>
        </is>
      </c>
      <c r="E676" s="3" t="inlineStr">
        <is>
          <t>MAT</t>
        </is>
      </c>
      <c r="F676" s="3" t="inlineStr">
        <is>
          <t>PKG-26</t>
        </is>
      </c>
      <c r="G676" s="3" t="n"/>
      <c r="H676" s="3" t="inlineStr">
        <is>
          <t>Tank Internal Coating System - food-grade epoxy lining FDA/NSF compliant (~11000 m² supply and application)</t>
        </is>
      </c>
      <c r="I676" s="22" t="n">
        <v>11000</v>
      </c>
      <c r="J676" s="3" t="inlineStr">
        <is>
          <t>m2</t>
        </is>
      </c>
      <c r="K676" s="39" t="n">
        <v>50</v>
      </c>
      <c r="L676" s="35" t="n">
        <v>550000</v>
      </c>
      <c r="M676" s="3" t="inlineStr">
        <is>
          <t>550000</t>
        </is>
      </c>
      <c r="N676" s="3" t="inlineStr">
        <is>
          <t>CAD</t>
        </is>
      </c>
      <c r="O676" s="3" t="inlineStr">
        <is>
          <t>ALLOWANCE</t>
        </is>
      </c>
      <c r="P676" s="3" t="inlineStr">
        <is>
          <t>A-2606</t>
        </is>
      </c>
      <c r="Q676" s="3" t="inlineStr">
        <is>
          <t>MED</t>
        </is>
      </c>
      <c r="R676" s="3">
        <f>VLOOKUP($F676,Inputs!$D$6:$E$41,2,FALSE)</f>
        <v/>
      </c>
      <c r="S676" s="36">
        <f>VLOOKUP($E676,Inputs!$A$6:$B$13,2,FALSE)*Inputs!$B$2</f>
        <v/>
      </c>
      <c r="T676" s="35">
        <f>$L676*$S676</f>
        <v/>
      </c>
      <c r="U676" s="35">
        <f>$L676+$T676</f>
        <v/>
      </c>
    </row>
    <row r="677">
      <c r="A677" s="3" t="inlineStr">
        <is>
          <t>PKG-26::L2607</t>
        </is>
      </c>
      <c r="B677" s="3" t="inlineStr">
        <is>
          <t>PKG-26</t>
        </is>
      </c>
      <c r="C677" s="3" t="n"/>
      <c r="D677" s="3" t="inlineStr">
        <is>
          <t>L2607</t>
        </is>
      </c>
      <c r="E677" s="3" t="inlineStr">
        <is>
          <t>MAT</t>
        </is>
      </c>
      <c r="F677" s="3" t="inlineStr">
        <is>
          <t>PKG-26</t>
        </is>
      </c>
      <c r="G677" s="3" t="n"/>
      <c r="H677" s="3" t="inlineStr">
        <is>
          <t>Tank External Coating System - multi-coat atmospheric protection (~9000 m² supply and application)</t>
        </is>
      </c>
      <c r="I677" s="22" t="n">
        <v>9000</v>
      </c>
      <c r="J677" s="3" t="inlineStr">
        <is>
          <t>m2</t>
        </is>
      </c>
      <c r="K677" s="39" t="n">
        <v>20</v>
      </c>
      <c r="L677" s="35" t="n">
        <v>180000</v>
      </c>
      <c r="M677" s="3" t="inlineStr">
        <is>
          <t>180000</t>
        </is>
      </c>
      <c r="N677" s="3" t="inlineStr">
        <is>
          <t>CAD</t>
        </is>
      </c>
      <c r="O677" s="3" t="inlineStr">
        <is>
          <t>ALLOWANCE</t>
        </is>
      </c>
      <c r="P677" s="3" t="inlineStr">
        <is>
          <t>A-2607</t>
        </is>
      </c>
      <c r="Q677" s="3" t="inlineStr">
        <is>
          <t>MED</t>
        </is>
      </c>
      <c r="R677" s="3">
        <f>VLOOKUP($F677,Inputs!$D$6:$E$41,2,FALSE)</f>
        <v/>
      </c>
      <c r="S677" s="36">
        <f>VLOOKUP($E677,Inputs!$A$6:$B$13,2,FALSE)*Inputs!$B$2</f>
        <v/>
      </c>
      <c r="T677" s="35">
        <f>$L677*$S677</f>
        <v/>
      </c>
      <c r="U677" s="35">
        <f>$L677+$T677</f>
        <v/>
      </c>
    </row>
    <row r="678">
      <c r="A678" s="3" t="inlineStr">
        <is>
          <t>PKG-26::L2608</t>
        </is>
      </c>
      <c r="B678" s="3" t="inlineStr">
        <is>
          <t>PKG-26</t>
        </is>
      </c>
      <c r="C678" s="3" t="n"/>
      <c r="D678" s="3" t="inlineStr">
        <is>
          <t>L2608</t>
        </is>
      </c>
      <c r="E678" s="3" t="inlineStr">
        <is>
          <t>MAT</t>
        </is>
      </c>
      <c r="F678" s="3" t="inlineStr">
        <is>
          <t>PKG-26</t>
        </is>
      </c>
      <c r="G678" s="3" t="n"/>
      <c r="H678" s="3" t="inlineStr">
        <is>
          <t>Structural Steel Field Painting - field painting over galvanized steel (~3750 m² derived from 150 tonnes)</t>
        </is>
      </c>
      <c r="I678" s="22" t="n">
        <v>3750</v>
      </c>
      <c r="J678" s="3" t="inlineStr">
        <is>
          <t>m2</t>
        </is>
      </c>
      <c r="K678" s="39" t="n">
        <v>15</v>
      </c>
      <c r="L678" s="35" t="n">
        <v>56250</v>
      </c>
      <c r="M678" s="3" t="inlineStr">
        <is>
          <t>56250</t>
        </is>
      </c>
      <c r="N678" s="3" t="inlineStr">
        <is>
          <t>CAD</t>
        </is>
      </c>
      <c r="O678" s="3" t="inlineStr">
        <is>
          <t>ALLOWANCE</t>
        </is>
      </c>
      <c r="P678" s="3" t="inlineStr">
        <is>
          <t>A-2608</t>
        </is>
      </c>
      <c r="Q678" s="3" t="inlineStr">
        <is>
          <t>LOW</t>
        </is>
      </c>
      <c r="R678" s="3">
        <f>VLOOKUP($F678,Inputs!$D$6:$E$41,2,FALSE)</f>
        <v/>
      </c>
      <c r="S678" s="36">
        <f>VLOOKUP($E678,Inputs!$A$6:$B$13,2,FALSE)*Inputs!$B$2</f>
        <v/>
      </c>
      <c r="T678" s="35">
        <f>$L678*$S678</f>
        <v/>
      </c>
      <c r="U678" s="35">
        <f>$L678+$T678</f>
        <v/>
      </c>
    </row>
    <row r="679">
      <c r="A679" s="3" t="inlineStr">
        <is>
          <t>PKG-26::L2609</t>
        </is>
      </c>
      <c r="B679" s="3" t="inlineStr">
        <is>
          <t>PKG-26</t>
        </is>
      </c>
      <c r="C679" s="3" t="n"/>
      <c r="D679" s="3" t="inlineStr">
        <is>
          <t>L2609</t>
        </is>
      </c>
      <c r="E679" s="3" t="inlineStr">
        <is>
          <t>MAT</t>
        </is>
      </c>
      <c r="F679" s="3" t="inlineStr">
        <is>
          <t>PKG-26</t>
        </is>
      </c>
      <c r="G679" s="3" t="n"/>
      <c r="H679" s="3" t="inlineStr">
        <is>
          <t>Marine Coatings - high-performance marine coating systems for immersion splash atmospheric zones (~7650 m²)</t>
        </is>
      </c>
      <c r="I679" s="22" t="n">
        <v>7650</v>
      </c>
      <c r="J679" s="3" t="inlineStr">
        <is>
          <t>m2</t>
        </is>
      </c>
      <c r="K679" s="39" t="n">
        <v>35</v>
      </c>
      <c r="L679" s="35" t="n">
        <v>267750</v>
      </c>
      <c r="M679" s="3" t="inlineStr">
        <is>
          <t>267750</t>
        </is>
      </c>
      <c r="N679" s="3" t="inlineStr">
        <is>
          <t>CAD</t>
        </is>
      </c>
      <c r="O679" s="3" t="inlineStr">
        <is>
          <t>ALLOWANCE</t>
        </is>
      </c>
      <c r="P679" s="3" t="inlineStr">
        <is>
          <t>A-2609</t>
        </is>
      </c>
      <c r="Q679" s="3" t="inlineStr">
        <is>
          <t>LOW</t>
        </is>
      </c>
      <c r="R679" s="3">
        <f>VLOOKUP($F679,Inputs!$D$6:$E$41,2,FALSE)</f>
        <v/>
      </c>
      <c r="S679" s="36">
        <f>VLOOKUP($E679,Inputs!$A$6:$B$13,2,FALSE)*Inputs!$B$2</f>
        <v/>
      </c>
      <c r="T679" s="35">
        <f>$L679*$S679</f>
        <v/>
      </c>
      <c r="U679" s="35">
        <f>$L679+$T679</f>
        <v/>
      </c>
    </row>
    <row r="680">
      <c r="A680" s="3" t="inlineStr">
        <is>
          <t>PKG-26::L2610</t>
        </is>
      </c>
      <c r="B680" s="3" t="inlineStr">
        <is>
          <t>PKG-26</t>
        </is>
      </c>
      <c r="C680" s="3" t="n"/>
      <c r="D680" s="3" t="inlineStr">
        <is>
          <t>L2610</t>
        </is>
      </c>
      <c r="E680" s="3" t="inlineStr">
        <is>
          <t>MAT</t>
        </is>
      </c>
      <c r="F680" s="3" t="inlineStr">
        <is>
          <t>PKG-26</t>
        </is>
      </c>
      <c r="G680" s="3" t="n"/>
      <c r="H680" s="3" t="inlineStr">
        <is>
          <t>Field Touch-Up Materials - touch-up coatings field weld coating misc field-installed components</t>
        </is>
      </c>
      <c r="I680" s="22" t="n">
        <v>1</v>
      </c>
      <c r="J680" s="3" t="inlineStr">
        <is>
          <t>LS</t>
        </is>
      </c>
      <c r="K680" s="39" t="n">
        <v>85000</v>
      </c>
      <c r="L680" s="35" t="n">
        <v>85000</v>
      </c>
      <c r="M680" s="3" t="inlineStr">
        <is>
          <t>CAD</t>
        </is>
      </c>
      <c r="N680" s="3" t="inlineStr">
        <is>
          <t>ALLOWANCE</t>
        </is>
      </c>
      <c r="O680" s="3" t="inlineStr">
        <is>
          <t>A-2610</t>
        </is>
      </c>
      <c r="P680" s="3" t="inlineStr">
        <is>
          <t>LOW</t>
        </is>
      </c>
      <c r="Q680" s="3" t="inlineStr">
        <is>
          <t>Allowance for field touch-up scope (field welds connections handling damage touch-up); extent unknown until construction</t>
        </is>
      </c>
      <c r="R680" s="3">
        <f>VLOOKUP($F680,Inputs!$D$6:$E$41,2,FALSE)</f>
        <v/>
      </c>
      <c r="S680" s="36">
        <f>VLOOKUP($E680,Inputs!$A$6:$B$13,2,FALSE)*Inputs!$B$2</f>
        <v/>
      </c>
      <c r="T680" s="35">
        <f>$L680*$S680</f>
        <v/>
      </c>
      <c r="U680" s="35">
        <f>$L680+$T680</f>
        <v/>
      </c>
    </row>
    <row r="681">
      <c r="A681" s="3" t="inlineStr">
        <is>
          <t>PKG-26::L2611</t>
        </is>
      </c>
      <c r="B681" s="3" t="inlineStr">
        <is>
          <t>PKG-26</t>
        </is>
      </c>
      <c r="C681" s="3" t="n"/>
      <c r="D681" s="3" t="inlineStr">
        <is>
          <t>L2611</t>
        </is>
      </c>
      <c r="E681" s="3" t="inlineStr">
        <is>
          <t>MAT</t>
        </is>
      </c>
      <c r="F681" s="3" t="inlineStr">
        <is>
          <t>PKG-26</t>
        </is>
      </c>
      <c r="G681" s="3" t="n"/>
      <c r="H681" s="3" t="inlineStr">
        <is>
          <t>Surface Preparation Abrasives - blasting media consumables cleaning materials surface profile verification</t>
        </is>
      </c>
      <c r="I681" s="22" t="n">
        <v>1</v>
      </c>
      <c r="J681" s="3" t="inlineStr">
        <is>
          <t>LS</t>
        </is>
      </c>
      <c r="K681" s="39" t="n">
        <v>95000</v>
      </c>
      <c r="L681" s="35" t="n">
        <v>95000</v>
      </c>
      <c r="M681" s="3" t="inlineStr">
        <is>
          <t>CAD</t>
        </is>
      </c>
      <c r="N681" s="3" t="inlineStr">
        <is>
          <t>ALLOWANCE</t>
        </is>
      </c>
      <c r="O681" s="3" t="inlineStr">
        <is>
          <t>A-2611</t>
        </is>
      </c>
      <c r="P681" s="3" t="inlineStr">
        <is>
          <t>LOW</t>
        </is>
      </c>
      <c r="Q681" s="3" t="inlineStr">
        <is>
          <t>Allowance for abrasives consumables; depends on surface prep grade (SSPC-SP 6 SP-10 or SP-5) and accessibility</t>
        </is>
      </c>
      <c r="R681" s="3">
        <f>VLOOKUP($F681,Inputs!$D$6:$E$41,2,FALSE)</f>
        <v/>
      </c>
      <c r="S681" s="36">
        <f>VLOOKUP($E681,Inputs!$A$6:$B$13,2,FALSE)*Inputs!$B$2</f>
        <v/>
      </c>
      <c r="T681" s="35">
        <f>$L681*$S681</f>
        <v/>
      </c>
      <c r="U681" s="35">
        <f>$L681+$T681</f>
        <v/>
      </c>
    </row>
    <row r="682">
      <c r="A682" s="3" t="inlineStr">
        <is>
          <t>PKG-26::L2612</t>
        </is>
      </c>
      <c r="B682" s="3" t="inlineStr">
        <is>
          <t>PKG-26</t>
        </is>
      </c>
      <c r="C682" s="3" t="n"/>
      <c r="D682" s="3" t="inlineStr">
        <is>
          <t>L2612</t>
        </is>
      </c>
      <c r="E682" s="3" t="inlineStr">
        <is>
          <t>MAT</t>
        </is>
      </c>
      <c r="F682" s="3" t="inlineStr">
        <is>
          <t>PKG-26</t>
        </is>
      </c>
      <c r="G682" s="3" t="n"/>
      <c r="H682" s="3" t="inlineStr">
        <is>
          <t>Coating Application Consumables - spray equipment consumables masking materials ventilation equipment PPE</t>
        </is>
      </c>
      <c r="I682" s="22" t="n">
        <v>1</v>
      </c>
      <c r="J682" s="3" t="inlineStr">
        <is>
          <t>LS</t>
        </is>
      </c>
      <c r="K682" s="39" t="n">
        <v>65000</v>
      </c>
      <c r="L682" s="35" t="n">
        <v>65000</v>
      </c>
      <c r="M682" s="3" t="inlineStr">
        <is>
          <t>CAD</t>
        </is>
      </c>
      <c r="N682" s="3" t="inlineStr">
        <is>
          <t>ALLOWANCE</t>
        </is>
      </c>
      <c r="O682" s="3" t="inlineStr">
        <is>
          <t>A-2612</t>
        </is>
      </c>
      <c r="P682" s="3" t="inlineStr">
        <is>
          <t>LOW</t>
        </is>
      </c>
      <c r="Q682" s="3" t="inlineStr">
        <is>
          <t>Allowance for application consumables; includes spray tips filters masking materials confined space ventilation equipment</t>
        </is>
      </c>
      <c r="R682" s="3">
        <f>VLOOKUP($F682,Inputs!$D$6:$E$41,2,FALSE)</f>
        <v/>
      </c>
      <c r="S682" s="36">
        <f>VLOOKUP($E682,Inputs!$A$6:$B$13,2,FALSE)*Inputs!$B$2</f>
        <v/>
      </c>
      <c r="T682" s="35">
        <f>$L682*$S682</f>
        <v/>
      </c>
      <c r="U682" s="35">
        <f>$L682+$T682</f>
        <v/>
      </c>
    </row>
    <row r="683">
      <c r="A683" s="3" t="inlineStr">
        <is>
          <t>PKG-26::L2613</t>
        </is>
      </c>
      <c r="B683" s="3" t="inlineStr">
        <is>
          <t>PKG-26</t>
        </is>
      </c>
      <c r="C683" s="3" t="n"/>
      <c r="D683" s="3" t="inlineStr">
        <is>
          <t>L2613</t>
        </is>
      </c>
      <c r="E683" s="3" t="inlineStr">
        <is>
          <t>MAT</t>
        </is>
      </c>
      <c r="F683" s="3" t="inlineStr">
        <is>
          <t>PKG-26</t>
        </is>
      </c>
      <c r="G683" s="3" t="n"/>
      <c r="H683" s="3" t="inlineStr">
        <is>
          <t>Testing and Inspection Equipment - DFT gages holiday detectors adhesion test kits environmental monitoring</t>
        </is>
      </c>
      <c r="I683" s="22" t="n">
        <v>1</v>
      </c>
      <c r="J683" s="3" t="inlineStr">
        <is>
          <t>LS</t>
        </is>
      </c>
      <c r="K683" s="39" t="n">
        <v>35000</v>
      </c>
      <c r="L683" s="35" t="n">
        <v>35000</v>
      </c>
      <c r="M683" s="3" t="inlineStr">
        <is>
          <t>CAD</t>
        </is>
      </c>
      <c r="N683" s="3" t="inlineStr">
        <is>
          <t>ALLOWANCE</t>
        </is>
      </c>
      <c r="O683" s="3" t="inlineStr">
        <is>
          <t>A-2613</t>
        </is>
      </c>
      <c r="P683" s="3" t="inlineStr">
        <is>
          <t>LOW</t>
        </is>
      </c>
      <c r="Q683" s="3" t="inlineStr">
        <is>
          <t>Allowance for inspection and testing equipment and consumables</t>
        </is>
      </c>
      <c r="R683" s="3">
        <f>VLOOKUP($F683,Inputs!$D$6:$E$41,2,FALSE)</f>
        <v/>
      </c>
      <c r="S683" s="36">
        <f>VLOOKUP($E683,Inputs!$A$6:$B$13,2,FALSE)*Inputs!$B$2</f>
        <v/>
      </c>
      <c r="T683" s="35">
        <f>$L683*$S683</f>
        <v/>
      </c>
      <c r="U683" s="35">
        <f>$L683+$T683</f>
        <v/>
      </c>
    </row>
    <row r="684">
      <c r="A684" s="3" t="inlineStr">
        <is>
          <t>PKG-26::L2614</t>
        </is>
      </c>
      <c r="B684" s="3" t="inlineStr">
        <is>
          <t>PKG-26</t>
        </is>
      </c>
      <c r="C684" s="3" t="n"/>
      <c r="D684" s="3" t="inlineStr">
        <is>
          <t>L2614</t>
        </is>
      </c>
      <c r="E684" s="3" t="inlineStr">
        <is>
          <t>CD</t>
        </is>
      </c>
      <c r="F684" s="3" t="inlineStr">
        <is>
          <t>PKG-26</t>
        </is>
      </c>
      <c r="G684" s="3" t="n"/>
      <c r="H684" s="3" t="inlineStr">
        <is>
          <t>Tank Internal Surface Preparation - abrasive blasting cleaning surface profile verification (~11000 m²)</t>
        </is>
      </c>
      <c r="I684" s="22" t="n">
        <v>11000</v>
      </c>
      <c r="J684" s="3" t="inlineStr">
        <is>
          <t>m2</t>
        </is>
      </c>
      <c r="K684" s="39" t="n">
        <v>8</v>
      </c>
      <c r="L684" s="35" t="n">
        <v>88000</v>
      </c>
      <c r="M684" s="3" t="inlineStr">
        <is>
          <t>88000</t>
        </is>
      </c>
      <c r="N684" s="3" t="inlineStr">
        <is>
          <t>CAD</t>
        </is>
      </c>
      <c r="O684" s="3" t="inlineStr">
        <is>
          <t>ALLOWANCE</t>
        </is>
      </c>
      <c r="P684" s="3" t="inlineStr">
        <is>
          <t>A-2614</t>
        </is>
      </c>
      <c r="Q684" s="3" t="inlineStr">
        <is>
          <t>LOW</t>
        </is>
      </c>
      <c r="R684" s="3">
        <f>VLOOKUP($F684,Inputs!$D$6:$E$41,2,FALSE)</f>
        <v/>
      </c>
      <c r="S684" s="36">
        <f>VLOOKUP($E684,Inputs!$A$6:$B$13,2,FALSE)*Inputs!$B$2</f>
        <v/>
      </c>
      <c r="T684" s="35">
        <f>$L684*$S684</f>
        <v/>
      </c>
      <c r="U684" s="35">
        <f>$L684+$T684</f>
        <v/>
      </c>
    </row>
    <row r="685">
      <c r="A685" s="3" t="inlineStr">
        <is>
          <t>PKG-26::L2615</t>
        </is>
      </c>
      <c r="B685" s="3" t="inlineStr">
        <is>
          <t>PKG-26</t>
        </is>
      </c>
      <c r="C685" s="3" t="n"/>
      <c r="D685" s="3" t="inlineStr">
        <is>
          <t>L2615</t>
        </is>
      </c>
      <c r="E685" s="3" t="inlineStr">
        <is>
          <t>CD</t>
        </is>
      </c>
      <c r="F685" s="3" t="inlineStr">
        <is>
          <t>PKG-26</t>
        </is>
      </c>
      <c r="G685" s="3" t="n"/>
      <c r="H685" s="3" t="inlineStr">
        <is>
          <t>Tank Internal Coating Application - spray application environmental control DFT measurement holiday detection (~11000 m²)</t>
        </is>
      </c>
      <c r="I685" s="22" t="n">
        <v>11000</v>
      </c>
      <c r="J685" s="3" t="inlineStr">
        <is>
          <t>m2</t>
        </is>
      </c>
      <c r="K685" s="39" t="n">
        <v>12</v>
      </c>
      <c r="L685" s="35" t="n">
        <v>132000</v>
      </c>
      <c r="M685" s="3" t="inlineStr">
        <is>
          <t>132000</t>
        </is>
      </c>
      <c r="N685" s="3" t="inlineStr">
        <is>
          <t>CAD</t>
        </is>
      </c>
      <c r="O685" s="3" t="inlineStr">
        <is>
          <t>ALLOWANCE</t>
        </is>
      </c>
      <c r="P685" s="3" t="inlineStr">
        <is>
          <t>A-2615</t>
        </is>
      </c>
      <c r="Q685" s="3" t="inlineStr">
        <is>
          <t>LOW</t>
        </is>
      </c>
      <c r="R685" s="3">
        <f>VLOOKUP($F685,Inputs!$D$6:$E$41,2,FALSE)</f>
        <v/>
      </c>
      <c r="S685" s="36">
        <f>VLOOKUP($E685,Inputs!$A$6:$B$13,2,FALSE)*Inputs!$B$2</f>
        <v/>
      </c>
      <c r="T685" s="35">
        <f>$L685*$S685</f>
        <v/>
      </c>
      <c r="U685" s="35">
        <f>$L685+$T685</f>
        <v/>
      </c>
    </row>
    <row r="686">
      <c r="A686" s="3" t="inlineStr">
        <is>
          <t>PKG-26::L2616</t>
        </is>
      </c>
      <c r="B686" s="3" t="inlineStr">
        <is>
          <t>PKG-26</t>
        </is>
      </c>
      <c r="C686" s="3" t="n"/>
      <c r="D686" s="3" t="inlineStr">
        <is>
          <t>L2616</t>
        </is>
      </c>
      <c r="E686" s="3" t="inlineStr">
        <is>
          <t>CD</t>
        </is>
      </c>
      <c r="F686" s="3" t="inlineStr">
        <is>
          <t>PKG-26</t>
        </is>
      </c>
      <c r="G686" s="3" t="n"/>
      <c r="H686" s="3" t="inlineStr">
        <is>
          <t>Tank External Surface Preparation - abrasive blasting cleaning surface profile verification (~9000 m²)</t>
        </is>
      </c>
      <c r="I686" s="22" t="n">
        <v>9000</v>
      </c>
      <c r="J686" s="3" t="inlineStr">
        <is>
          <t>m2</t>
        </is>
      </c>
      <c r="K686" s="39" t="n">
        <v>5</v>
      </c>
      <c r="L686" s="35" t="n">
        <v>45000</v>
      </c>
      <c r="M686" s="3" t="inlineStr">
        <is>
          <t>45000</t>
        </is>
      </c>
      <c r="N686" s="3" t="inlineStr">
        <is>
          <t>CAD</t>
        </is>
      </c>
      <c r="O686" s="3" t="inlineStr">
        <is>
          <t>ALLOWANCE</t>
        </is>
      </c>
      <c r="P686" s="3" t="inlineStr">
        <is>
          <t>A-2616</t>
        </is>
      </c>
      <c r="Q686" s="3" t="inlineStr">
        <is>
          <t>LOW</t>
        </is>
      </c>
      <c r="R686" s="3">
        <f>VLOOKUP($F686,Inputs!$D$6:$E$41,2,FALSE)</f>
        <v/>
      </c>
      <c r="S686" s="36">
        <f>VLOOKUP($E686,Inputs!$A$6:$B$13,2,FALSE)*Inputs!$B$2</f>
        <v/>
      </c>
      <c r="T686" s="35">
        <f>$L686*$S686</f>
        <v/>
      </c>
      <c r="U686" s="35">
        <f>$L686+$T686</f>
        <v/>
      </c>
    </row>
    <row r="687">
      <c r="A687" s="3" t="inlineStr">
        <is>
          <t>PKG-26::L2617</t>
        </is>
      </c>
      <c r="B687" s="3" t="inlineStr">
        <is>
          <t>PKG-26</t>
        </is>
      </c>
      <c r="C687" s="3" t="n"/>
      <c r="D687" s="3" t="inlineStr">
        <is>
          <t>L2617</t>
        </is>
      </c>
      <c r="E687" s="3" t="inlineStr">
        <is>
          <t>CD</t>
        </is>
      </c>
      <c r="F687" s="3" t="inlineStr">
        <is>
          <t>PKG-26</t>
        </is>
      </c>
      <c r="G687" s="3" t="n"/>
      <c r="H687" s="3" t="inlineStr">
        <is>
          <t>Tank External Coating Application - spray application environmental monitoring DFT measurement (~9000 m²)</t>
        </is>
      </c>
      <c r="I687" s="22" t="n">
        <v>9000</v>
      </c>
      <c r="J687" s="3" t="inlineStr">
        <is>
          <t>m2</t>
        </is>
      </c>
      <c r="K687" s="39" t="n">
        <v>7</v>
      </c>
      <c r="L687" s="35" t="n">
        <v>63000</v>
      </c>
      <c r="M687" s="3" t="inlineStr">
        <is>
          <t>63000</t>
        </is>
      </c>
      <c r="N687" s="3" t="inlineStr">
        <is>
          <t>CAD</t>
        </is>
      </c>
      <c r="O687" s="3" t="inlineStr">
        <is>
          <t>ALLOWANCE</t>
        </is>
      </c>
      <c r="P687" s="3" t="inlineStr">
        <is>
          <t>A-2617</t>
        </is>
      </c>
      <c r="Q687" s="3" t="inlineStr">
        <is>
          <t>LOW</t>
        </is>
      </c>
      <c r="R687" s="3">
        <f>VLOOKUP($F687,Inputs!$D$6:$E$41,2,FALSE)</f>
        <v/>
      </c>
      <c r="S687" s="36">
        <f>VLOOKUP($E687,Inputs!$A$6:$B$13,2,FALSE)*Inputs!$B$2</f>
        <v/>
      </c>
      <c r="T687" s="35">
        <f>$L687*$S687</f>
        <v/>
      </c>
      <c r="U687" s="35">
        <f>$L687+$T687</f>
        <v/>
      </c>
    </row>
    <row r="688">
      <c r="A688" s="3" t="inlineStr">
        <is>
          <t>PKG-26::L2618</t>
        </is>
      </c>
      <c r="B688" s="3" t="inlineStr">
        <is>
          <t>PKG-26</t>
        </is>
      </c>
      <c r="C688" s="3" t="n"/>
      <c r="D688" s="3" t="inlineStr">
        <is>
          <t>L2618</t>
        </is>
      </c>
      <c r="E688" s="3" t="inlineStr">
        <is>
          <t>CD</t>
        </is>
      </c>
      <c r="F688" s="3" t="inlineStr">
        <is>
          <t>PKG-26</t>
        </is>
      </c>
      <c r="G688" s="3" t="n"/>
      <c r="H688" s="3" t="inlineStr">
        <is>
          <t>Structural Steel Surface Preparation - touch-up surface prep for field welds connections handling damage (~3750 m²)</t>
        </is>
      </c>
      <c r="I688" s="22" t="n">
        <v>3750</v>
      </c>
      <c r="J688" s="3" t="inlineStr">
        <is>
          <t>m2</t>
        </is>
      </c>
      <c r="K688" s="39" t="n">
        <v>3</v>
      </c>
      <c r="L688" s="35" t="n">
        <v>11250</v>
      </c>
      <c r="M688" s="3" t="inlineStr">
        <is>
          <t>11250</t>
        </is>
      </c>
      <c r="N688" s="3" t="inlineStr">
        <is>
          <t>CAD</t>
        </is>
      </c>
      <c r="O688" s="3" t="inlineStr">
        <is>
          <t>ALLOWANCE</t>
        </is>
      </c>
      <c r="P688" s="3" t="inlineStr">
        <is>
          <t>A-2618</t>
        </is>
      </c>
      <c r="Q688" s="3" t="inlineStr">
        <is>
          <t>LOW</t>
        </is>
      </c>
      <c r="R688" s="3">
        <f>VLOOKUP($F688,Inputs!$D$6:$E$41,2,FALSE)</f>
        <v/>
      </c>
      <c r="S688" s="36">
        <f>VLOOKUP($E688,Inputs!$A$6:$B$13,2,FALSE)*Inputs!$B$2</f>
        <v/>
      </c>
      <c r="T688" s="35">
        <f>$L688*$S688</f>
        <v/>
      </c>
      <c r="U688" s="35">
        <f>$L688+$T688</f>
        <v/>
      </c>
    </row>
    <row r="689">
      <c r="A689" s="3" t="inlineStr">
        <is>
          <t>PKG-26::L2619</t>
        </is>
      </c>
      <c r="B689" s="3" t="inlineStr">
        <is>
          <t>PKG-26</t>
        </is>
      </c>
      <c r="C689" s="3" t="n"/>
      <c r="D689" s="3" t="inlineStr">
        <is>
          <t>L2619</t>
        </is>
      </c>
      <c r="E689" s="3" t="inlineStr">
        <is>
          <t>CD</t>
        </is>
      </c>
      <c r="F689" s="3" t="inlineStr">
        <is>
          <t>PKG-26</t>
        </is>
      </c>
      <c r="G689" s="3" t="n"/>
      <c r="H689" s="3" t="inlineStr">
        <is>
          <t>Structural Steel Field Painting - field painting application DFT measurement (~3750 m²)</t>
        </is>
      </c>
      <c r="I689" s="22" t="n">
        <v>3750</v>
      </c>
      <c r="J689" s="3" t="inlineStr">
        <is>
          <t>m2</t>
        </is>
      </c>
      <c r="K689" s="39" t="n">
        <v>5</v>
      </c>
      <c r="L689" s="35" t="n">
        <v>18750</v>
      </c>
      <c r="M689" s="3" t="inlineStr">
        <is>
          <t>18750</t>
        </is>
      </c>
      <c r="N689" s="3" t="inlineStr">
        <is>
          <t>CAD</t>
        </is>
      </c>
      <c r="O689" s="3" t="inlineStr">
        <is>
          <t>ALLOWANCE</t>
        </is>
      </c>
      <c r="P689" s="3" t="inlineStr">
        <is>
          <t>A-2619</t>
        </is>
      </c>
      <c r="Q689" s="3" t="inlineStr">
        <is>
          <t>LOW</t>
        </is>
      </c>
      <c r="R689" s="3">
        <f>VLOOKUP($F689,Inputs!$D$6:$E$41,2,FALSE)</f>
        <v/>
      </c>
      <c r="S689" s="36">
        <f>VLOOKUP($E689,Inputs!$A$6:$B$13,2,FALSE)*Inputs!$B$2</f>
        <v/>
      </c>
      <c r="T689" s="35">
        <f>$L689*$S689</f>
        <v/>
      </c>
      <c r="U689" s="35">
        <f>$L689+$T689</f>
        <v/>
      </c>
    </row>
    <row r="690">
      <c r="A690" s="3" t="inlineStr">
        <is>
          <t>PKG-26::L2620</t>
        </is>
      </c>
      <c r="B690" s="3" t="inlineStr">
        <is>
          <t>PKG-26</t>
        </is>
      </c>
      <c r="C690" s="3" t="n"/>
      <c r="D690" s="3" t="inlineStr">
        <is>
          <t>L2620</t>
        </is>
      </c>
      <c r="E690" s="3" t="inlineStr">
        <is>
          <t>CD</t>
        </is>
      </c>
      <c r="F690" s="3" t="inlineStr">
        <is>
          <t>PKG-26</t>
        </is>
      </c>
      <c r="G690" s="3" t="n"/>
      <c r="H690" s="3" t="inlineStr">
        <is>
          <t>Marine Structure Surface Preparation - abrasive blasting for marine structures immersion splash atmospheric zones (~7650 m²)</t>
        </is>
      </c>
      <c r="I690" s="22" t="n">
        <v>7650</v>
      </c>
      <c r="J690" s="3" t="inlineStr">
        <is>
          <t>m2</t>
        </is>
      </c>
      <c r="K690" s="39" t="n">
        <v>7</v>
      </c>
      <c r="L690" s="35" t="n">
        <v>53550</v>
      </c>
      <c r="M690" s="3" t="inlineStr">
        <is>
          <t>53550</t>
        </is>
      </c>
      <c r="N690" s="3" t="inlineStr">
        <is>
          <t>CAD</t>
        </is>
      </c>
      <c r="O690" s="3" t="inlineStr">
        <is>
          <t>ALLOWANCE</t>
        </is>
      </c>
      <c r="P690" s="3" t="inlineStr">
        <is>
          <t>A-2620</t>
        </is>
      </c>
      <c r="Q690" s="3" t="inlineStr">
        <is>
          <t>LOW</t>
        </is>
      </c>
      <c r="R690" s="3">
        <f>VLOOKUP($F690,Inputs!$D$6:$E$41,2,FALSE)</f>
        <v/>
      </c>
      <c r="S690" s="36">
        <f>VLOOKUP($E690,Inputs!$A$6:$B$13,2,FALSE)*Inputs!$B$2</f>
        <v/>
      </c>
      <c r="T690" s="35">
        <f>$L690*$S690</f>
        <v/>
      </c>
      <c r="U690" s="35">
        <f>$L690+$T690</f>
        <v/>
      </c>
    </row>
    <row r="691">
      <c r="A691" s="3" t="inlineStr">
        <is>
          <t>PKG-26::L2621</t>
        </is>
      </c>
      <c r="B691" s="3" t="inlineStr">
        <is>
          <t>PKG-26</t>
        </is>
      </c>
      <c r="C691" s="3" t="n"/>
      <c r="D691" s="3" t="inlineStr">
        <is>
          <t>L2621</t>
        </is>
      </c>
      <c r="E691" s="3" t="inlineStr">
        <is>
          <t>CD</t>
        </is>
      </c>
      <c r="F691" s="3" t="inlineStr">
        <is>
          <t>PKG-26</t>
        </is>
      </c>
      <c r="G691" s="3" t="n"/>
      <c r="H691" s="3" t="inlineStr">
        <is>
          <t>Marine Coating Application - high-performance marine coating application DFT measurement holiday detection (~7650 m²)</t>
        </is>
      </c>
      <c r="I691" s="22" t="n">
        <v>7650</v>
      </c>
      <c r="J691" s="3" t="inlineStr">
        <is>
          <t>m2</t>
        </is>
      </c>
      <c r="K691" s="39" t="n">
        <v>10</v>
      </c>
      <c r="L691" s="35" t="n">
        <v>76500</v>
      </c>
      <c r="M691" s="3" t="inlineStr">
        <is>
          <t>76500</t>
        </is>
      </c>
      <c r="N691" s="3" t="inlineStr">
        <is>
          <t>CAD</t>
        </is>
      </c>
      <c r="O691" s="3" t="inlineStr">
        <is>
          <t>ALLOWANCE</t>
        </is>
      </c>
      <c r="P691" s="3" t="inlineStr">
        <is>
          <t>A-2621</t>
        </is>
      </c>
      <c r="Q691" s="3" t="inlineStr">
        <is>
          <t>LOW</t>
        </is>
      </c>
      <c r="R691" s="3">
        <f>VLOOKUP($F691,Inputs!$D$6:$E$41,2,FALSE)</f>
        <v/>
      </c>
      <c r="S691" s="36">
        <f>VLOOKUP($E691,Inputs!$A$6:$B$13,2,FALSE)*Inputs!$B$2</f>
        <v/>
      </c>
      <c r="T691" s="35">
        <f>$L691*$S691</f>
        <v/>
      </c>
      <c r="U691" s="35">
        <f>$L691+$T691</f>
        <v/>
      </c>
    </row>
    <row r="692">
      <c r="A692" s="3" t="inlineStr">
        <is>
          <t>PKG-26::L2622</t>
        </is>
      </c>
      <c r="B692" s="3" t="inlineStr">
        <is>
          <t>PKG-26</t>
        </is>
      </c>
      <c r="C692" s="3" t="n"/>
      <c r="D692" s="3" t="inlineStr">
        <is>
          <t>L2622</t>
        </is>
      </c>
      <c r="E692" s="3" t="inlineStr">
        <is>
          <t>CD</t>
        </is>
      </c>
      <c r="F692" s="3" t="inlineStr">
        <is>
          <t>PKG-26</t>
        </is>
      </c>
      <c r="G692" s="3" t="n"/>
      <c r="H692" s="3" t="inlineStr">
        <is>
          <t>Field Touch-Up Labor - field weld coating touch-up handling damage repair misc field painting</t>
        </is>
      </c>
      <c r="I692" s="22" t="n">
        <v>1</v>
      </c>
      <c r="J692" s="3" t="inlineStr">
        <is>
          <t>LS</t>
        </is>
      </c>
      <c r="K692" s="39" t="n">
        <v>95000</v>
      </c>
      <c r="L692" s="35" t="n">
        <v>95000</v>
      </c>
      <c r="M692" s="3" t="inlineStr">
        <is>
          <t>CAD</t>
        </is>
      </c>
      <c r="N692" s="3" t="inlineStr">
        <is>
          <t>ALLOWANCE</t>
        </is>
      </c>
      <c r="O692" s="3" t="inlineStr">
        <is>
          <t>A-2622</t>
        </is>
      </c>
      <c r="P692" s="3" t="inlineStr">
        <is>
          <t>LOW</t>
        </is>
      </c>
      <c r="Q692" s="3" t="inlineStr">
        <is>
          <t>Allowance for field touch-up labor; extent unknown until construction; includes travel mobilization to various field locations</t>
        </is>
      </c>
      <c r="R692" s="3">
        <f>VLOOKUP($F692,Inputs!$D$6:$E$41,2,FALSE)</f>
        <v/>
      </c>
      <c r="S692" s="36">
        <f>VLOOKUP($E692,Inputs!$A$6:$B$13,2,FALSE)*Inputs!$B$2</f>
        <v/>
      </c>
      <c r="T692" s="35">
        <f>$L692*$S692</f>
        <v/>
      </c>
      <c r="U692" s="35">
        <f>$L692+$T692</f>
        <v/>
      </c>
    </row>
    <row r="693">
      <c r="A693" s="3" t="inlineStr">
        <is>
          <t>PKG-26::L2623</t>
        </is>
      </c>
      <c r="B693" s="3" t="inlineStr">
        <is>
          <t>PKG-26</t>
        </is>
      </c>
      <c r="C693" s="3" t="n"/>
      <c r="D693" s="3" t="inlineStr">
        <is>
          <t>L2623</t>
        </is>
      </c>
      <c r="E693" s="3" t="inlineStr">
        <is>
          <t>CD</t>
        </is>
      </c>
      <c r="F693" s="3" t="inlineStr">
        <is>
          <t>PKG-26</t>
        </is>
      </c>
      <c r="G693" s="3" t="n"/>
      <c r="H693" s="3" t="inlineStr">
        <is>
          <t>Coating Inspection and Testing - DFT measurement holiday detection adhesion testing surface cleanliness verification environmental monitoring</t>
        </is>
      </c>
      <c r="I693" s="22" t="n">
        <v>1</v>
      </c>
      <c r="J693" s="3" t="inlineStr">
        <is>
          <t>LS</t>
        </is>
      </c>
      <c r="K693" s="39" t="n">
        <v>75000</v>
      </c>
      <c r="L693" s="35" t="n">
        <v>75000</v>
      </c>
      <c r="M693" s="3" t="inlineStr">
        <is>
          <t>CAD</t>
        </is>
      </c>
      <c r="N693" s="3" t="inlineStr">
        <is>
          <t>ALLOWANCE</t>
        </is>
      </c>
      <c r="O693" s="3" t="inlineStr">
        <is>
          <t>A-2623</t>
        </is>
      </c>
      <c r="P693" s="3" t="inlineStr">
        <is>
          <t>LOW</t>
        </is>
      </c>
      <c r="Q693" s="3" t="inlineStr">
        <is>
          <t>Allowance for QA/QC inspection and testing labor; continuous monitoring during application; verification testing for acceptance</t>
        </is>
      </c>
      <c r="R693" s="3">
        <f>VLOOKUP($F693,Inputs!$D$6:$E$41,2,FALSE)</f>
        <v/>
      </c>
      <c r="S693" s="36">
        <f>VLOOKUP($E693,Inputs!$A$6:$B$13,2,FALSE)*Inputs!$B$2</f>
        <v/>
      </c>
      <c r="T693" s="35">
        <f>$L693*$S693</f>
        <v/>
      </c>
      <c r="U693" s="35">
        <f>$L693+$T693</f>
        <v/>
      </c>
    </row>
    <row r="694">
      <c r="A694" s="3" t="inlineStr">
        <is>
          <t>PKG-26::L2624</t>
        </is>
      </c>
      <c r="B694" s="3" t="inlineStr">
        <is>
          <t>PKG-26</t>
        </is>
      </c>
      <c r="C694" s="3" t="n"/>
      <c r="D694" s="3" t="inlineStr">
        <is>
          <t>L2624</t>
        </is>
      </c>
      <c r="E694" s="3" t="inlineStr">
        <is>
          <t>CD</t>
        </is>
      </c>
      <c r="F694" s="3" t="inlineStr">
        <is>
          <t>PKG-26</t>
        </is>
      </c>
      <c r="G694" s="3" t="n"/>
      <c r="H694" s="3" t="inlineStr">
        <is>
          <t>Confined Space Entry Support - ventilation air monitoring safety watch rescue equipment for tank internal coating</t>
        </is>
      </c>
      <c r="I694" s="22" t="n">
        <v>1</v>
      </c>
      <c r="J694" s="3" t="inlineStr">
        <is>
          <t>LS</t>
        </is>
      </c>
      <c r="K694" s="39" t="n">
        <v>55000</v>
      </c>
      <c r="L694" s="35" t="n">
        <v>55000</v>
      </c>
      <c r="M694" s="3" t="inlineStr">
        <is>
          <t>CAD</t>
        </is>
      </c>
      <c r="N694" s="3" t="inlineStr">
        <is>
          <t>ALLOWANCE</t>
        </is>
      </c>
      <c r="O694" s="3" t="inlineStr">
        <is>
          <t>A-2624</t>
        </is>
      </c>
      <c r="P694" s="3" t="inlineStr">
        <is>
          <t>LOW</t>
        </is>
      </c>
      <c r="Q694" s="3" t="inlineStr">
        <is>
          <t>Allowance for confined space entry support during tank internal surface prep and coating; HSE-critical; coordinate with PKG-33</t>
        </is>
      </c>
      <c r="R694" s="3">
        <f>VLOOKUP($F694,Inputs!$D$6:$E$41,2,FALSE)</f>
        <v/>
      </c>
      <c r="S694" s="36">
        <f>VLOOKUP($E694,Inputs!$A$6:$B$13,2,FALSE)*Inputs!$B$2</f>
        <v/>
      </c>
      <c r="T694" s="35">
        <f>$L694*$S694</f>
        <v/>
      </c>
      <c r="U694" s="35">
        <f>$L694+$T694</f>
        <v/>
      </c>
    </row>
    <row r="695">
      <c r="A695" s="3" t="inlineStr">
        <is>
          <t>PKG-26::L2625</t>
        </is>
      </c>
      <c r="B695" s="3" t="inlineStr">
        <is>
          <t>PKG-26</t>
        </is>
      </c>
      <c r="C695" s="3" t="n"/>
      <c r="D695" s="3" t="inlineStr">
        <is>
          <t>L2625</t>
        </is>
      </c>
      <c r="E695" s="3" t="inlineStr">
        <is>
          <t>CD</t>
        </is>
      </c>
      <c r="F695" s="3" t="inlineStr">
        <is>
          <t>PKG-26</t>
        </is>
      </c>
      <c r="G695" s="3" t="n"/>
      <c r="H695" s="3" t="inlineStr">
        <is>
          <t>Access Equipment and Scaffolding - scaffolding aerial lifts access platforms for external tank coating and structural steel</t>
        </is>
      </c>
      <c r="I695" s="22" t="n">
        <v>1</v>
      </c>
      <c r="J695" s="3" t="inlineStr">
        <is>
          <t>LS</t>
        </is>
      </c>
      <c r="K695" s="39" t="n">
        <v>65000</v>
      </c>
      <c r="L695" s="35" t="n">
        <v>65000</v>
      </c>
      <c r="M695" s="3" t="inlineStr">
        <is>
          <t>CAD</t>
        </is>
      </c>
      <c r="N695" s="3" t="inlineStr">
        <is>
          <t>ALLOWANCE</t>
        </is>
      </c>
      <c r="O695" s="3" t="inlineStr">
        <is>
          <t>A-2625</t>
        </is>
      </c>
      <c r="P695" s="3" t="inlineStr">
        <is>
          <t>LOW</t>
        </is>
      </c>
      <c r="Q695" s="3" t="inlineStr">
        <is>
          <t>Allowance for access equipment rental and setup; tank external coating requires scaffolding or aerial lifts</t>
        </is>
      </c>
      <c r="R695" s="3">
        <f>VLOOKUP($F695,Inputs!$D$6:$E$41,2,FALSE)</f>
        <v/>
      </c>
      <c r="S695" s="36">
        <f>VLOOKUP($E695,Inputs!$A$6:$B$13,2,FALSE)*Inputs!$B$2</f>
        <v/>
      </c>
      <c r="T695" s="35">
        <f>$L695*$S695</f>
        <v/>
      </c>
      <c r="U695" s="35">
        <f>$L695+$T695</f>
        <v/>
      </c>
    </row>
    <row r="696">
      <c r="A696" s="3" t="inlineStr">
        <is>
          <t>PKG-26::L2626</t>
        </is>
      </c>
      <c r="B696" s="3" t="inlineStr">
        <is>
          <t>PKG-26</t>
        </is>
      </c>
      <c r="C696" s="3" t="n"/>
      <c r="D696" s="3" t="inlineStr">
        <is>
          <t>L2626</t>
        </is>
      </c>
      <c r="E696" s="3" t="inlineStr">
        <is>
          <t>CI</t>
        </is>
      </c>
      <c r="F696" s="3" t="inlineStr">
        <is>
          <t>PKG-26</t>
        </is>
      </c>
      <c r="G696" s="3" t="n"/>
      <c r="H696" s="3" t="inlineStr">
        <is>
          <t>Construction Indirects - field supervision QA/QC HSE coating operations coordination (factor-based)</t>
        </is>
      </c>
      <c r="I696" s="22" t="n">
        <v>1</v>
      </c>
      <c r="J696" s="3" t="inlineStr">
        <is>
          <t>LS</t>
        </is>
      </c>
      <c r="K696" s="39" t="n">
        <v>137133</v>
      </c>
      <c r="L696" s="35" t="n">
        <v>137133</v>
      </c>
      <c r="M696" s="3" t="inlineStr">
        <is>
          <t>CAD</t>
        </is>
      </c>
      <c r="N696" s="3" t="inlineStr">
        <is>
          <t>PARAMETRIC</t>
        </is>
      </c>
      <c r="O696" s="3" t="inlineStr">
        <is>
          <t>D-2608</t>
        </is>
      </c>
      <c r="P696" s="3" t="inlineStr">
        <is>
          <t>LOW</t>
        </is>
      </c>
      <c r="Q696" s="3" t="inlineStr">
        <is>
          <t>18% of CD base ($761.85k × 0.18 = $137.1k); factor from fallback model per AGENT_ESTIMATING.md</t>
        </is>
      </c>
      <c r="R696" s="3">
        <f>VLOOKUP($F696,Inputs!$D$6:$E$41,2,FALSE)</f>
        <v/>
      </c>
      <c r="S696" s="36">
        <f>VLOOKUP($E696,Inputs!$A$6:$B$13,2,FALSE)*Inputs!$B$2</f>
        <v/>
      </c>
      <c r="T696" s="35">
        <f>$L696*$S696</f>
        <v/>
      </c>
      <c r="U696" s="35">
        <f>$L696+$T696</f>
        <v/>
      </c>
    </row>
    <row r="697">
      <c r="A697" s="3" t="inlineStr">
        <is>
          <t>PKG-26::L2627</t>
        </is>
      </c>
      <c r="B697" s="3" t="inlineStr">
        <is>
          <t>PKG-26</t>
        </is>
      </c>
      <c r="C697" s="3" t="n"/>
      <c r="D697" s="3" t="inlineStr">
        <is>
          <t>L2627</t>
        </is>
      </c>
      <c r="E697" s="3" t="inlineStr">
        <is>
          <t>P</t>
        </is>
      </c>
      <c r="F697" s="3" t="inlineStr">
        <is>
          <t>PKG-26</t>
        </is>
      </c>
      <c r="G697" s="3" t="n"/>
      <c r="H697" s="3" t="inlineStr">
        <is>
          <t>Procurement Services - coating vendor coordination material expediting quality documentation review (factor-based)</t>
        </is>
      </c>
      <c r="I697" s="22" t="n">
        <v>1</v>
      </c>
      <c r="J697" s="3" t="inlineStr">
        <is>
          <t>LS</t>
        </is>
      </c>
      <c r="K697" s="39" t="n">
        <v>27780</v>
      </c>
      <c r="L697" s="35" t="n">
        <v>27780</v>
      </c>
      <c r="M697" s="3" t="inlineStr">
        <is>
          <t>CAD</t>
        </is>
      </c>
      <c r="N697" s="3" t="inlineStr">
        <is>
          <t>PARAMETRIC</t>
        </is>
      </c>
      <c r="O697" s="3" t="inlineStr">
        <is>
          <t>D-2608</t>
        </is>
      </c>
      <c r="P697" s="3" t="inlineStr">
        <is>
          <t>MED</t>
        </is>
      </c>
      <c r="Q697" s="3" t="inlineStr">
        <is>
          <t>2% of MAT base ($1388.7k × 0.02 = $27.8k); factor from fallback model per AGENT_ESTIMATING.md</t>
        </is>
      </c>
      <c r="R697" s="3">
        <f>VLOOKUP($F697,Inputs!$D$6:$E$41,2,FALSE)</f>
        <v/>
      </c>
      <c r="S697" s="36">
        <f>VLOOKUP($E697,Inputs!$A$6:$B$13,2,FALSE)*Inputs!$B$2</f>
        <v/>
      </c>
      <c r="T697" s="35">
        <f>$L697*$S697</f>
        <v/>
      </c>
      <c r="U697" s="35">
        <f>$L697+$T697</f>
        <v/>
      </c>
    </row>
    <row r="698">
      <c r="A698" s="3" t="inlineStr">
        <is>
          <t>PKG-26::L2628</t>
        </is>
      </c>
      <c r="B698" s="3" t="inlineStr">
        <is>
          <t>PKG-26</t>
        </is>
      </c>
      <c r="C698" s="3" t="n"/>
      <c r="D698" s="3" t="inlineStr">
        <is>
          <t>L2628</t>
        </is>
      </c>
      <c r="E698" s="3" t="inlineStr">
        <is>
          <t>PM</t>
        </is>
      </c>
      <c r="F698" s="3" t="inlineStr">
        <is>
          <t>PKG-26</t>
        </is>
      </c>
      <c r="G698" s="3" t="n"/>
      <c r="H698" s="3" t="inlineStr">
        <is>
          <t>EPCM / Project Management - PKG-26 allocation coating engineering coordination (factor-based)</t>
        </is>
      </c>
      <c r="I698" s="22" t="n">
        <v>1</v>
      </c>
      <c r="J698" s="3" t="inlineStr">
        <is>
          <t>LS</t>
        </is>
      </c>
      <c r="K698" s="39" t="n">
        <v>137280</v>
      </c>
      <c r="L698" s="35" t="n">
        <v>137280</v>
      </c>
      <c r="M698" s="3" t="inlineStr">
        <is>
          <t>CAD</t>
        </is>
      </c>
      <c r="N698" s="3" t="inlineStr">
        <is>
          <t>PARAMETRIC</t>
        </is>
      </c>
      <c r="O698" s="3" t="inlineStr">
        <is>
          <t>D-2608</t>
        </is>
      </c>
      <c r="P698" s="3" t="inlineStr">
        <is>
          <t>MED</t>
        </is>
      </c>
      <c r="Q698" s="3" t="inlineStr">
        <is>
          <t>6% of (CD+CI+MAT) = 6% × ($761.85k + $137.1k + $1388.7k) = $137.3k; factor from fallback model per AGENT_ESTIMATING.md</t>
        </is>
      </c>
      <c r="R698" s="3">
        <f>VLOOKUP($F698,Inputs!$D$6:$E$41,2,FALSE)</f>
        <v/>
      </c>
      <c r="S698" s="36">
        <f>VLOOKUP($E698,Inputs!$A$6:$B$13,2,FALSE)*Inputs!$B$2</f>
        <v/>
      </c>
      <c r="T698" s="35">
        <f>$L698*$S698</f>
        <v/>
      </c>
      <c r="U698" s="35">
        <f>$L698+$T698</f>
        <v/>
      </c>
    </row>
    <row r="699">
      <c r="A699" s="3" t="inlineStr">
        <is>
          <t>PKG-26::L2629</t>
        </is>
      </c>
      <c r="B699" s="3" t="inlineStr">
        <is>
          <t>PKG-26</t>
        </is>
      </c>
      <c r="C699" s="3" t="n"/>
      <c r="D699" s="3" t="inlineStr">
        <is>
          <t>L2629</t>
        </is>
      </c>
      <c r="E699" s="3" t="inlineStr">
        <is>
          <t>COM</t>
        </is>
      </c>
      <c r="F699" s="3" t="inlineStr">
        <is>
          <t>PKG-26</t>
        </is>
      </c>
      <c r="G699" s="3" t="n"/>
      <c r="H699" s="3" t="inlineStr">
        <is>
          <t>Commissioning and Acceptance Testing - final coating inspection DFT verification holiday detection food-grade acceptance adhesion testing documentation closeout</t>
        </is>
      </c>
      <c r="I699" s="22" t="n">
        <v>1</v>
      </c>
      <c r="J699" s="3" t="inlineStr">
        <is>
          <t>LS</t>
        </is>
      </c>
      <c r="K699" s="39" t="n">
        <v>68640</v>
      </c>
      <c r="L699" s="35" t="n">
        <v>68640</v>
      </c>
      <c r="M699" s="3" t="inlineStr">
        <is>
          <t>CAD</t>
        </is>
      </c>
      <c r="N699" s="3" t="inlineStr">
        <is>
          <t>PARAMETRIC</t>
        </is>
      </c>
      <c r="O699" s="3" t="inlineStr">
        <is>
          <t>D-2608</t>
        </is>
      </c>
      <c r="P699" s="3" t="inlineStr">
        <is>
          <t>LOW</t>
        </is>
      </c>
      <c r="Q699" s="3" t="inlineStr">
        <is>
          <t>3% of (CD+CI+MAT) = 3% × ($761.85k + $137.1k + $1388.7k) = $68.6k; factor from fallback model per AGENT_ESTIMATING.md; includes food-grade acceptance for tank internals</t>
        </is>
      </c>
      <c r="R699" s="3">
        <f>VLOOKUP($F699,Inputs!$D$6:$E$41,2,FALSE)</f>
        <v/>
      </c>
      <c r="S699" s="36">
        <f>VLOOKUP($E699,Inputs!$A$6:$B$13,2,FALSE)*Inputs!$B$2</f>
        <v/>
      </c>
      <c r="T699" s="35">
        <f>$L699*$S699</f>
        <v/>
      </c>
      <c r="U699" s="35">
        <f>$L699+$T699</f>
        <v/>
      </c>
    </row>
    <row r="700">
      <c r="A700" s="3" t="inlineStr">
        <is>
          <t>PKG-27::L001</t>
        </is>
      </c>
      <c r="B700" s="3" t="inlineStr">
        <is>
          <t>PKG-27</t>
        </is>
      </c>
      <c r="C700" s="3" t="inlineStr">
        <is>
          <t>DEL-27.01</t>
        </is>
      </c>
      <c r="D700" s="3" t="inlineStr">
        <is>
          <t>L001</t>
        </is>
      </c>
      <c r="E700" s="3" t="inlineStr">
        <is>
          <t>E</t>
        </is>
      </c>
      <c r="F700" s="3" t="inlineStr">
        <is>
          <t>PKG-27</t>
        </is>
      </c>
      <c r="G700" s="3" t="inlineStr">
        <is>
          <t>DEL-27.01</t>
        </is>
      </c>
      <c r="H700" s="3" t="inlineStr">
        <is>
          <t>Design Basis Documents - Civil discipline</t>
        </is>
      </c>
      <c r="I700" s="22" t="n">
        <v>1</v>
      </c>
      <c r="J700" s="3" t="inlineStr">
        <is>
          <t>LS</t>
        </is>
      </c>
      <c r="K700" s="39" t="n">
        <v>45000</v>
      </c>
      <c r="L700" s="35" t="n">
        <v>45000</v>
      </c>
      <c r="M700" s="3" t="inlineStr">
        <is>
          <t>CAD</t>
        </is>
      </c>
      <c r="N700" s="3" t="inlineStr">
        <is>
          <t>ALLOWANCE</t>
        </is>
      </c>
      <c r="O700" s="3" t="inlineStr">
        <is>
          <t>A-001</t>
        </is>
      </c>
      <c r="P700" s="3" t="inlineStr">
        <is>
          <t>LOW</t>
        </is>
      </c>
      <c r="Q700" s="3" t="inlineStr">
        <is>
          <t>Design basis memorandum for civil/structural scope (site grading; foundations; structures)</t>
        </is>
      </c>
      <c r="R700" s="3">
        <f>VLOOKUP($F700,Inputs!$D$6:$E$41,2,FALSE)</f>
        <v/>
      </c>
      <c r="S700" s="36">
        <f>VLOOKUP($E700,Inputs!$A$6:$B$13,2,FALSE)*Inputs!$B$2</f>
        <v/>
      </c>
      <c r="T700" s="35">
        <f>$L700*$S700</f>
        <v/>
      </c>
      <c r="U700" s="35">
        <f>$L700+$T700</f>
        <v/>
      </c>
    </row>
    <row r="701">
      <c r="A701" s="3" t="inlineStr">
        <is>
          <t>PKG-27::L002</t>
        </is>
      </c>
      <c r="B701" s="3" t="inlineStr">
        <is>
          <t>PKG-27</t>
        </is>
      </c>
      <c r="C701" s="3" t="inlineStr">
        <is>
          <t>DEL-27.01</t>
        </is>
      </c>
      <c r="D701" s="3" t="inlineStr">
        <is>
          <t>L002</t>
        </is>
      </c>
      <c r="E701" s="3" t="inlineStr">
        <is>
          <t>E</t>
        </is>
      </c>
      <c r="F701" s="3" t="inlineStr">
        <is>
          <t>PKG-27</t>
        </is>
      </c>
      <c r="G701" s="3" t="inlineStr">
        <is>
          <t>DEL-27.01</t>
        </is>
      </c>
      <c r="H701" s="3" t="inlineStr">
        <is>
          <t>Design Basis Documents - Mechanical discipline</t>
        </is>
      </c>
      <c r="I701" s="22" t="n">
        <v>1</v>
      </c>
      <c r="J701" s="3" t="inlineStr">
        <is>
          <t>LS</t>
        </is>
      </c>
      <c r="K701" s="39" t="n">
        <v>55000</v>
      </c>
      <c r="L701" s="35" t="n">
        <v>55000</v>
      </c>
      <c r="M701" s="3" t="inlineStr">
        <is>
          <t>CAD</t>
        </is>
      </c>
      <c r="N701" s="3" t="inlineStr">
        <is>
          <t>ALLOWANCE</t>
        </is>
      </c>
      <c r="O701" s="3" t="inlineStr">
        <is>
          <t>A-002</t>
        </is>
      </c>
      <c r="P701" s="3" t="inlineStr">
        <is>
          <t>LOW</t>
        </is>
      </c>
      <c r="Q701" s="3" t="inlineStr">
        <is>
          <t>Design basis for process mechanical scope (tanks; piping; loading systems)</t>
        </is>
      </c>
      <c r="R701" s="3">
        <f>VLOOKUP($F701,Inputs!$D$6:$E$41,2,FALSE)</f>
        <v/>
      </c>
      <c r="S701" s="36">
        <f>VLOOKUP($E701,Inputs!$A$6:$B$13,2,FALSE)*Inputs!$B$2</f>
        <v/>
      </c>
      <c r="T701" s="35">
        <f>$L701*$S701</f>
        <v/>
      </c>
      <c r="U701" s="35">
        <f>$L701+$T701</f>
        <v/>
      </c>
    </row>
    <row r="702">
      <c r="A702" s="3" t="inlineStr">
        <is>
          <t>PKG-27::L003</t>
        </is>
      </c>
      <c r="B702" s="3" t="inlineStr">
        <is>
          <t>PKG-27</t>
        </is>
      </c>
      <c r="C702" s="3" t="inlineStr">
        <is>
          <t>DEL-27.01</t>
        </is>
      </c>
      <c r="D702" s="3" t="inlineStr">
        <is>
          <t>L003</t>
        </is>
      </c>
      <c r="E702" s="3" t="inlineStr">
        <is>
          <t>E</t>
        </is>
      </c>
      <c r="F702" s="3" t="inlineStr">
        <is>
          <t>PKG-27</t>
        </is>
      </c>
      <c r="G702" s="3" t="inlineStr">
        <is>
          <t>DEL-27.01</t>
        </is>
      </c>
      <c r="H702" s="3" t="inlineStr">
        <is>
          <t>Design Basis Documents - Electrical discipline</t>
        </is>
      </c>
      <c r="I702" s="22" t="n">
        <v>1</v>
      </c>
      <c r="J702" s="3" t="inlineStr">
        <is>
          <t>LS</t>
        </is>
      </c>
      <c r="K702" s="39" t="n">
        <v>35000</v>
      </c>
      <c r="L702" s="35" t="n">
        <v>35000</v>
      </c>
      <c r="M702" s="3" t="inlineStr">
        <is>
          <t>CAD</t>
        </is>
      </c>
      <c r="N702" s="3" t="inlineStr">
        <is>
          <t>ALLOWANCE</t>
        </is>
      </c>
      <c r="O702" s="3" t="inlineStr">
        <is>
          <t>A-003</t>
        </is>
      </c>
      <c r="P702" s="3" t="inlineStr">
        <is>
          <t>LOW</t>
        </is>
      </c>
      <c r="Q702" s="3" t="inlineStr">
        <is>
          <t>Design basis for electrical scope (power distribution; lighting; MCC)</t>
        </is>
      </c>
      <c r="R702" s="3">
        <f>VLOOKUP($F702,Inputs!$D$6:$E$41,2,FALSE)</f>
        <v/>
      </c>
      <c r="S702" s="36">
        <f>VLOOKUP($E702,Inputs!$A$6:$B$13,2,FALSE)*Inputs!$B$2</f>
        <v/>
      </c>
      <c r="T702" s="35">
        <f>$L702*$S702</f>
        <v/>
      </c>
      <c r="U702" s="35">
        <f>$L702+$T702</f>
        <v/>
      </c>
    </row>
    <row r="703">
      <c r="A703" s="3" t="inlineStr">
        <is>
          <t>PKG-27::L004</t>
        </is>
      </c>
      <c r="B703" s="3" t="inlineStr">
        <is>
          <t>PKG-27</t>
        </is>
      </c>
      <c r="C703" s="3" t="inlineStr">
        <is>
          <t>DEL-27.01</t>
        </is>
      </c>
      <c r="D703" s="3" t="inlineStr">
        <is>
          <t>L004</t>
        </is>
      </c>
      <c r="E703" s="3" t="inlineStr">
        <is>
          <t>E</t>
        </is>
      </c>
      <c r="F703" s="3" t="inlineStr">
        <is>
          <t>PKG-27</t>
        </is>
      </c>
      <c r="G703" s="3" t="inlineStr">
        <is>
          <t>DEL-27.01</t>
        </is>
      </c>
      <c r="H703" s="3" t="inlineStr">
        <is>
          <t>Design Basis Documents - I&amp;C discipline</t>
        </is>
      </c>
      <c r="I703" s="22" t="n">
        <v>1</v>
      </c>
      <c r="J703" s="3" t="inlineStr">
        <is>
          <t>LS</t>
        </is>
      </c>
      <c r="K703" s="39" t="n">
        <v>38000</v>
      </c>
      <c r="L703" s="35" t="n">
        <v>38000</v>
      </c>
      <c r="M703" s="3" t="inlineStr">
        <is>
          <t>CAD</t>
        </is>
      </c>
      <c r="N703" s="3" t="inlineStr">
        <is>
          <t>ALLOWANCE</t>
        </is>
      </c>
      <c r="O703" s="3" t="inlineStr">
        <is>
          <t>A-004</t>
        </is>
      </c>
      <c r="P703" s="3" t="inlineStr">
        <is>
          <t>LOW</t>
        </is>
      </c>
      <c r="Q703" s="3" t="inlineStr">
        <is>
          <t>Design basis for instrumentation and controls scope (control systems; field instruments)</t>
        </is>
      </c>
      <c r="R703" s="3">
        <f>VLOOKUP($F703,Inputs!$D$6:$E$41,2,FALSE)</f>
        <v/>
      </c>
      <c r="S703" s="36">
        <f>VLOOKUP($E703,Inputs!$A$6:$B$13,2,FALSE)*Inputs!$B$2</f>
        <v/>
      </c>
      <c r="T703" s="35">
        <f>$L703*$S703</f>
        <v/>
      </c>
      <c r="U703" s="35">
        <f>$L703+$T703</f>
        <v/>
      </c>
    </row>
    <row r="704">
      <c r="A704" s="3" t="inlineStr">
        <is>
          <t>PKG-27::L005</t>
        </is>
      </c>
      <c r="B704" s="3" t="inlineStr">
        <is>
          <t>PKG-27</t>
        </is>
      </c>
      <c r="C704" s="3" t="inlineStr">
        <is>
          <t>DEL-27.01</t>
        </is>
      </c>
      <c r="D704" s="3" t="inlineStr">
        <is>
          <t>L005</t>
        </is>
      </c>
      <c r="E704" s="3" t="inlineStr">
        <is>
          <t>E</t>
        </is>
      </c>
      <c r="F704" s="3" t="inlineStr">
        <is>
          <t>PKG-27</t>
        </is>
      </c>
      <c r="G704" s="3" t="inlineStr">
        <is>
          <t>DEL-27.01</t>
        </is>
      </c>
      <c r="H704" s="3" t="inlineStr">
        <is>
          <t>Design Basis Documents - Marine discipline</t>
        </is>
      </c>
      <c r="I704" s="22" t="n">
        <v>1</v>
      </c>
      <c r="J704" s="3" t="inlineStr">
        <is>
          <t>LS</t>
        </is>
      </c>
      <c r="K704" s="39" t="n">
        <v>42000</v>
      </c>
      <c r="L704" s="35" t="n">
        <v>42000</v>
      </c>
      <c r="M704" s="3" t="inlineStr">
        <is>
          <t>CAD</t>
        </is>
      </c>
      <c r="N704" s="3" t="inlineStr">
        <is>
          <t>ALLOWANCE</t>
        </is>
      </c>
      <c r="O704" s="3" t="inlineStr">
        <is>
          <t>A-005</t>
        </is>
      </c>
      <c r="P704" s="3" t="inlineStr">
        <is>
          <t>LOW</t>
        </is>
      </c>
      <c r="Q704" s="3" t="inlineStr">
        <is>
          <t>Design basis for marine structures and loading arm scope</t>
        </is>
      </c>
      <c r="R704" s="3">
        <f>VLOOKUP($F704,Inputs!$D$6:$E$41,2,FALSE)</f>
        <v/>
      </c>
      <c r="S704" s="36">
        <f>VLOOKUP($E704,Inputs!$A$6:$B$13,2,FALSE)*Inputs!$B$2</f>
        <v/>
      </c>
      <c r="T704" s="35">
        <f>$L704*$S704</f>
        <v/>
      </c>
      <c r="U704" s="35">
        <f>$L704+$T704</f>
        <v/>
      </c>
    </row>
    <row r="705">
      <c r="A705" s="3" t="inlineStr">
        <is>
          <t>PKG-27::L006</t>
        </is>
      </c>
      <c r="B705" s="3" t="inlineStr">
        <is>
          <t>PKG-27</t>
        </is>
      </c>
      <c r="C705" s="3" t="inlineStr">
        <is>
          <t>DEL-27.02</t>
        </is>
      </c>
      <c r="D705" s="3" t="inlineStr">
        <is>
          <t>L006</t>
        </is>
      </c>
      <c r="E705" s="3" t="inlineStr">
        <is>
          <t>E</t>
        </is>
      </c>
      <c r="F705" s="3" t="inlineStr">
        <is>
          <t>PKG-27</t>
        </is>
      </c>
      <c r="G705" s="3" t="inlineStr">
        <is>
          <t>DEL-27.02</t>
        </is>
      </c>
      <c r="H705" s="3" t="inlineStr">
        <is>
          <t>HAZOP Study - Facilitation and coordination</t>
        </is>
      </c>
      <c r="I705" s="22" t="n">
        <v>40</v>
      </c>
      <c r="J705" s="3" t="inlineStr">
        <is>
          <t>hr</t>
        </is>
      </c>
      <c r="K705" s="39" t="n">
        <v>250</v>
      </c>
      <c r="L705" s="35" t="n">
        <v>10000</v>
      </c>
      <c r="M705" s="3" t="inlineStr">
        <is>
          <t>CAD</t>
        </is>
      </c>
      <c r="N705" s="3" t="inlineStr">
        <is>
          <t>PARAMETRIC</t>
        </is>
      </c>
      <c r="O705" s="3" t="inlineStr">
        <is>
          <t>A-006</t>
        </is>
      </c>
      <c r="P705" s="3" t="inlineStr">
        <is>
          <t>MED</t>
        </is>
      </c>
      <c r="Q705" s="3" t="inlineStr">
        <is>
          <t>HAZOP facilitator (5 days × 8 hr) for multi-discipline review sessions</t>
        </is>
      </c>
      <c r="R705" s="3">
        <f>VLOOKUP($F705,Inputs!$D$6:$E$41,2,FALSE)</f>
        <v/>
      </c>
      <c r="S705" s="36">
        <f>VLOOKUP($E705,Inputs!$A$6:$B$13,2,FALSE)*Inputs!$B$2</f>
        <v/>
      </c>
      <c r="T705" s="35">
        <f>$L705*$S705</f>
        <v/>
      </c>
      <c r="U705" s="35">
        <f>$L705+$T705</f>
        <v/>
      </c>
    </row>
    <row r="706">
      <c r="A706" s="3" t="inlineStr">
        <is>
          <t>PKG-27::L007</t>
        </is>
      </c>
      <c r="B706" s="3" t="inlineStr">
        <is>
          <t>PKG-27</t>
        </is>
      </c>
      <c r="C706" s="3" t="inlineStr">
        <is>
          <t>DEL-27.02</t>
        </is>
      </c>
      <c r="D706" s="3" t="inlineStr">
        <is>
          <t>L007</t>
        </is>
      </c>
      <c r="E706" s="3" t="inlineStr">
        <is>
          <t>E</t>
        </is>
      </c>
      <c r="F706" s="3" t="inlineStr">
        <is>
          <t>PKG-27</t>
        </is>
      </c>
      <c r="G706" s="3" t="inlineStr">
        <is>
          <t>DEL-27.02</t>
        </is>
      </c>
      <c r="H706" s="3" t="inlineStr">
        <is>
          <t>HAZOP Study - Engineering participation (multi-discipline)</t>
        </is>
      </c>
      <c r="I706" s="22" t="n">
        <v>200</v>
      </c>
      <c r="J706" s="3" t="inlineStr">
        <is>
          <t>hr</t>
        </is>
      </c>
      <c r="K706" s="39" t="n">
        <v>175</v>
      </c>
      <c r="L706" s="35" t="n">
        <v>35000</v>
      </c>
      <c r="M706" s="3" t="inlineStr">
        <is>
          <t>CAD</t>
        </is>
      </c>
      <c r="N706" s="3" t="inlineStr">
        <is>
          <t>PARAMETRIC</t>
        </is>
      </c>
      <c r="O706" s="3" t="inlineStr">
        <is>
          <t>A-007</t>
        </is>
      </c>
      <c r="P706" s="3" t="inlineStr">
        <is>
          <t>MED</t>
        </is>
      </c>
      <c r="Q706" s="3" t="inlineStr">
        <is>
          <t>Senior engineers representing civil/mechanical/electrical/I&amp;C/process (5 disciplines × 40 hr)</t>
        </is>
      </c>
      <c r="R706" s="3">
        <f>VLOOKUP($F706,Inputs!$D$6:$E$41,2,FALSE)</f>
        <v/>
      </c>
      <c r="S706" s="36">
        <f>VLOOKUP($E706,Inputs!$A$6:$B$13,2,FALSE)*Inputs!$B$2</f>
        <v/>
      </c>
      <c r="T706" s="35">
        <f>$L706*$S706</f>
        <v/>
      </c>
      <c r="U706" s="35">
        <f>$L706+$T706</f>
        <v/>
      </c>
    </row>
    <row r="707">
      <c r="A707" s="3" t="inlineStr">
        <is>
          <t>PKG-27::L008</t>
        </is>
      </c>
      <c r="B707" s="3" t="inlineStr">
        <is>
          <t>PKG-27</t>
        </is>
      </c>
      <c r="C707" s="3" t="inlineStr">
        <is>
          <t>DEL-27.02</t>
        </is>
      </c>
      <c r="D707" s="3" t="inlineStr">
        <is>
          <t>L008</t>
        </is>
      </c>
      <c r="E707" s="3" t="inlineStr">
        <is>
          <t>E</t>
        </is>
      </c>
      <c r="F707" s="3" t="inlineStr">
        <is>
          <t>PKG-27</t>
        </is>
      </c>
      <c r="G707" s="3" t="inlineStr">
        <is>
          <t>DEL-27.02</t>
        </is>
      </c>
      <c r="H707" s="3" t="inlineStr">
        <is>
          <t>HAZOP Study - Report preparation and documentation</t>
        </is>
      </c>
      <c r="I707" s="22" t="n">
        <v>80</v>
      </c>
      <c r="J707" s="3" t="inlineStr">
        <is>
          <t>hr</t>
        </is>
      </c>
      <c r="K707" s="39" t="n">
        <v>165</v>
      </c>
      <c r="L707" s="35" t="n">
        <v>13200</v>
      </c>
      <c r="M707" s="3" t="inlineStr">
        <is>
          <t>CAD</t>
        </is>
      </c>
      <c r="N707" s="3" t="inlineStr">
        <is>
          <t>PARAMETRIC</t>
        </is>
      </c>
      <c r="O707" s="3" t="inlineStr">
        <is>
          <t>A-008</t>
        </is>
      </c>
      <c r="P707" s="3" t="inlineStr">
        <is>
          <t>MED</t>
        </is>
      </c>
      <c r="Q707" s="3" t="inlineStr">
        <is>
          <t>HAZOP report writing; action item tracking; distribution (2 weeks effort)</t>
        </is>
      </c>
      <c r="R707" s="3">
        <f>VLOOKUP($F707,Inputs!$D$6:$E$41,2,FALSE)</f>
        <v/>
      </c>
      <c r="S707" s="36">
        <f>VLOOKUP($E707,Inputs!$A$6:$B$13,2,FALSE)*Inputs!$B$2</f>
        <v/>
      </c>
      <c r="T707" s="35">
        <f>$L707*$S707</f>
        <v/>
      </c>
      <c r="U707" s="35">
        <f>$L707+$T707</f>
        <v/>
      </c>
    </row>
    <row r="708">
      <c r="A708" s="3" t="inlineStr">
        <is>
          <t>PKG-27::L009</t>
        </is>
      </c>
      <c r="B708" s="3" t="inlineStr">
        <is>
          <t>PKG-27</t>
        </is>
      </c>
      <c r="C708" s="3" t="inlineStr">
        <is>
          <t>DEL-27.02</t>
        </is>
      </c>
      <c r="D708" s="3" t="inlineStr">
        <is>
          <t>L009</t>
        </is>
      </c>
      <c r="E708" s="3" t="inlineStr">
        <is>
          <t>E</t>
        </is>
      </c>
      <c r="F708" s="3" t="inlineStr">
        <is>
          <t>PKG-27</t>
        </is>
      </c>
      <c r="G708" s="3" t="inlineStr">
        <is>
          <t>DEL-27.02</t>
        </is>
      </c>
      <c r="H708" s="3" t="inlineStr">
        <is>
          <t>HAZOP Study - Client/Employer participation support</t>
        </is>
      </c>
      <c r="I708" s="22" t="n">
        <v>1</v>
      </c>
      <c r="J708" s="3" t="inlineStr">
        <is>
          <t>LS</t>
        </is>
      </c>
      <c r="K708" s="39" t="n">
        <v>8000</v>
      </c>
      <c r="L708" s="35" t="n">
        <v>8000</v>
      </c>
      <c r="M708" s="3" t="inlineStr">
        <is>
          <t>CAD</t>
        </is>
      </c>
      <c r="N708" s="3" t="inlineStr">
        <is>
          <t>ALLOWANCE</t>
        </is>
      </c>
      <c r="O708" s="3" t="inlineStr">
        <is>
          <t>A-009</t>
        </is>
      </c>
      <c r="P708" s="3" t="inlineStr">
        <is>
          <t>LOW</t>
        </is>
      </c>
      <c r="Q708" s="3" t="inlineStr">
        <is>
          <t>Client attendance allowance (materials; logistics; coordination; assumed 5 attendees for 5 days)</t>
        </is>
      </c>
      <c r="R708" s="3">
        <f>VLOOKUP($F708,Inputs!$D$6:$E$41,2,FALSE)</f>
        <v/>
      </c>
      <c r="S708" s="36">
        <f>VLOOKUP($E708,Inputs!$A$6:$B$13,2,FALSE)*Inputs!$B$2</f>
        <v/>
      </c>
      <c r="T708" s="35">
        <f>$L708*$S708</f>
        <v/>
      </c>
      <c r="U708" s="35">
        <f>$L708+$T708</f>
        <v/>
      </c>
    </row>
    <row r="709">
      <c r="A709" s="3" t="inlineStr">
        <is>
          <t>PKG-27::L010</t>
        </is>
      </c>
      <c r="B709" s="3" t="inlineStr">
        <is>
          <t>PKG-27</t>
        </is>
      </c>
      <c r="C709" s="3" t="inlineStr">
        <is>
          <t>DEL-27.03</t>
        </is>
      </c>
      <c r="D709" s="3" t="inlineStr">
        <is>
          <t>L010</t>
        </is>
      </c>
      <c r="E709" s="3" t="inlineStr">
        <is>
          <t>E</t>
        </is>
      </c>
      <c r="F709" s="3" t="inlineStr">
        <is>
          <t>PKG-27</t>
        </is>
      </c>
      <c r="G709" s="3" t="inlineStr">
        <is>
          <t>DEL-27.03</t>
        </is>
      </c>
      <c r="H709" s="3" t="inlineStr">
        <is>
          <t>Phase 2 Expansion Documentation - Concept design</t>
        </is>
      </c>
      <c r="I709" s="22" t="n">
        <v>1</v>
      </c>
      <c r="J709" s="3" t="inlineStr">
        <is>
          <t>LS</t>
        </is>
      </c>
      <c r="K709" s="39" t="n">
        <v>65000</v>
      </c>
      <c r="L709" s="35" t="n">
        <v>65000</v>
      </c>
      <c r="M709" s="3" t="inlineStr">
        <is>
          <t>CAD</t>
        </is>
      </c>
      <c r="N709" s="3" t="inlineStr">
        <is>
          <t>ALLOWANCE</t>
        </is>
      </c>
      <c r="O709" s="3" t="inlineStr">
        <is>
          <t>A-010</t>
        </is>
      </c>
      <c r="P709" s="3" t="inlineStr">
        <is>
          <t>LOW</t>
        </is>
      </c>
      <c r="Q709" s="3" t="inlineStr">
        <is>
          <t>Phase 2 general arrangement drawing; interface identification; expansion planning memo</t>
        </is>
      </c>
      <c r="R709" s="3">
        <f>VLOOKUP($F709,Inputs!$D$6:$E$41,2,FALSE)</f>
        <v/>
      </c>
      <c r="S709" s="36">
        <f>VLOOKUP($E709,Inputs!$A$6:$B$13,2,FALSE)*Inputs!$B$2</f>
        <v/>
      </c>
      <c r="T709" s="35">
        <f>$L709*$S709</f>
        <v/>
      </c>
      <c r="U709" s="35">
        <f>$L709+$T709</f>
        <v/>
      </c>
    </row>
    <row r="710">
      <c r="A710" s="3" t="inlineStr">
        <is>
          <t>PKG-27::L011</t>
        </is>
      </c>
      <c r="B710" s="3" t="inlineStr">
        <is>
          <t>PKG-27</t>
        </is>
      </c>
      <c r="C710" s="3" t="inlineStr">
        <is>
          <t>DEL-27.03</t>
        </is>
      </c>
      <c r="D710" s="3" t="inlineStr">
        <is>
          <t>L011</t>
        </is>
      </c>
      <c r="E710" s="3" t="inlineStr">
        <is>
          <t>E</t>
        </is>
      </c>
      <c r="F710" s="3" t="inlineStr">
        <is>
          <t>PKG-27</t>
        </is>
      </c>
      <c r="G710" s="3" t="inlineStr">
        <is>
          <t>DEL-27.03</t>
        </is>
      </c>
      <c r="H710" s="3" t="inlineStr">
        <is>
          <t>Phase 2 Expansion Documentation - Feasibility engineering</t>
        </is>
      </c>
      <c r="I710" s="22" t="n">
        <v>1</v>
      </c>
      <c r="J710" s="3" t="inlineStr">
        <is>
          <t>LS</t>
        </is>
      </c>
      <c r="K710" s="39" t="n">
        <v>48000</v>
      </c>
      <c r="L710" s="35" t="n">
        <v>48000</v>
      </c>
      <c r="M710" s="3" t="inlineStr">
        <is>
          <t>CAD</t>
        </is>
      </c>
      <c r="N710" s="3" t="inlineStr">
        <is>
          <t>ALLOWANCE</t>
        </is>
      </c>
      <c r="O710" s="3" t="inlineStr">
        <is>
          <t>A-011</t>
        </is>
      </c>
      <c r="P710" s="3" t="inlineStr">
        <is>
          <t>LOW</t>
        </is>
      </c>
      <c r="Q710" s="3" t="inlineStr">
        <is>
          <t>Capacity analysis; staging assessment; cost order-of-magnitude estimate for Phase 2 scope</t>
        </is>
      </c>
      <c r="R710" s="3">
        <f>VLOOKUP($F710,Inputs!$D$6:$E$41,2,FALSE)</f>
        <v/>
      </c>
      <c r="S710" s="36">
        <f>VLOOKUP($E710,Inputs!$A$6:$B$13,2,FALSE)*Inputs!$B$2</f>
        <v/>
      </c>
      <c r="T710" s="35">
        <f>$L710*$S710</f>
        <v/>
      </c>
      <c r="U710" s="35">
        <f>$L710+$T710</f>
        <v/>
      </c>
    </row>
    <row r="711">
      <c r="A711" s="3" t="inlineStr">
        <is>
          <t>PKG-27::L012</t>
        </is>
      </c>
      <c r="B711" s="3" t="inlineStr">
        <is>
          <t>PKG-27</t>
        </is>
      </c>
      <c r="C711" s="3" t="inlineStr">
        <is>
          <t>DEL-27.04</t>
        </is>
      </c>
      <c r="D711" s="3" t="inlineStr">
        <is>
          <t>L012</t>
        </is>
      </c>
      <c r="E711" s="3" t="inlineStr">
        <is>
          <t>E</t>
        </is>
      </c>
      <c r="F711" s="3" t="inlineStr">
        <is>
          <t>PKG-27</t>
        </is>
      </c>
      <c r="G711" s="3" t="inlineStr">
        <is>
          <t>DEL-27.04</t>
        </is>
      </c>
      <c r="H711" s="3" t="inlineStr">
        <is>
          <t>Design Submission Package - 30% Design</t>
        </is>
      </c>
      <c r="I711" s="22" t="n">
        <v>1</v>
      </c>
      <c r="J711" s="3" t="inlineStr">
        <is>
          <t>LS</t>
        </is>
      </c>
      <c r="K711" s="39" t="n">
        <v>95000</v>
      </c>
      <c r="L711" s="35" t="n">
        <v>95000</v>
      </c>
      <c r="M711" s="3" t="inlineStr">
        <is>
          <t>CAD</t>
        </is>
      </c>
      <c r="N711" s="3" t="inlineStr">
        <is>
          <t>ALLOWANCE</t>
        </is>
      </c>
      <c r="O711" s="3" t="inlineStr">
        <is>
          <t>A-012</t>
        </is>
      </c>
      <c r="P711" s="3" t="inlineStr">
        <is>
          <t>LOW</t>
        </is>
      </c>
      <c r="Q711" s="3" t="inlineStr">
        <is>
          <t>30% design submission: compilation; coordination; review; QA/QC; formatting; distribution (all disciplines)</t>
        </is>
      </c>
      <c r="R711" s="3">
        <f>VLOOKUP($F711,Inputs!$D$6:$E$41,2,FALSE)</f>
        <v/>
      </c>
      <c r="S711" s="36">
        <f>VLOOKUP($E711,Inputs!$A$6:$B$13,2,FALSE)*Inputs!$B$2</f>
        <v/>
      </c>
      <c r="T711" s="35">
        <f>$L711*$S711</f>
        <v/>
      </c>
      <c r="U711" s="35">
        <f>$L711+$T711</f>
        <v/>
      </c>
    </row>
    <row r="712">
      <c r="A712" s="3" t="inlineStr">
        <is>
          <t>PKG-27::L013</t>
        </is>
      </c>
      <c r="B712" s="3" t="inlineStr">
        <is>
          <t>PKG-27</t>
        </is>
      </c>
      <c r="C712" s="3" t="inlineStr">
        <is>
          <t>DEL-27.04</t>
        </is>
      </c>
      <c r="D712" s="3" t="inlineStr">
        <is>
          <t>L013</t>
        </is>
      </c>
      <c r="E712" s="3" t="inlineStr">
        <is>
          <t>E</t>
        </is>
      </c>
      <c r="F712" s="3" t="inlineStr">
        <is>
          <t>PKG-27</t>
        </is>
      </c>
      <c r="G712" s="3" t="inlineStr">
        <is>
          <t>DEL-27.04</t>
        </is>
      </c>
      <c r="H712" s="3" t="inlineStr">
        <is>
          <t>Design Submission Package - 60% Design</t>
        </is>
      </c>
      <c r="I712" s="22" t="n">
        <v>1</v>
      </c>
      <c r="J712" s="3" t="inlineStr">
        <is>
          <t>LS</t>
        </is>
      </c>
      <c r="K712" s="39" t="n">
        <v>110000</v>
      </c>
      <c r="L712" s="35" t="n">
        <v>110000</v>
      </c>
      <c r="M712" s="3" t="inlineStr">
        <is>
          <t>CAD</t>
        </is>
      </c>
      <c r="N712" s="3" t="inlineStr">
        <is>
          <t>ALLOWANCE</t>
        </is>
      </c>
      <c r="O712" s="3" t="inlineStr">
        <is>
          <t>A-013</t>
        </is>
      </c>
      <c r="P712" s="3" t="inlineStr">
        <is>
          <t>LOW</t>
        </is>
      </c>
      <c r="Q712" s="3" t="inlineStr">
        <is>
          <t>60% design submission: compilation; coordination; review; QA/QC; formatting; distribution (all disciplines)</t>
        </is>
      </c>
      <c r="R712" s="3">
        <f>VLOOKUP($F712,Inputs!$D$6:$E$41,2,FALSE)</f>
        <v/>
      </c>
      <c r="S712" s="36">
        <f>VLOOKUP($E712,Inputs!$A$6:$B$13,2,FALSE)*Inputs!$B$2</f>
        <v/>
      </c>
      <c r="T712" s="35">
        <f>$L712*$S712</f>
        <v/>
      </c>
      <c r="U712" s="35">
        <f>$L712+$T712</f>
        <v/>
      </c>
    </row>
    <row r="713">
      <c r="A713" s="3" t="inlineStr">
        <is>
          <t>PKG-27::L014</t>
        </is>
      </c>
      <c r="B713" s="3" t="inlineStr">
        <is>
          <t>PKG-27</t>
        </is>
      </c>
      <c r="C713" s="3" t="inlineStr">
        <is>
          <t>DEL-27.04</t>
        </is>
      </c>
      <c r="D713" s="3" t="inlineStr">
        <is>
          <t>L014</t>
        </is>
      </c>
      <c r="E713" s="3" t="inlineStr">
        <is>
          <t>E</t>
        </is>
      </c>
      <c r="F713" s="3" t="inlineStr">
        <is>
          <t>PKG-27</t>
        </is>
      </c>
      <c r="G713" s="3" t="inlineStr">
        <is>
          <t>DEL-27.04</t>
        </is>
      </c>
      <c r="H713" s="3" t="inlineStr">
        <is>
          <t>Design Submission Package - 90% Design</t>
        </is>
      </c>
      <c r="I713" s="22" t="n">
        <v>1</v>
      </c>
      <c r="J713" s="3" t="inlineStr">
        <is>
          <t>LS</t>
        </is>
      </c>
      <c r="K713" s="39" t="n">
        <v>125000</v>
      </c>
      <c r="L713" s="35" t="n">
        <v>125000</v>
      </c>
      <c r="M713" s="3" t="inlineStr">
        <is>
          <t>CAD</t>
        </is>
      </c>
      <c r="N713" s="3" t="inlineStr">
        <is>
          <t>ALLOWANCE</t>
        </is>
      </c>
      <c r="O713" s="3" t="inlineStr">
        <is>
          <t>A-014</t>
        </is>
      </c>
      <c r="P713" s="3" t="inlineStr">
        <is>
          <t>LOW</t>
        </is>
      </c>
      <c r="Q713" s="3" t="inlineStr">
        <is>
          <t>90% design submission: compilation; coordination; review; QA/QC; formatting; distribution (all disciplines)</t>
        </is>
      </c>
      <c r="R713" s="3">
        <f>VLOOKUP($F713,Inputs!$D$6:$E$41,2,FALSE)</f>
        <v/>
      </c>
      <c r="S713" s="36">
        <f>VLOOKUP($E713,Inputs!$A$6:$B$13,2,FALSE)*Inputs!$B$2</f>
        <v/>
      </c>
      <c r="T713" s="35">
        <f>$L713*$S713</f>
        <v/>
      </c>
      <c r="U713" s="35">
        <f>$L713+$T713</f>
        <v/>
      </c>
    </row>
    <row r="714">
      <c r="A714" s="3" t="inlineStr">
        <is>
          <t>PKG-27::L015</t>
        </is>
      </c>
      <c r="B714" s="3" t="inlineStr">
        <is>
          <t>PKG-27</t>
        </is>
      </c>
      <c r="C714" s="3" t="inlineStr">
        <is>
          <t>DEL-27.04</t>
        </is>
      </c>
      <c r="D714" s="3" t="inlineStr">
        <is>
          <t>L015</t>
        </is>
      </c>
      <c r="E714" s="3" t="inlineStr">
        <is>
          <t>E</t>
        </is>
      </c>
      <c r="F714" s="3" t="inlineStr">
        <is>
          <t>PKG-27</t>
        </is>
      </c>
      <c r="G714" s="3" t="inlineStr">
        <is>
          <t>DEL-27.04</t>
        </is>
      </c>
      <c r="H714" s="3" t="inlineStr">
        <is>
          <t>Design Submission Package - IFC (Issued for Construction)</t>
        </is>
      </c>
      <c r="I714" s="22" t="n">
        <v>1</v>
      </c>
      <c r="J714" s="3" t="inlineStr">
        <is>
          <t>LS</t>
        </is>
      </c>
      <c r="K714" s="39" t="n">
        <v>145000</v>
      </c>
      <c r="L714" s="35" t="n">
        <v>145000</v>
      </c>
      <c r="M714" s="3" t="inlineStr">
        <is>
          <t>CAD</t>
        </is>
      </c>
      <c r="N714" s="3" t="inlineStr">
        <is>
          <t>ALLOWANCE</t>
        </is>
      </c>
      <c r="O714" s="3" t="inlineStr">
        <is>
          <t>A-015</t>
        </is>
      </c>
      <c r="P714" s="3" t="inlineStr">
        <is>
          <t>LOW</t>
        </is>
      </c>
      <c r="Q714" s="3" t="inlineStr">
        <is>
          <t>IFC submission: final coordination; review; QA/QC; formatting; distribution; record management (all disciplines)</t>
        </is>
      </c>
      <c r="R714" s="3">
        <f>VLOOKUP($F714,Inputs!$D$6:$E$41,2,FALSE)</f>
        <v/>
      </c>
      <c r="S714" s="36">
        <f>VLOOKUP($E714,Inputs!$A$6:$B$13,2,FALSE)*Inputs!$B$2</f>
        <v/>
      </c>
      <c r="T714" s="35">
        <f>$L714*$S714</f>
        <v/>
      </c>
      <c r="U714" s="35">
        <f>$L714+$T714</f>
        <v/>
      </c>
    </row>
    <row r="715">
      <c r="A715" s="3" t="inlineStr">
        <is>
          <t>PKG-27::L016</t>
        </is>
      </c>
      <c r="B715" s="3" t="inlineStr">
        <is>
          <t>PKG-27</t>
        </is>
      </c>
      <c r="C715" s="3" t="inlineStr">
        <is>
          <t>DEL-27.05</t>
        </is>
      </c>
      <c r="D715" s="3" t="inlineStr">
        <is>
          <t>L016</t>
        </is>
      </c>
      <c r="E715" s="3" t="inlineStr">
        <is>
          <t>E</t>
        </is>
      </c>
      <c r="F715" s="3" t="inlineStr">
        <is>
          <t>PKG-27</t>
        </is>
      </c>
      <c r="G715" s="3" t="inlineStr">
        <is>
          <t>DEL-27.05</t>
        </is>
      </c>
      <c r="H715" s="3" t="inlineStr">
        <is>
          <t>Cathodic Protection Design Basis</t>
        </is>
      </c>
      <c r="I715" s="22" t="n">
        <v>1</v>
      </c>
      <c r="J715" s="3" t="inlineStr">
        <is>
          <t>LS</t>
        </is>
      </c>
      <c r="K715" s="39" t="n">
        <v>28000</v>
      </c>
      <c r="L715" s="35" t="n">
        <v>28000</v>
      </c>
      <c r="M715" s="3" t="inlineStr">
        <is>
          <t>CAD</t>
        </is>
      </c>
      <c r="N715" s="3" t="inlineStr">
        <is>
          <t>ALLOWANCE</t>
        </is>
      </c>
      <c r="O715" s="3" t="inlineStr">
        <is>
          <t>A-016</t>
        </is>
      </c>
      <c r="P715" s="3" t="inlineStr">
        <is>
          <t>LOW</t>
        </is>
      </c>
      <c r="Q715" s="3" t="inlineStr">
        <is>
          <t>CP specialist design basis development for marine structures and buried/submerged piping</t>
        </is>
      </c>
      <c r="R715" s="3">
        <f>VLOOKUP($F715,Inputs!$D$6:$E$41,2,FALSE)</f>
        <v/>
      </c>
      <c r="S715" s="36">
        <f>VLOOKUP($E715,Inputs!$A$6:$B$13,2,FALSE)*Inputs!$B$2</f>
        <v/>
      </c>
      <c r="T715" s="35">
        <f>$L715*$S715</f>
        <v/>
      </c>
      <c r="U715" s="35">
        <f>$L715+$T715</f>
        <v/>
      </c>
    </row>
    <row r="716">
      <c r="A716" s="3" t="inlineStr">
        <is>
          <t>PKG-27::L017</t>
        </is>
      </c>
      <c r="B716" s="3" t="inlineStr">
        <is>
          <t>PKG-27</t>
        </is>
      </c>
      <c r="C716" s="3" t="inlineStr">
        <is>
          <t>DEL-27.05</t>
        </is>
      </c>
      <c r="D716" s="3" t="inlineStr">
        <is>
          <t>L017</t>
        </is>
      </c>
      <c r="E716" s="3" t="inlineStr">
        <is>
          <t>E</t>
        </is>
      </c>
      <c r="F716" s="3" t="inlineStr">
        <is>
          <t>PKG-27</t>
        </is>
      </c>
      <c r="G716" s="3" t="inlineStr">
        <is>
          <t>DEL-27.05</t>
        </is>
      </c>
      <c r="H716" s="3" t="inlineStr">
        <is>
          <t>Cathodic Protection Design Calculations</t>
        </is>
      </c>
      <c r="I716" s="22" t="n">
        <v>1</v>
      </c>
      <c r="J716" s="3" t="inlineStr">
        <is>
          <t>LS</t>
        </is>
      </c>
      <c r="K716" s="39" t="n">
        <v>35000</v>
      </c>
      <c r="L716" s="35" t="n">
        <v>35000</v>
      </c>
      <c r="M716" s="3" t="inlineStr">
        <is>
          <t>CAD</t>
        </is>
      </c>
      <c r="N716" s="3" t="inlineStr">
        <is>
          <t>ALLOWANCE</t>
        </is>
      </c>
      <c r="O716" s="3" t="inlineStr">
        <is>
          <t>A-017</t>
        </is>
      </c>
      <c r="P716" s="3" t="inlineStr">
        <is>
          <t>LOW</t>
        </is>
      </c>
      <c r="Q716" s="3" t="inlineStr">
        <is>
          <t>CP anode layout calcs; current demand calcs; interference studies; design drawings (marine piles; buried pipe; tank bottoms)</t>
        </is>
      </c>
      <c r="R716" s="3">
        <f>VLOOKUP($F716,Inputs!$D$6:$E$41,2,FALSE)</f>
        <v/>
      </c>
      <c r="S716" s="36">
        <f>VLOOKUP($E716,Inputs!$A$6:$B$13,2,FALSE)*Inputs!$B$2</f>
        <v/>
      </c>
      <c r="T716" s="35">
        <f>$L716*$S716</f>
        <v/>
      </c>
      <c r="U716" s="35">
        <f>$L716+$T716</f>
        <v/>
      </c>
    </row>
    <row r="717">
      <c r="A717" s="3" t="inlineStr">
        <is>
          <t>PKG-27::L018</t>
        </is>
      </c>
      <c r="B717" s="3" t="inlineStr">
        <is>
          <t>PKG-27</t>
        </is>
      </c>
      <c r="C717" s="3" t="inlineStr">
        <is>
          <t>DEL-27.05</t>
        </is>
      </c>
      <c r="D717" s="3" t="inlineStr">
        <is>
          <t>L018</t>
        </is>
      </c>
      <c r="E717" s="3" t="inlineStr">
        <is>
          <t>E</t>
        </is>
      </c>
      <c r="F717" s="3" t="inlineStr">
        <is>
          <t>PKG-27</t>
        </is>
      </c>
      <c r="G717" s="3" t="inlineStr">
        <is>
          <t>DEL-27.05</t>
        </is>
      </c>
      <c r="H717" s="3" t="inlineStr">
        <is>
          <t>Cathodic Protection OEM Coordination</t>
        </is>
      </c>
      <c r="I717" s="22" t="n">
        <v>1</v>
      </c>
      <c r="J717" s="3" t="inlineStr">
        <is>
          <t>LS</t>
        </is>
      </c>
      <c r="K717" s="39" t="n">
        <v>12000</v>
      </c>
      <c r="L717" s="35" t="n">
        <v>12000</v>
      </c>
      <c r="M717" s="3" t="inlineStr">
        <is>
          <t>CAD</t>
        </is>
      </c>
      <c r="N717" s="3" t="inlineStr">
        <is>
          <t>ALLOWANCE</t>
        </is>
      </c>
      <c r="O717" s="3" t="inlineStr">
        <is>
          <t>A-018</t>
        </is>
      </c>
      <c r="P717" s="3" t="inlineStr">
        <is>
          <t>LOW</t>
        </is>
      </c>
      <c r="Q717" s="3" t="inlineStr">
        <is>
          <t>Rectifier selection coordination; impressed current system configuration; vendor data review</t>
        </is>
      </c>
      <c r="R717" s="3">
        <f>VLOOKUP($F717,Inputs!$D$6:$E$41,2,FALSE)</f>
        <v/>
      </c>
      <c r="S717" s="36">
        <f>VLOOKUP($E717,Inputs!$A$6:$B$13,2,FALSE)*Inputs!$B$2</f>
        <v/>
      </c>
      <c r="T717" s="35">
        <f>$L717*$S717</f>
        <v/>
      </c>
      <c r="U717" s="35">
        <f>$L717+$T717</f>
        <v/>
      </c>
    </row>
    <row r="718">
      <c r="A718" s="3" t="inlineStr">
        <is>
          <t>PKG-27::L019</t>
        </is>
      </c>
      <c r="B718" s="3" t="inlineStr">
        <is>
          <t>PKG-27</t>
        </is>
      </c>
      <c r="C718" s="3" t="n"/>
      <c r="D718" s="3" t="inlineStr">
        <is>
          <t>L019</t>
        </is>
      </c>
      <c r="E718" s="3" t="inlineStr">
        <is>
          <t>PM</t>
        </is>
      </c>
      <c r="F718" s="3" t="inlineStr">
        <is>
          <t>PKG-27</t>
        </is>
      </c>
      <c r="G718" s="3" t="n"/>
      <c r="H718" s="3" t="inlineStr">
        <is>
          <t>Project Management - Design coordination and oversight</t>
        </is>
      </c>
      <c r="I718" s="22" t="n">
        <v>1</v>
      </c>
      <c r="J718" s="3" t="inlineStr">
        <is>
          <t>LS</t>
        </is>
      </c>
      <c r="K718" s="39" t="n">
        <v>85000</v>
      </c>
      <c r="L718" s="35" t="n">
        <v>85000</v>
      </c>
      <c r="M718" s="3" t="inlineStr">
        <is>
          <t>CAD</t>
        </is>
      </c>
      <c r="N718" s="3" t="inlineStr">
        <is>
          <t>PARAMETRIC</t>
        </is>
      </c>
      <c r="O718" s="3" t="inlineStr">
        <is>
          <t>D-001</t>
        </is>
      </c>
      <c r="P718" s="3" t="inlineStr">
        <is>
          <t>MED</t>
        </is>
      </c>
      <c r="Q718" s="3" t="inlineStr">
        <is>
          <t>PM oversight of design package coordination across all disciplines (~6% of engineering base per fallback model)</t>
        </is>
      </c>
      <c r="R718" s="3">
        <f>VLOOKUP($F718,Inputs!$D$6:$E$41,2,FALSE)</f>
        <v/>
      </c>
      <c r="S718" s="36">
        <f>VLOOKUP($E718,Inputs!$A$6:$B$13,2,FALSE)*Inputs!$B$2</f>
        <v/>
      </c>
      <c r="T718" s="35">
        <f>$L718*$S718</f>
        <v/>
      </c>
      <c r="U718" s="35">
        <f>$L718+$T718</f>
        <v/>
      </c>
    </row>
    <row r="719">
      <c r="A719" s="3" t="inlineStr">
        <is>
          <t>PKG-27::L020</t>
        </is>
      </c>
      <c r="B719" s="3" t="inlineStr">
        <is>
          <t>PKG-27</t>
        </is>
      </c>
      <c r="C719" s="3" t="n"/>
      <c r="D719" s="3" t="inlineStr">
        <is>
          <t>L020</t>
        </is>
      </c>
      <c r="E719" s="3" t="inlineStr">
        <is>
          <t>PM</t>
        </is>
      </c>
      <c r="F719" s="3" t="inlineStr">
        <is>
          <t>PKG-27</t>
        </is>
      </c>
      <c r="G719" s="3" t="n"/>
      <c r="H719" s="3" t="inlineStr">
        <is>
          <t>Project Management - Design review and approval coordination</t>
        </is>
      </c>
      <c r="I719" s="22" t="n">
        <v>1</v>
      </c>
      <c r="J719" s="3" t="inlineStr">
        <is>
          <t>LS</t>
        </is>
      </c>
      <c r="K719" s="39" t="n">
        <v>45000</v>
      </c>
      <c r="L719" s="35" t="n">
        <v>45000</v>
      </c>
      <c r="M719" s="3" t="inlineStr">
        <is>
          <t>CAD</t>
        </is>
      </c>
      <c r="N719" s="3" t="inlineStr">
        <is>
          <t>ALLOWANCE</t>
        </is>
      </c>
      <c r="O719" s="3" t="inlineStr">
        <is>
          <t>A-019</t>
        </is>
      </c>
      <c r="P719" s="3" t="inlineStr">
        <is>
          <t>LOW</t>
        </is>
      </c>
      <c r="Q719" s="3" t="inlineStr">
        <is>
          <t>Internal design review facilitation; approval coordination; submission tracking; client interface management</t>
        </is>
      </c>
      <c r="R719" s="3">
        <f>VLOOKUP($F719,Inputs!$D$6:$E$41,2,FALSE)</f>
        <v/>
      </c>
      <c r="S719" s="36">
        <f>VLOOKUP($E719,Inputs!$A$6:$B$13,2,FALSE)*Inputs!$B$2</f>
        <v/>
      </c>
      <c r="T719" s="35">
        <f>$L719*$S719</f>
        <v/>
      </c>
      <c r="U719" s="35">
        <f>$L719+$T719</f>
        <v/>
      </c>
    </row>
    <row r="720">
      <c r="A720" s="3" t="inlineStr">
        <is>
          <t>PKG-27::L021</t>
        </is>
      </c>
      <c r="B720" s="3" t="inlineStr">
        <is>
          <t>PKG-27</t>
        </is>
      </c>
      <c r="C720" s="3" t="n"/>
      <c r="D720" s="3" t="inlineStr">
        <is>
          <t>L021</t>
        </is>
      </c>
      <c r="E720" s="3" t="inlineStr">
        <is>
          <t>P</t>
        </is>
      </c>
      <c r="F720" s="3" t="inlineStr">
        <is>
          <t>PKG-27</t>
        </is>
      </c>
      <c r="G720" s="3" t="n"/>
      <c r="H720" s="3" t="inlineStr">
        <is>
          <t>Procurement support - HAZOP materials and logistics</t>
        </is>
      </c>
      <c r="I720" s="22" t="n">
        <v>1</v>
      </c>
      <c r="J720" s="3" t="inlineStr">
        <is>
          <t>LS</t>
        </is>
      </c>
      <c r="K720" s="39" t="n">
        <v>2000</v>
      </c>
      <c r="L720" s="35" t="n">
        <v>2000</v>
      </c>
      <c r="M720" s="3" t="inlineStr">
        <is>
          <t>CAD</t>
        </is>
      </c>
      <c r="N720" s="3" t="inlineStr">
        <is>
          <t>ALLOWANCE</t>
        </is>
      </c>
      <c r="O720" s="3" t="inlineStr">
        <is>
          <t>A-020</t>
        </is>
      </c>
      <c r="P720" s="3" t="inlineStr">
        <is>
          <t>LOW</t>
        </is>
      </c>
      <c r="Q720" s="3" t="inlineStr">
        <is>
          <t>HAZOP session materials procurement; venue booking if external; catering coordination</t>
        </is>
      </c>
      <c r="R720" s="3">
        <f>VLOOKUP($F720,Inputs!$D$6:$E$41,2,FALSE)</f>
        <v/>
      </c>
      <c r="S720" s="36">
        <f>VLOOKUP($E720,Inputs!$A$6:$B$13,2,FALSE)*Inputs!$B$2</f>
        <v/>
      </c>
      <c r="T720" s="35">
        <f>$L720*$S720</f>
        <v/>
      </c>
      <c r="U720" s="35">
        <f>$L720+$T720</f>
        <v/>
      </c>
    </row>
    <row r="721">
      <c r="A721" s="3" t="inlineStr">
        <is>
          <t>PKG-27::L022</t>
        </is>
      </c>
      <c r="B721" s="3" t="inlineStr">
        <is>
          <t>PKG-27</t>
        </is>
      </c>
      <c r="C721" s="3" t="n"/>
      <c r="D721" s="3" t="inlineStr">
        <is>
          <t>L022</t>
        </is>
      </c>
      <c r="E721" s="3" t="inlineStr">
        <is>
          <t>CD</t>
        </is>
      </c>
      <c r="F721" s="3" t="inlineStr">
        <is>
          <t>PKG-27</t>
        </is>
      </c>
      <c r="G721" s="3" t="n"/>
      <c r="H721" s="3" t="inlineStr">
        <is>
          <t>Construction support - Design representatives on site (FAT/SAT attendance)</t>
        </is>
      </c>
      <c r="I721" s="22" t="n">
        <v>120</v>
      </c>
      <c r="J721" s="3" t="inlineStr">
        <is>
          <t>hr</t>
        </is>
      </c>
      <c r="K721" s="39" t="n">
        <v>145</v>
      </c>
      <c r="L721" s="35" t="n">
        <v>17400</v>
      </c>
      <c r="M721" s="3" t="inlineStr">
        <is>
          <t>CAD</t>
        </is>
      </c>
      <c r="N721" s="3" t="inlineStr">
        <is>
          <t>PARAMETRIC</t>
        </is>
      </c>
      <c r="O721" s="3" t="inlineStr">
        <is>
          <t>A-021</t>
        </is>
      </c>
      <c r="P721" s="3" t="inlineStr">
        <is>
          <t>MED</t>
        </is>
      </c>
      <c r="Q721" s="3" t="inlineStr">
        <is>
          <t>Design authority attendance at Factory/Site Acceptance Tests (estimated 15 days across project)</t>
        </is>
      </c>
      <c r="R721" s="3">
        <f>VLOOKUP($F721,Inputs!$D$6:$E$41,2,FALSE)</f>
        <v/>
      </c>
      <c r="S721" s="36">
        <f>VLOOKUP($E721,Inputs!$A$6:$B$13,2,FALSE)*Inputs!$B$2</f>
        <v/>
      </c>
      <c r="T721" s="35">
        <f>$L721*$S721</f>
        <v/>
      </c>
      <c r="U721" s="35">
        <f>$L721+$T721</f>
        <v/>
      </c>
    </row>
    <row r="722">
      <c r="A722" s="3" t="inlineStr">
        <is>
          <t>PKG-27::L023</t>
        </is>
      </c>
      <c r="B722" s="3" t="inlineStr">
        <is>
          <t>PKG-27</t>
        </is>
      </c>
      <c r="C722" s="3" t="n"/>
      <c r="D722" s="3" t="inlineStr">
        <is>
          <t>L023</t>
        </is>
      </c>
      <c r="E722" s="3" t="inlineStr">
        <is>
          <t>CI</t>
        </is>
      </c>
      <c r="F722" s="3" t="inlineStr">
        <is>
          <t>PKG-27</t>
        </is>
      </c>
      <c r="G722" s="3" t="n"/>
      <c r="H722" s="3" t="inlineStr">
        <is>
          <t>Construction indirects - Design coordination during construction</t>
        </is>
      </c>
      <c r="I722" s="22" t="n">
        <v>1</v>
      </c>
      <c r="J722" s="3" t="inlineStr">
        <is>
          <t>LS</t>
        </is>
      </c>
      <c r="K722" s="39" t="n">
        <v>25000</v>
      </c>
      <c r="L722" s="35" t="n">
        <v>25000</v>
      </c>
      <c r="M722" s="3" t="inlineStr">
        <is>
          <t>CAD</t>
        </is>
      </c>
      <c r="N722" s="3" t="inlineStr">
        <is>
          <t>ALLOWANCE</t>
        </is>
      </c>
      <c r="O722" s="3" t="inlineStr">
        <is>
          <t>A-022</t>
        </is>
      </c>
      <c r="P722" s="3" t="inlineStr">
        <is>
          <t>LOW</t>
        </is>
      </c>
      <c r="Q722" s="3" t="inlineStr">
        <is>
          <t>Field engineering coordination; RFI response support; design clarification during construction</t>
        </is>
      </c>
      <c r="R722" s="3">
        <f>VLOOKUP($F722,Inputs!$D$6:$E$41,2,FALSE)</f>
        <v/>
      </c>
      <c r="S722" s="36">
        <f>VLOOKUP($E722,Inputs!$A$6:$B$13,2,FALSE)*Inputs!$B$2</f>
        <v/>
      </c>
      <c r="T722" s="35">
        <f>$L722*$S722</f>
        <v/>
      </c>
      <c r="U722" s="35">
        <f>$L722+$T722</f>
        <v/>
      </c>
    </row>
    <row r="723">
      <c r="A723" s="3" t="inlineStr">
        <is>
          <t>PKG-27::L024</t>
        </is>
      </c>
      <c r="B723" s="3" t="inlineStr">
        <is>
          <t>PKG-27</t>
        </is>
      </c>
      <c r="C723" s="3" t="n"/>
      <c r="D723" s="3" t="inlineStr">
        <is>
          <t>L024</t>
        </is>
      </c>
      <c r="E723" s="3" t="inlineStr">
        <is>
          <t>COM</t>
        </is>
      </c>
      <c r="F723" s="3" t="inlineStr">
        <is>
          <t>PKG-27</t>
        </is>
      </c>
      <c r="G723" s="3" t="n"/>
      <c r="H723" s="3" t="inlineStr">
        <is>
          <t>Commissioning support - Design verification during commissioning</t>
        </is>
      </c>
      <c r="I723" s="22" t="n">
        <v>80</v>
      </c>
      <c r="J723" s="3" t="inlineStr">
        <is>
          <t>hr</t>
        </is>
      </c>
      <c r="K723" s="39" t="n">
        <v>165</v>
      </c>
      <c r="L723" s="35" t="n">
        <v>13200</v>
      </c>
      <c r="M723" s="3" t="inlineStr">
        <is>
          <t>CAD</t>
        </is>
      </c>
      <c r="N723" s="3" t="inlineStr">
        <is>
          <t>PARAMETRIC</t>
        </is>
      </c>
      <c r="O723" s="3" t="inlineStr">
        <is>
          <t>A-023</t>
        </is>
      </c>
      <c r="P723" s="3" t="inlineStr">
        <is>
          <t>MED</t>
        </is>
      </c>
      <c r="Q723" s="3" t="inlineStr">
        <is>
          <t>Engineering support during commissioning activities (design verification; troubleshooting; performance validation)</t>
        </is>
      </c>
      <c r="R723" s="3">
        <f>VLOOKUP($F723,Inputs!$D$6:$E$41,2,FALSE)</f>
        <v/>
      </c>
      <c r="S723" s="36">
        <f>VLOOKUP($E723,Inputs!$A$6:$B$13,2,FALSE)*Inputs!$B$2</f>
        <v/>
      </c>
      <c r="T723" s="35">
        <f>$L723*$S723</f>
        <v/>
      </c>
      <c r="U723" s="35">
        <f>$L723+$T723</f>
        <v/>
      </c>
    </row>
    <row r="724">
      <c r="A724" s="3" t="inlineStr">
        <is>
          <t>PKG-28::L001</t>
        </is>
      </c>
      <c r="B724" s="3" t="inlineStr">
        <is>
          <t>PKG-28</t>
        </is>
      </c>
      <c r="C724" s="3" t="inlineStr">
        <is>
          <t>DEL-28.01</t>
        </is>
      </c>
      <c r="D724" s="3" t="inlineStr">
        <is>
          <t>L001</t>
        </is>
      </c>
      <c r="E724" s="3" t="inlineStr">
        <is>
          <t>E</t>
        </is>
      </c>
      <c r="F724" s="3" t="inlineStr">
        <is>
          <t>PKG-28</t>
        </is>
      </c>
      <c r="G724" s="3" t="inlineStr">
        <is>
          <t>DEL-28.01</t>
        </is>
      </c>
      <c r="H724" s="3" t="inlineStr">
        <is>
          <t>Independent Design Verification Reports - IDV services across all disciplines and submission stages (30/60/90/IFC)</t>
        </is>
      </c>
      <c r="I724" s="22" t="n">
        <v>1</v>
      </c>
      <c r="J724" s="3" t="inlineStr">
        <is>
          <t>LS</t>
        </is>
      </c>
      <c r="K724" s="39" t="n">
        <v>350000</v>
      </c>
      <c r="L724" s="35" t="n">
        <v>350000</v>
      </c>
      <c r="M724" s="3" t="inlineStr">
        <is>
          <t>CAD</t>
        </is>
      </c>
      <c r="N724" s="3" t="inlineStr">
        <is>
          <t>ALLOWANCE</t>
        </is>
      </c>
      <c r="O724" s="3" t="inlineStr">
        <is>
          <t>A-001</t>
        </is>
      </c>
      <c r="P724" s="3" t="inlineStr">
        <is>
          <t>LOW</t>
        </is>
      </c>
      <c r="Q724" s="3" t="inlineStr">
        <is>
          <t>Allowance for IDV services without vendor quotes; assumes 8 disciplines x 4 stages at $10-12k per review</t>
        </is>
      </c>
      <c r="R724" s="3">
        <f>VLOOKUP($F724,Inputs!$D$6:$E$41,2,FALSE)</f>
        <v/>
      </c>
      <c r="S724" s="36">
        <f>VLOOKUP($E724,Inputs!$A$6:$B$13,2,FALSE)*Inputs!$B$2</f>
        <v/>
      </c>
      <c r="T724" s="35">
        <f>$L724*$S724</f>
        <v/>
      </c>
      <c r="U724" s="35">
        <f>$L724+$T724</f>
        <v/>
      </c>
    </row>
    <row r="725">
      <c r="A725" s="3" t="inlineStr">
        <is>
          <t>PKG-28::L002</t>
        </is>
      </c>
      <c r="B725" s="3" t="inlineStr">
        <is>
          <t>PKG-28</t>
        </is>
      </c>
      <c r="C725" s="3" t="inlineStr">
        <is>
          <t>DEL-28.02</t>
        </is>
      </c>
      <c r="D725" s="3" t="inlineStr">
        <is>
          <t>L002</t>
        </is>
      </c>
      <c r="E725" s="3" t="inlineStr">
        <is>
          <t>E</t>
        </is>
      </c>
      <c r="F725" s="3" t="inlineStr">
        <is>
          <t>PKG-28</t>
        </is>
      </c>
      <c r="G725" s="3" t="inlineStr">
        <is>
          <t>DEL-28.02</t>
        </is>
      </c>
      <c r="H725" s="3" t="inlineStr">
        <is>
          <t>VFPA IP Review Responses - technical response preparation and documentation</t>
        </is>
      </c>
      <c r="I725" s="22" t="n">
        <v>1</v>
      </c>
      <c r="J725" s="3" t="inlineStr">
        <is>
          <t>LS</t>
        </is>
      </c>
      <c r="K725" s="39" t="n">
        <v>95000</v>
      </c>
      <c r="L725" s="35" t="n">
        <v>95000</v>
      </c>
      <c r="M725" s="3" t="inlineStr">
        <is>
          <t>CAD</t>
        </is>
      </c>
      <c r="N725" s="3" t="inlineStr">
        <is>
          <t>ALLOWANCE</t>
        </is>
      </c>
      <c r="O725" s="3" t="inlineStr">
        <is>
          <t>A-003</t>
        </is>
      </c>
      <c r="P725" s="3" t="inlineStr">
        <is>
          <t>LOW</t>
        </is>
      </c>
      <c r="Q725" s="3" t="inlineStr">
        <is>
          <t>Allowance for IP review technical responses; assumes 4-6 major submission cycles at $15-20k each</t>
        </is>
      </c>
      <c r="R725" s="3">
        <f>VLOOKUP($F725,Inputs!$D$6:$E$41,2,FALSE)</f>
        <v/>
      </c>
      <c r="S725" s="36">
        <f>VLOOKUP($E725,Inputs!$A$6:$B$13,2,FALSE)*Inputs!$B$2</f>
        <v/>
      </c>
      <c r="T725" s="35">
        <f>$L725*$S725</f>
        <v/>
      </c>
      <c r="U725" s="35">
        <f>$L725+$T725</f>
        <v/>
      </c>
    </row>
    <row r="726">
      <c r="A726" s="3" t="inlineStr">
        <is>
          <t>PKG-28::L003</t>
        </is>
      </c>
      <c r="B726" s="3" t="inlineStr">
        <is>
          <t>PKG-28</t>
        </is>
      </c>
      <c r="C726" s="3" t="inlineStr">
        <is>
          <t>DEL-28.02</t>
        </is>
      </c>
      <c r="D726" s="3" t="inlineStr">
        <is>
          <t>L003</t>
        </is>
      </c>
      <c r="E726" s="3" t="inlineStr">
        <is>
          <t>PM</t>
        </is>
      </c>
      <c r="F726" s="3" t="inlineStr">
        <is>
          <t>PKG-28</t>
        </is>
      </c>
      <c r="G726" s="3" t="inlineStr">
        <is>
          <t>DEL-28.02</t>
        </is>
      </c>
      <c r="H726" s="3" t="inlineStr">
        <is>
          <t>VFPA IP Review Coordination - authority coordination scheduling meetings</t>
        </is>
      </c>
      <c r="I726" s="22" t="n">
        <v>1</v>
      </c>
      <c r="J726" s="3" t="inlineStr">
        <is>
          <t>LS</t>
        </is>
      </c>
      <c r="K726" s="39" t="n">
        <v>42300</v>
      </c>
      <c r="L726" s="35" t="n">
        <v>42300</v>
      </c>
      <c r="M726" s="3" t="inlineStr">
        <is>
          <t>CAD</t>
        </is>
      </c>
      <c r="N726" s="3" t="inlineStr">
        <is>
          <t>ALLOWANCE</t>
        </is>
      </c>
      <c r="O726" s="3" t="inlineStr">
        <is>
          <t>A-004</t>
        </is>
      </c>
      <c r="P726" s="3" t="inlineStr">
        <is>
          <t>LOW</t>
        </is>
      </c>
      <c r="Q726" s="3" t="inlineStr">
        <is>
          <t>Allowance for IP coordination effort; interface with VFPA reviewers and schedule management</t>
        </is>
      </c>
      <c r="R726" s="3">
        <f>VLOOKUP($F726,Inputs!$D$6:$E$41,2,FALSE)</f>
        <v/>
      </c>
      <c r="S726" s="36">
        <f>VLOOKUP($E726,Inputs!$A$6:$B$13,2,FALSE)*Inputs!$B$2</f>
        <v/>
      </c>
      <c r="T726" s="35">
        <f>$L726*$S726</f>
        <v/>
      </c>
      <c r="U726" s="35">
        <f>$L726+$T726</f>
        <v/>
      </c>
    </row>
    <row r="727">
      <c r="A727" s="3" t="inlineStr">
        <is>
          <t>PKG-28::L004</t>
        </is>
      </c>
      <c r="B727" s="3" t="inlineStr">
        <is>
          <t>PKG-28</t>
        </is>
      </c>
      <c r="C727" s="3" t="inlineStr">
        <is>
          <t>DEL-28.03</t>
        </is>
      </c>
      <c r="D727" s="3" t="inlineStr">
        <is>
          <t>L004</t>
        </is>
      </c>
      <c r="E727" s="3" t="inlineStr">
        <is>
          <t>PM</t>
        </is>
      </c>
      <c r="F727" s="3" t="inlineStr">
        <is>
          <t>PKG-28</t>
        </is>
      </c>
      <c r="G727" s="3" t="inlineStr">
        <is>
          <t>DEL-28.03</t>
        </is>
      </c>
      <c r="H727" s="3" t="inlineStr">
        <is>
          <t>Design Coordination - inter-discipline coordination activities and meetings</t>
        </is>
      </c>
      <c r="I727" s="22" t="n">
        <v>1</v>
      </c>
      <c r="J727" s="3" t="inlineStr">
        <is>
          <t>LS</t>
        </is>
      </c>
      <c r="K727" s="39" t="n">
        <v>80000</v>
      </c>
      <c r="L727" s="35" t="n">
        <v>80000</v>
      </c>
      <c r="M727" s="3" t="inlineStr">
        <is>
          <t>CAD</t>
        </is>
      </c>
      <c r="N727" s="3" t="inlineStr">
        <is>
          <t>ALLOWANCE</t>
        </is>
      </c>
      <c r="O727" s="3" t="inlineStr">
        <is>
          <t>A-002</t>
        </is>
      </c>
      <c r="P727" s="3" t="inlineStr">
        <is>
          <t>LOW</t>
        </is>
      </c>
      <c r="Q727" s="3" t="inlineStr">
        <is>
          <t>Allowance for coordination effort; assumes 18-24 months active design at ~$4k/month</t>
        </is>
      </c>
      <c r="R727" s="3">
        <f>VLOOKUP($F727,Inputs!$D$6:$E$41,2,FALSE)</f>
        <v/>
      </c>
      <c r="S727" s="36">
        <f>VLOOKUP($E727,Inputs!$A$6:$B$13,2,FALSE)*Inputs!$B$2</f>
        <v/>
      </c>
      <c r="T727" s="35">
        <f>$L727*$S727</f>
        <v/>
      </c>
      <c r="U727" s="35">
        <f>$L727+$T727</f>
        <v/>
      </c>
    </row>
    <row r="728">
      <c r="A728" s="3" t="inlineStr">
        <is>
          <t>PKG-28::L005</t>
        </is>
      </c>
      <c r="B728" s="3" t="inlineStr">
        <is>
          <t>PKG-28</t>
        </is>
      </c>
      <c r="C728" s="3" t="inlineStr">
        <is>
          <t>DEL-28.03</t>
        </is>
      </c>
      <c r="D728" s="3" t="inlineStr">
        <is>
          <t>L005</t>
        </is>
      </c>
      <c r="E728" s="3" t="inlineStr">
        <is>
          <t>PM</t>
        </is>
      </c>
      <c r="F728" s="3" t="inlineStr">
        <is>
          <t>PKG-28</t>
        </is>
      </c>
      <c r="G728" s="3" t="inlineStr">
        <is>
          <t>DEL-28.03</t>
        </is>
      </c>
      <c r="H728" s="3" t="inlineStr">
        <is>
          <t>Clash Detection &amp; Resolution - BIM coordination and clash reports</t>
        </is>
      </c>
      <c r="I728" s="22" t="n">
        <v>1</v>
      </c>
      <c r="J728" s="3" t="inlineStr">
        <is>
          <t>LS</t>
        </is>
      </c>
      <c r="K728" s="39" t="n">
        <v>45000</v>
      </c>
      <c r="L728" s="35" t="n">
        <v>45000</v>
      </c>
      <c r="M728" s="3" t="inlineStr">
        <is>
          <t>CAD</t>
        </is>
      </c>
      <c r="N728" s="3" t="inlineStr">
        <is>
          <t>ALLOWANCE</t>
        </is>
      </c>
      <c r="O728" s="3" t="inlineStr">
        <is>
          <t>A-005</t>
        </is>
      </c>
      <c r="P728" s="3" t="inlineStr">
        <is>
          <t>LOW</t>
        </is>
      </c>
      <c r="Q728" s="3" t="inlineStr">
        <is>
          <t>Allowance for clash detection services; model coordination and resolution tracking</t>
        </is>
      </c>
      <c r="R728" s="3">
        <f>VLOOKUP($F728,Inputs!$D$6:$E$41,2,FALSE)</f>
        <v/>
      </c>
      <c r="S728" s="36">
        <f>VLOOKUP($E728,Inputs!$A$6:$B$13,2,FALSE)*Inputs!$B$2</f>
        <v/>
      </c>
      <c r="T728" s="35">
        <f>$L728*$S728</f>
        <v/>
      </c>
      <c r="U728" s="35">
        <f>$L728+$T728</f>
        <v/>
      </c>
    </row>
    <row r="729">
      <c r="A729" s="3" t="inlineStr">
        <is>
          <t>PKG-28::L006</t>
        </is>
      </c>
      <c r="B729" s="3" t="inlineStr">
        <is>
          <t>PKG-28</t>
        </is>
      </c>
      <c r="C729" s="3" t="inlineStr">
        <is>
          <t>DEL-28.03</t>
        </is>
      </c>
      <c r="D729" s="3" t="inlineStr">
        <is>
          <t>L006</t>
        </is>
      </c>
      <c r="E729" s="3" t="inlineStr">
        <is>
          <t>PM</t>
        </is>
      </c>
      <c r="F729" s="3" t="inlineStr">
        <is>
          <t>PKG-28</t>
        </is>
      </c>
      <c r="G729" s="3" t="inlineStr">
        <is>
          <t>DEL-28.03</t>
        </is>
      </c>
      <c r="H729" s="3" t="inlineStr">
        <is>
          <t>RFI Management - RFI log maintenance response coordination tracking</t>
        </is>
      </c>
      <c r="I729" s="22" t="n">
        <v>1</v>
      </c>
      <c r="J729" s="3" t="inlineStr">
        <is>
          <t>LS</t>
        </is>
      </c>
      <c r="K729" s="39" t="n">
        <v>25000</v>
      </c>
      <c r="L729" s="35" t="n">
        <v>25000</v>
      </c>
      <c r="M729" s="3" t="inlineStr">
        <is>
          <t>CAD</t>
        </is>
      </c>
      <c r="N729" s="3" t="inlineStr">
        <is>
          <t>ALLOWANCE</t>
        </is>
      </c>
      <c r="O729" s="3" t="inlineStr">
        <is>
          <t>A-006</t>
        </is>
      </c>
      <c r="P729" s="3" t="inlineStr">
        <is>
          <t>LOW</t>
        </is>
      </c>
      <c r="Q729" s="3" t="inlineStr">
        <is>
          <t>Allowance for RFI management; assumes 200-400 RFIs over design duration at ~$75-125 each for tracking/coordination</t>
        </is>
      </c>
      <c r="R729" s="3">
        <f>VLOOKUP($F729,Inputs!$D$6:$E$41,2,FALSE)</f>
        <v/>
      </c>
      <c r="S729" s="36">
        <f>VLOOKUP($E729,Inputs!$A$6:$B$13,2,FALSE)*Inputs!$B$2</f>
        <v/>
      </c>
      <c r="T729" s="35">
        <f>$L729*$S729</f>
        <v/>
      </c>
      <c r="U729" s="35">
        <f>$L729+$T729</f>
        <v/>
      </c>
    </row>
    <row r="730">
      <c r="A730" s="3" t="inlineStr">
        <is>
          <t>PKG-28::L007</t>
        </is>
      </c>
      <c r="B730" s="3" t="inlineStr">
        <is>
          <t>PKG-28</t>
        </is>
      </c>
      <c r="C730" s="3" t="n"/>
      <c r="D730" s="3" t="inlineStr">
        <is>
          <t>L007</t>
        </is>
      </c>
      <c r="E730" s="3" t="inlineStr">
        <is>
          <t>CI</t>
        </is>
      </c>
      <c r="F730" s="3" t="inlineStr">
        <is>
          <t>PKG-28</t>
        </is>
      </c>
      <c r="G730" s="3" t="n"/>
      <c r="H730" s="3" t="inlineStr">
        <is>
          <t>QA/QC Engineering Review Allocation - quality oversight of design verification process</t>
        </is>
      </c>
      <c r="I730" s="22" t="n">
        <v>1</v>
      </c>
      <c r="J730" s="3" t="inlineStr">
        <is>
          <t>LS</t>
        </is>
      </c>
      <c r="K730" s="39" t="n">
        <v>55100</v>
      </c>
      <c r="L730" s="35" t="n">
        <v>55100</v>
      </c>
      <c r="M730" s="3" t="inlineStr">
        <is>
          <t>CAD</t>
        </is>
      </c>
      <c r="N730" s="3" t="inlineStr">
        <is>
          <t>PARAMETRIC</t>
        </is>
      </c>
      <c r="O730" s="3" t="inlineStr">
        <is>
          <t>D-006</t>
        </is>
      </c>
      <c r="P730" s="3" t="inlineStr">
        <is>
          <t>MED</t>
        </is>
      </c>
      <c r="Q730" s="3" t="inlineStr">
        <is>
          <t>18% of notional engineering review allocation ($306k); QA/QC oversight of IDV and coordination processes</t>
        </is>
      </c>
      <c r="R730" s="3">
        <f>VLOOKUP($F730,Inputs!$D$6:$E$41,2,FALSE)</f>
        <v/>
      </c>
      <c r="S730" s="36">
        <f>VLOOKUP($E730,Inputs!$A$6:$B$13,2,FALSE)*Inputs!$B$2</f>
        <v/>
      </c>
      <c r="T730" s="35">
        <f>$L730*$S730</f>
        <v/>
      </c>
      <c r="U730" s="35">
        <f>$L730+$T730</f>
        <v/>
      </c>
    </row>
    <row r="731">
      <c r="A731" s="3" t="inlineStr">
        <is>
          <t>PKG-28::L008</t>
        </is>
      </c>
      <c r="B731" s="3" t="inlineStr">
        <is>
          <t>PKG-28</t>
        </is>
      </c>
      <c r="C731" s="3" t="n"/>
      <c r="D731" s="3" t="inlineStr">
        <is>
          <t>L008</t>
        </is>
      </c>
      <c r="E731" s="3" t="inlineStr">
        <is>
          <t>PM</t>
        </is>
      </c>
      <c r="F731" s="3" t="inlineStr">
        <is>
          <t>PKG-28</t>
        </is>
      </c>
      <c r="G731" s="3" t="n"/>
      <c r="H731" s="3" t="inlineStr">
        <is>
          <t>EPCM / Project Management - PKG-28 allocation (factor-based)</t>
        </is>
      </c>
      <c r="I731" s="22" t="n">
        <v>1</v>
      </c>
      <c r="J731" s="3" t="inlineStr">
        <is>
          <t>LS</t>
        </is>
      </c>
      <c r="K731" s="39" t="n">
        <v>26700</v>
      </c>
      <c r="L731" s="35" t="n">
        <v>26700</v>
      </c>
      <c r="M731" s="3" t="inlineStr">
        <is>
          <t>CAD</t>
        </is>
      </c>
      <c r="N731" s="3" t="inlineStr">
        <is>
          <t>PARAMETRIC</t>
        </is>
      </c>
      <c r="O731" s="3" t="inlineStr">
        <is>
          <t>D-006</t>
        </is>
      </c>
      <c r="P731" s="3" t="inlineStr">
        <is>
          <t>MED</t>
        </is>
      </c>
      <c r="Q731" s="3" t="inlineStr">
        <is>
          <t>6% of Engineering base ($445k); project management overhead allocation</t>
        </is>
      </c>
      <c r="R731" s="3">
        <f>VLOOKUP($F731,Inputs!$D$6:$E$41,2,FALSE)</f>
        <v/>
      </c>
      <c r="S731" s="36">
        <f>VLOOKUP($E731,Inputs!$A$6:$B$13,2,FALSE)*Inputs!$B$2</f>
        <v/>
      </c>
      <c r="T731" s="35">
        <f>$L731*$S731</f>
        <v/>
      </c>
      <c r="U731" s="35">
        <f>$L731+$T731</f>
        <v/>
      </c>
    </row>
    <row r="732">
      <c r="A732" s="3" t="inlineStr">
        <is>
          <t>PKG-28::L009</t>
        </is>
      </c>
      <c r="B732" s="3" t="inlineStr">
        <is>
          <t>PKG-28</t>
        </is>
      </c>
      <c r="C732" s="3" t="n"/>
      <c r="D732" s="3" t="inlineStr">
        <is>
          <t>L009</t>
        </is>
      </c>
      <c r="E732" s="3" t="inlineStr">
        <is>
          <t>P</t>
        </is>
      </c>
      <c r="F732" s="3" t="inlineStr">
        <is>
          <t>PKG-28</t>
        </is>
      </c>
      <c r="G732" s="3" t="n"/>
      <c r="H732" s="3" t="inlineStr">
        <is>
          <t>Procurement Services - third-party engineering coordination (factor-based)</t>
        </is>
      </c>
      <c r="I732" s="22" t="n">
        <v>1</v>
      </c>
      <c r="J732" s="3" t="inlineStr">
        <is>
          <t>LS</t>
        </is>
      </c>
      <c r="K732" s="39" t="n">
        <v>8900</v>
      </c>
      <c r="L732" s="35" t="n">
        <v>8900</v>
      </c>
      <c r="M732" s="3" t="inlineStr">
        <is>
          <t>CAD</t>
        </is>
      </c>
      <c r="N732" s="3" t="inlineStr">
        <is>
          <t>PARAMETRIC</t>
        </is>
      </c>
      <c r="O732" s="3" t="inlineStr">
        <is>
          <t>D-006</t>
        </is>
      </c>
      <c r="P732" s="3" t="inlineStr">
        <is>
          <t>MED</t>
        </is>
      </c>
      <c r="Q732" s="3" t="inlineStr">
        <is>
          <t>2% of third-party engineering services ($445k); procurement coordination for IDV contracts</t>
        </is>
      </c>
      <c r="R732" s="3">
        <f>VLOOKUP($F732,Inputs!$D$6:$E$41,2,FALSE)</f>
        <v/>
      </c>
      <c r="S732" s="36">
        <f>VLOOKUP($E732,Inputs!$A$6:$B$13,2,FALSE)*Inputs!$B$2</f>
        <v/>
      </c>
      <c r="T732" s="35">
        <f>$L732*$S732</f>
        <v/>
      </c>
      <c r="U732" s="35">
        <f>$L732+$T732</f>
        <v/>
      </c>
    </row>
    <row r="733">
      <c r="A733" s="3" t="inlineStr">
        <is>
          <t>PKG-28::L010</t>
        </is>
      </c>
      <c r="B733" s="3" t="inlineStr">
        <is>
          <t>PKG-28</t>
        </is>
      </c>
      <c r="C733" s="3" t="inlineStr">
        <is>
          <t>DEL-28.01</t>
        </is>
      </c>
      <c r="D733" s="3" t="inlineStr">
        <is>
          <t>L010</t>
        </is>
      </c>
      <c r="E733" s="3" t="inlineStr">
        <is>
          <t>E</t>
        </is>
      </c>
      <c r="F733" s="3" t="inlineStr">
        <is>
          <t>PKG-28</t>
        </is>
      </c>
      <c r="G733" s="3" t="inlineStr">
        <is>
          <t>DEL-28.01</t>
        </is>
      </c>
      <c r="H733" s="3" t="inlineStr">
        <is>
          <t>IDV Report Documentation and Records - final compilation and archival</t>
        </is>
      </c>
      <c r="I733" s="22" t="n">
        <v>1</v>
      </c>
      <c r="J733" s="3" t="inlineStr">
        <is>
          <t>LS</t>
        </is>
      </c>
      <c r="K733" s="39" t="n">
        <v>0</v>
      </c>
      <c r="L733" s="35" t="n">
        <v>0</v>
      </c>
      <c r="M733" s="3" t="inlineStr">
        <is>
          <t>CAD</t>
        </is>
      </c>
      <c r="N733" s="3" t="inlineStr">
        <is>
          <t>ALLOWANCE</t>
        </is>
      </c>
      <c r="O733" s="3" t="inlineStr">
        <is>
          <t>A-007</t>
        </is>
      </c>
      <c r="P733" s="3" t="inlineStr">
        <is>
          <t>MED</t>
        </is>
      </c>
      <c r="Q733" s="3" t="inlineStr">
        <is>
          <t>Included in L001 IDV services allowance; no separate line item required</t>
        </is>
      </c>
      <c r="R733" s="3">
        <f>VLOOKUP($F733,Inputs!$D$6:$E$41,2,FALSE)</f>
        <v/>
      </c>
      <c r="S733" s="36">
        <f>VLOOKUP($E733,Inputs!$A$6:$B$13,2,FALSE)*Inputs!$B$2</f>
        <v/>
      </c>
      <c r="T733" s="35">
        <f>$L733*$S733</f>
        <v/>
      </c>
      <c r="U733" s="35">
        <f>$L733+$T733</f>
        <v/>
      </c>
    </row>
    <row r="734">
      <c r="A734" s="3" t="inlineStr">
        <is>
          <t>PKG-29::L-001</t>
        </is>
      </c>
      <c r="B734" s="3" t="inlineStr">
        <is>
          <t>PKG-29</t>
        </is>
      </c>
      <c r="C734" s="3" t="inlineStr">
        <is>
          <t>DEL-29.01</t>
        </is>
      </c>
      <c r="D734" s="3" t="inlineStr">
        <is>
          <t>L-001</t>
        </is>
      </c>
      <c r="E734" s="3" t="inlineStr">
        <is>
          <t>E</t>
        </is>
      </c>
      <c r="F734" s="3" t="inlineStr">
        <is>
          <t>PKG-29</t>
        </is>
      </c>
      <c r="G734" s="3" t="inlineStr">
        <is>
          <t>DEL-29.01</t>
        </is>
      </c>
      <c r="H734" s="3" t="inlineStr">
        <is>
          <t>Test procedure development - Hydrostatic test procedures</t>
        </is>
      </c>
      <c r="I734" s="22" t="n">
        <v>1</v>
      </c>
      <c r="J734" s="3" t="inlineStr">
        <is>
          <t>LS</t>
        </is>
      </c>
      <c r="K734" s="39" t="n">
        <v>35000</v>
      </c>
      <c r="L734" s="35" t="n">
        <v>35000</v>
      </c>
      <c r="M734" s="3" t="inlineStr">
        <is>
          <t>CAD</t>
        </is>
      </c>
      <c r="N734" s="3" t="inlineStr">
        <is>
          <t>ALLOWANCE</t>
        </is>
      </c>
      <c r="O734" s="3" t="inlineStr">
        <is>
          <t>A-014</t>
        </is>
      </c>
      <c r="P734" s="3" t="inlineStr">
        <is>
          <t>LOW</t>
        </is>
      </c>
      <c r="Q734" s="3" t="inlineStr">
        <is>
          <t>Hydrostatic test procedures for tanks (3) and piping systems; pressure/duration/acceptance criteria per ASME B31.3</t>
        </is>
      </c>
      <c r="R734" s="3">
        <f>VLOOKUP($F734,Inputs!$D$6:$E$41,2,FALSE)</f>
        <v/>
      </c>
      <c r="S734" s="36">
        <f>VLOOKUP($E734,Inputs!$A$6:$B$13,2,FALSE)*Inputs!$B$2</f>
        <v/>
      </c>
      <c r="T734" s="35">
        <f>$L734*$S734</f>
        <v/>
      </c>
      <c r="U734" s="35">
        <f>$L734+$T734</f>
        <v/>
      </c>
    </row>
    <row r="735">
      <c r="A735" s="3" t="inlineStr">
        <is>
          <t>PKG-29::L-002</t>
        </is>
      </c>
      <c r="B735" s="3" t="inlineStr">
        <is>
          <t>PKG-29</t>
        </is>
      </c>
      <c r="C735" s="3" t="inlineStr">
        <is>
          <t>DEL-29.01</t>
        </is>
      </c>
      <c r="D735" s="3" t="inlineStr">
        <is>
          <t>L-002</t>
        </is>
      </c>
      <c r="E735" s="3" t="inlineStr">
        <is>
          <t>E</t>
        </is>
      </c>
      <c r="F735" s="3" t="inlineStr">
        <is>
          <t>PKG-29</t>
        </is>
      </c>
      <c r="G735" s="3" t="inlineStr">
        <is>
          <t>DEL-29.01</t>
        </is>
      </c>
      <c r="H735" s="3" t="inlineStr">
        <is>
          <t>Test procedure development - Electrical test procedures</t>
        </is>
      </c>
      <c r="I735" s="22" t="n">
        <v>1</v>
      </c>
      <c r="J735" s="3" t="inlineStr">
        <is>
          <t>LS</t>
        </is>
      </c>
      <c r="K735" s="39" t="n">
        <v>25000</v>
      </c>
      <c r="L735" s="35" t="n">
        <v>25000</v>
      </c>
      <c r="M735" s="3" t="inlineStr">
        <is>
          <t>CAD</t>
        </is>
      </c>
      <c r="N735" s="3" t="inlineStr">
        <is>
          <t>ALLOWANCE</t>
        </is>
      </c>
      <c r="O735" s="3" t="inlineStr">
        <is>
          <t>A-015</t>
        </is>
      </c>
      <c r="P735" s="3" t="inlineStr">
        <is>
          <t>LOW</t>
        </is>
      </c>
      <c r="Q735" s="3" t="inlineStr">
        <is>
          <t>Electrical test procedures for switchgear; MCCs; motors; cables; protective relays; grounding per CSA/IEEE standards</t>
        </is>
      </c>
      <c r="R735" s="3">
        <f>VLOOKUP($F735,Inputs!$D$6:$E$41,2,FALSE)</f>
        <v/>
      </c>
      <c r="S735" s="36">
        <f>VLOOKUP($E735,Inputs!$A$6:$B$13,2,FALSE)*Inputs!$B$2</f>
        <v/>
      </c>
      <c r="T735" s="35">
        <f>$L735*$S735</f>
        <v/>
      </c>
      <c r="U735" s="35">
        <f>$L735+$T735</f>
        <v/>
      </c>
    </row>
    <row r="736">
      <c r="A736" s="3" t="inlineStr">
        <is>
          <t>PKG-29::L-003</t>
        </is>
      </c>
      <c r="B736" s="3" t="inlineStr">
        <is>
          <t>PKG-29</t>
        </is>
      </c>
      <c r="C736" s="3" t="inlineStr">
        <is>
          <t>DEL-29.01</t>
        </is>
      </c>
      <c r="D736" s="3" t="inlineStr">
        <is>
          <t>L-003</t>
        </is>
      </c>
      <c r="E736" s="3" t="inlineStr">
        <is>
          <t>E</t>
        </is>
      </c>
      <c r="F736" s="3" t="inlineStr">
        <is>
          <t>PKG-29</t>
        </is>
      </c>
      <c r="G736" s="3" t="inlineStr">
        <is>
          <t>DEL-29.01</t>
        </is>
      </c>
      <c r="H736" s="3" t="inlineStr">
        <is>
          <t>Test procedure development - I&amp;C test procedures</t>
        </is>
      </c>
      <c r="I736" s="22" t="n">
        <v>1</v>
      </c>
      <c r="J736" s="3" t="inlineStr">
        <is>
          <t>LS</t>
        </is>
      </c>
      <c r="K736" s="39" t="n">
        <v>25000</v>
      </c>
      <c r="L736" s="35" t="n">
        <v>25000</v>
      </c>
      <c r="M736" s="3" t="inlineStr">
        <is>
          <t>CAD</t>
        </is>
      </c>
      <c r="N736" s="3" t="inlineStr">
        <is>
          <t>ALLOWANCE</t>
        </is>
      </c>
      <c r="O736" s="3" t="inlineStr">
        <is>
          <t>A-016</t>
        </is>
      </c>
      <c r="P736" s="3" t="inlineStr">
        <is>
          <t>LOW</t>
        </is>
      </c>
      <c r="Q736" s="3" t="inlineStr">
        <is>
          <t>I&amp;C test procedures for instrument calibration; loop checks; control valve stroking; DCS FAT/SAT per ISA standards</t>
        </is>
      </c>
      <c r="R736" s="3">
        <f>VLOOKUP($F736,Inputs!$D$6:$E$41,2,FALSE)</f>
        <v/>
      </c>
      <c r="S736" s="36">
        <f>VLOOKUP($E736,Inputs!$A$6:$B$13,2,FALSE)*Inputs!$B$2</f>
        <v/>
      </c>
      <c r="T736" s="35">
        <f>$L736*$S736</f>
        <v/>
      </c>
      <c r="U736" s="35">
        <f>$L736+$T736</f>
        <v/>
      </c>
    </row>
    <row r="737">
      <c r="A737" s="3" t="inlineStr">
        <is>
          <t>PKG-29::L-004</t>
        </is>
      </c>
      <c r="B737" s="3" t="inlineStr">
        <is>
          <t>PKG-29</t>
        </is>
      </c>
      <c r="C737" s="3" t="inlineStr">
        <is>
          <t>DEL-29.02</t>
        </is>
      </c>
      <c r="D737" s="3" t="inlineStr">
        <is>
          <t>L-004</t>
        </is>
      </c>
      <c r="E737" s="3" t="inlineStr">
        <is>
          <t>E</t>
        </is>
      </c>
      <c r="F737" s="3" t="inlineStr">
        <is>
          <t>PKG-29</t>
        </is>
      </c>
      <c r="G737" s="3" t="inlineStr">
        <is>
          <t>DEL-29.02</t>
        </is>
      </c>
      <c r="H737" s="3" t="inlineStr">
        <is>
          <t>Inspection and test plan development</t>
        </is>
      </c>
      <c r="I737" s="22" t="n">
        <v>1</v>
      </c>
      <c r="J737" s="3" t="inlineStr">
        <is>
          <t>LS</t>
        </is>
      </c>
      <c r="K737" s="39" t="n">
        <v>55000</v>
      </c>
      <c r="L737" s="35" t="n">
        <v>55000</v>
      </c>
      <c r="M737" s="3" t="inlineStr">
        <is>
          <t>CAD</t>
        </is>
      </c>
      <c r="N737" s="3" t="inlineStr">
        <is>
          <t>ALLOWANCE</t>
        </is>
      </c>
      <c r="O737" s="3" t="inlineStr">
        <is>
          <t>A-017</t>
        </is>
      </c>
      <c r="P737" s="3" t="inlineStr">
        <is>
          <t>LOW</t>
        </is>
      </c>
      <c r="Q737" s="3" t="inlineStr">
        <is>
          <t>ITP development with hold/witness points matrix; inspection matrix; coordination with Employer QA requirements</t>
        </is>
      </c>
      <c r="R737" s="3">
        <f>VLOOKUP($F737,Inputs!$D$6:$E$41,2,FALSE)</f>
        <v/>
      </c>
      <c r="S737" s="36">
        <f>VLOOKUP($E737,Inputs!$A$6:$B$13,2,FALSE)*Inputs!$B$2</f>
        <v/>
      </c>
      <c r="T737" s="35">
        <f>$L737*$S737</f>
        <v/>
      </c>
      <c r="U737" s="35">
        <f>$L737+$T737</f>
        <v/>
      </c>
    </row>
    <row r="738">
      <c r="A738" s="3" t="inlineStr">
        <is>
          <t>PKG-29::L-005</t>
        </is>
      </c>
      <c r="B738" s="3" t="inlineStr">
        <is>
          <t>PKG-29</t>
        </is>
      </c>
      <c r="C738" s="3" t="inlineStr">
        <is>
          <t>DEL-29.06</t>
        </is>
      </c>
      <c r="D738" s="3" t="inlineStr">
        <is>
          <t>L-005</t>
        </is>
      </c>
      <c r="E738" s="3" t="inlineStr">
        <is>
          <t>E</t>
        </is>
      </c>
      <c r="F738" s="3" t="inlineStr">
        <is>
          <t>PKG-29</t>
        </is>
      </c>
      <c r="G738" s="3" t="inlineStr">
        <is>
          <t>DEL-29.06</t>
        </is>
      </c>
      <c r="H738" s="3" t="inlineStr">
        <is>
          <t>Tank hydrotest water management plan</t>
        </is>
      </c>
      <c r="I738" s="22" t="n">
        <v>1</v>
      </c>
      <c r="J738" s="3" t="inlineStr">
        <is>
          <t>LS</t>
        </is>
      </c>
      <c r="K738" s="39" t="n">
        <v>45000</v>
      </c>
      <c r="L738" s="35" t="n">
        <v>45000</v>
      </c>
      <c r="M738" s="3" t="inlineStr">
        <is>
          <t>CAD</t>
        </is>
      </c>
      <c r="N738" s="3" t="inlineStr">
        <is>
          <t>ALLOWANCE</t>
        </is>
      </c>
      <c r="O738" s="3" t="inlineStr">
        <is>
          <t>A-018</t>
        </is>
      </c>
      <c r="P738" s="3" t="inlineStr">
        <is>
          <t>LOW</t>
        </is>
      </c>
      <c r="Q738" s="3" t="inlineStr">
        <is>
          <t>Fill/hold/drain plan for 3 x 15000 MT tanks; treatment approach; sampling/testing plan; discharge/hauling plan per environmental permits</t>
        </is>
      </c>
      <c r="R738" s="3">
        <f>VLOOKUP($F738,Inputs!$D$6:$E$41,2,FALSE)</f>
        <v/>
      </c>
      <c r="S738" s="36">
        <f>VLOOKUP($E738,Inputs!$A$6:$B$13,2,FALSE)*Inputs!$B$2</f>
        <v/>
      </c>
      <c r="T738" s="35">
        <f>$L738*$S738</f>
        <v/>
      </c>
      <c r="U738" s="35">
        <f>$L738+$T738</f>
        <v/>
      </c>
    </row>
    <row r="739">
      <c r="A739" s="3" t="inlineStr">
        <is>
          <t>PKG-29::L-006</t>
        </is>
      </c>
      <c r="B739" s="3" t="inlineStr">
        <is>
          <t>PKG-29</t>
        </is>
      </c>
      <c r="C739" s="3" t="n"/>
      <c r="D739" s="3" t="inlineStr">
        <is>
          <t>L-006</t>
        </is>
      </c>
      <c r="E739" s="3" t="inlineStr">
        <is>
          <t>E</t>
        </is>
      </c>
      <c r="F739" s="3" t="inlineStr">
        <is>
          <t>PKG-29</t>
        </is>
      </c>
      <c r="G739" s="3" t="n"/>
      <c r="H739" s="3" t="inlineStr">
        <is>
          <t>FAT procedure and protocol development</t>
        </is>
      </c>
      <c r="I739" s="22" t="n">
        <v>1</v>
      </c>
      <c r="J739" s="3" t="inlineStr">
        <is>
          <t>LS</t>
        </is>
      </c>
      <c r="K739" s="39" t="n">
        <v>15000</v>
      </c>
      <c r="L739" s="35" t="n">
        <v>15000</v>
      </c>
      <c r="M739" s="3" t="inlineStr">
        <is>
          <t>CAD</t>
        </is>
      </c>
      <c r="N739" s="3" t="inlineStr">
        <is>
          <t>ALLOWANCE</t>
        </is>
      </c>
      <c r="O739" s="3" t="inlineStr">
        <is>
          <t>A-011</t>
        </is>
      </c>
      <c r="P739" s="3" t="inlineStr">
        <is>
          <t>LOW</t>
        </is>
      </c>
      <c r="Q739" s="3" t="inlineStr">
        <is>
          <t>FAT procedures and checklists for major equipment; acceptance criteria; witness point coordination</t>
        </is>
      </c>
      <c r="R739" s="3">
        <f>VLOOKUP($F739,Inputs!$D$6:$E$41,2,FALSE)</f>
        <v/>
      </c>
      <c r="S739" s="36">
        <f>VLOOKUP($E739,Inputs!$A$6:$B$13,2,FALSE)*Inputs!$B$2</f>
        <v/>
      </c>
      <c r="T739" s="35">
        <f>$L739*$S739</f>
        <v/>
      </c>
      <c r="U739" s="35">
        <f>$L739+$T739</f>
        <v/>
      </c>
    </row>
    <row r="740">
      <c r="A740" s="3" t="inlineStr">
        <is>
          <t>PKG-29::L-007</t>
        </is>
      </c>
      <c r="B740" s="3" t="inlineStr">
        <is>
          <t>PKG-29</t>
        </is>
      </c>
      <c r="C740" s="3" t="n"/>
      <c r="D740" s="3" t="inlineStr">
        <is>
          <t>L-007</t>
        </is>
      </c>
      <c r="E740" s="3" t="inlineStr">
        <is>
          <t>E</t>
        </is>
      </c>
      <c r="F740" s="3" t="inlineStr">
        <is>
          <t>PKG-29</t>
        </is>
      </c>
      <c r="G740" s="3" t="n"/>
      <c r="H740" s="3" t="inlineStr">
        <is>
          <t>SAT procedure and protocol development</t>
        </is>
      </c>
      <c r="I740" s="22" t="n">
        <v>1</v>
      </c>
      <c r="J740" s="3" t="inlineStr">
        <is>
          <t>LS</t>
        </is>
      </c>
      <c r="K740" s="39" t="n">
        <v>20000</v>
      </c>
      <c r="L740" s="35" t="n">
        <v>20000</v>
      </c>
      <c r="M740" s="3" t="inlineStr">
        <is>
          <t>CAD</t>
        </is>
      </c>
      <c r="N740" s="3" t="inlineStr">
        <is>
          <t>ALLOWANCE</t>
        </is>
      </c>
      <c r="O740" s="3" t="inlineStr">
        <is>
          <t>A-013</t>
        </is>
      </c>
      <c r="P740" s="3" t="inlineStr">
        <is>
          <t>LOW</t>
        </is>
      </c>
      <c r="Q740" s="3" t="inlineStr">
        <is>
          <t>SAT procedures and checklists for site acceptance; integration testing protocols; punch list format</t>
        </is>
      </c>
      <c r="R740" s="3">
        <f>VLOOKUP($F740,Inputs!$D$6:$E$41,2,FALSE)</f>
        <v/>
      </c>
      <c r="S740" s="36">
        <f>VLOOKUP($E740,Inputs!$A$6:$B$13,2,FALSE)*Inputs!$B$2</f>
        <v/>
      </c>
      <c r="T740" s="35">
        <f>$L740*$S740</f>
        <v/>
      </c>
      <c r="U740" s="35">
        <f>$L740+$T740</f>
        <v/>
      </c>
    </row>
    <row r="741">
      <c r="A741" s="3" t="inlineStr">
        <is>
          <t>PKG-29::L-008</t>
        </is>
      </c>
      <c r="B741" s="3" t="inlineStr">
        <is>
          <t>PKG-29</t>
        </is>
      </c>
      <c r="C741" s="3" t="inlineStr">
        <is>
          <t>DEL-29.03</t>
        </is>
      </c>
      <c r="D741" s="3" t="inlineStr">
        <is>
          <t>L-008</t>
        </is>
      </c>
      <c r="E741" s="3" t="inlineStr">
        <is>
          <t>MAT</t>
        </is>
      </c>
      <c r="F741" s="3" t="inlineStr">
        <is>
          <t>PKG-29</t>
        </is>
      </c>
      <c r="G741" s="3" t="inlineStr">
        <is>
          <t>DEL-29.03</t>
        </is>
      </c>
      <c r="H741" s="3" t="inlineStr">
        <is>
          <t>Test equipment rental - Hydrostatic testing</t>
        </is>
      </c>
      <c r="I741" s="22" t="n">
        <v>1</v>
      </c>
      <c r="J741" s="3" t="inlineStr">
        <is>
          <t>LS</t>
        </is>
      </c>
      <c r="K741" s="39" t="n">
        <v>55000</v>
      </c>
      <c r="L741" s="35" t="n">
        <v>55000</v>
      </c>
      <c r="M741" s="3" t="inlineStr">
        <is>
          <t>CAD</t>
        </is>
      </c>
      <c r="N741" s="3" t="inlineStr">
        <is>
          <t>ALLOWANCE</t>
        </is>
      </c>
      <c r="O741" s="3" t="inlineStr">
        <is>
          <t>A-019</t>
        </is>
      </c>
      <c r="P741" s="3" t="inlineStr">
        <is>
          <t>LOW</t>
        </is>
      </c>
      <c r="Q741" s="3" t="inlineStr">
        <is>
          <t>Hydrostatic test pumps; pressure gauges/recorders; chart recorders; blinds and isolation equipment; 8-12 week rental</t>
        </is>
      </c>
      <c r="R741" s="3">
        <f>VLOOKUP($F741,Inputs!$D$6:$E$41,2,FALSE)</f>
        <v/>
      </c>
      <c r="S741" s="36">
        <f>VLOOKUP($E741,Inputs!$A$6:$B$13,2,FALSE)*Inputs!$B$2</f>
        <v/>
      </c>
      <c r="T741" s="35">
        <f>$L741*$S741</f>
        <v/>
      </c>
      <c r="U741" s="35">
        <f>$L741+$T741</f>
        <v/>
      </c>
    </row>
    <row r="742">
      <c r="A742" s="3" t="inlineStr">
        <is>
          <t>PKG-29::L-009</t>
        </is>
      </c>
      <c r="B742" s="3" t="inlineStr">
        <is>
          <t>PKG-29</t>
        </is>
      </c>
      <c r="C742" s="3" t="inlineStr">
        <is>
          <t>DEL-29.03</t>
        </is>
      </c>
      <c r="D742" s="3" t="inlineStr">
        <is>
          <t>L-009</t>
        </is>
      </c>
      <c r="E742" s="3" t="inlineStr">
        <is>
          <t>MAT</t>
        </is>
      </c>
      <c r="F742" s="3" t="inlineStr">
        <is>
          <t>PKG-29</t>
        </is>
      </c>
      <c r="G742" s="3" t="inlineStr">
        <is>
          <t>DEL-29.03</t>
        </is>
      </c>
      <c r="H742" s="3" t="inlineStr">
        <is>
          <t>Test equipment rental - Electrical and I&amp;C testing</t>
        </is>
      </c>
      <c r="I742" s="22" t="n">
        <v>1</v>
      </c>
      <c r="J742" s="3" t="inlineStr">
        <is>
          <t>LS</t>
        </is>
      </c>
      <c r="K742" s="39" t="n">
        <v>38000</v>
      </c>
      <c r="L742" s="35" t="n">
        <v>38000</v>
      </c>
      <c r="M742" s="3" t="inlineStr">
        <is>
          <t>CAD</t>
        </is>
      </c>
      <c r="N742" s="3" t="inlineStr">
        <is>
          <t>ALLOWANCE</t>
        </is>
      </c>
      <c r="O742" s="3" t="inlineStr">
        <is>
          <t>A-020</t>
        </is>
      </c>
      <c r="P742" s="3" t="inlineStr">
        <is>
          <t>LOW</t>
        </is>
      </c>
      <c r="Q742" s="3" t="inlineStr">
        <is>
          <t>Meggers; hi-pot testers; relay test sets; loop calibrators; HART communicators; multimeters; 8-12 week rental</t>
        </is>
      </c>
      <c r="R742" s="3">
        <f>VLOOKUP($F742,Inputs!$D$6:$E$41,2,FALSE)</f>
        <v/>
      </c>
      <c r="S742" s="36">
        <f>VLOOKUP($E742,Inputs!$A$6:$B$13,2,FALSE)*Inputs!$B$2</f>
        <v/>
      </c>
      <c r="T742" s="35">
        <f>$L742*$S742</f>
        <v/>
      </c>
      <c r="U742" s="35">
        <f>$L742+$T742</f>
        <v/>
      </c>
    </row>
    <row r="743">
      <c r="A743" s="3" t="inlineStr">
        <is>
          <t>PKG-29::L-010</t>
        </is>
      </c>
      <c r="B743" s="3" t="inlineStr">
        <is>
          <t>PKG-29</t>
        </is>
      </c>
      <c r="C743" s="3" t="inlineStr">
        <is>
          <t>DEL-29.07</t>
        </is>
      </c>
      <c r="D743" s="3" t="inlineStr">
        <is>
          <t>L-010</t>
        </is>
      </c>
      <c r="E743" s="3" t="inlineStr">
        <is>
          <t>MAT</t>
        </is>
      </c>
      <c r="F743" s="3" t="inlineStr">
        <is>
          <t>PKG-29</t>
        </is>
      </c>
      <c r="G743" s="3" t="inlineStr">
        <is>
          <t>DEL-29.07</t>
        </is>
      </c>
      <c r="H743" s="3" t="inlineStr">
        <is>
          <t>Hydrotest water treatment chemicals and consumables</t>
        </is>
      </c>
      <c r="I743" s="22" t="n">
        <v>1</v>
      </c>
      <c r="J743" s="3" t="inlineStr">
        <is>
          <t>LS</t>
        </is>
      </c>
      <c r="K743" s="39" t="n">
        <v>50000</v>
      </c>
      <c r="L743" s="35" t="n">
        <v>50000</v>
      </c>
      <c r="M743" s="3" t="inlineStr">
        <is>
          <t>CAD</t>
        </is>
      </c>
      <c r="N743" s="3" t="inlineStr">
        <is>
          <t>ALLOWANCE</t>
        </is>
      </c>
      <c r="O743" s="3" t="inlineStr">
        <is>
          <t>A-021</t>
        </is>
      </c>
      <c r="P743" s="3" t="inlineStr">
        <is>
          <t>LOW</t>
        </is>
      </c>
      <c r="Q743" s="3" t="inlineStr">
        <is>
          <t>Biocide; oxygen scavenger; corrosion inhibitor; pH adjustment chemicals; sampling supplies for 45000 m3 total volume</t>
        </is>
      </c>
      <c r="R743" s="3">
        <f>VLOOKUP($F743,Inputs!$D$6:$E$41,2,FALSE)</f>
        <v/>
      </c>
      <c r="S743" s="36">
        <f>VLOOKUP($E743,Inputs!$A$6:$B$13,2,FALSE)*Inputs!$B$2</f>
        <v/>
      </c>
      <c r="T743" s="35">
        <f>$L743*$S743</f>
        <v/>
      </c>
      <c r="U743" s="35">
        <f>$L743+$T743</f>
        <v/>
      </c>
    </row>
    <row r="744">
      <c r="A744" s="3" t="inlineStr">
        <is>
          <t>PKG-29::L-011</t>
        </is>
      </c>
      <c r="B744" s="3" t="inlineStr">
        <is>
          <t>PKG-29</t>
        </is>
      </c>
      <c r="C744" s="3" t="inlineStr">
        <is>
          <t>DEL-29.03</t>
        </is>
      </c>
      <c r="D744" s="3" t="inlineStr">
        <is>
          <t>L-011</t>
        </is>
      </c>
      <c r="E744" s="3" t="inlineStr">
        <is>
          <t>CD</t>
        </is>
      </c>
      <c r="F744" s="3" t="inlineStr">
        <is>
          <t>PKG-29</t>
        </is>
      </c>
      <c r="G744" s="3" t="inlineStr">
        <is>
          <t>DEL-29.03</t>
        </is>
      </c>
      <c r="H744" s="3" t="inlineStr">
        <is>
          <t>Tank hydrostatic testing execution</t>
        </is>
      </c>
      <c r="I744" s="22" t="n">
        <v>1</v>
      </c>
      <c r="J744" s="3" t="inlineStr">
        <is>
          <t>LS</t>
        </is>
      </c>
      <c r="K744" s="39" t="n">
        <v>180000</v>
      </c>
      <c r="L744" s="35" t="n">
        <v>180000</v>
      </c>
      <c r="M744" s="3" t="inlineStr">
        <is>
          <t>CAD</t>
        </is>
      </c>
      <c r="N744" s="3" t="inlineStr">
        <is>
          <t>ALLOWANCE</t>
        </is>
      </c>
      <c r="O744" s="3" t="inlineStr">
        <is>
          <t>A-001</t>
        </is>
      </c>
      <c r="P744" s="3" t="inlineStr">
        <is>
          <t>LOW</t>
        </is>
      </c>
      <c r="Q744" s="3" t="inlineStr">
        <is>
          <t>Water fill (45000 m3); hold period (24-48 hrs each); inspection; leak repair; drain; 3 tanks sequential or overlapped</t>
        </is>
      </c>
      <c r="R744" s="3">
        <f>VLOOKUP($F744,Inputs!$D$6:$E$41,2,FALSE)</f>
        <v/>
      </c>
      <c r="S744" s="36">
        <f>VLOOKUP($E744,Inputs!$A$6:$B$13,2,FALSE)*Inputs!$B$2</f>
        <v/>
      </c>
      <c r="T744" s="35">
        <f>$L744*$S744</f>
        <v/>
      </c>
      <c r="U744" s="35">
        <f>$L744+$T744</f>
        <v/>
      </c>
    </row>
    <row r="745">
      <c r="A745" s="3" t="inlineStr">
        <is>
          <t>PKG-29::L-012</t>
        </is>
      </c>
      <c r="B745" s="3" t="inlineStr">
        <is>
          <t>PKG-29</t>
        </is>
      </c>
      <c r="C745" s="3" t="inlineStr">
        <is>
          <t>DEL-29.07</t>
        </is>
      </c>
      <c r="D745" s="3" t="inlineStr">
        <is>
          <t>L-012</t>
        </is>
      </c>
      <c r="E745" s="3" t="inlineStr">
        <is>
          <t>CD</t>
        </is>
      </c>
      <c r="F745" s="3" t="inlineStr">
        <is>
          <t>PKG-29</t>
        </is>
      </c>
      <c r="G745" s="3" t="inlineStr">
        <is>
          <t>DEL-29.07</t>
        </is>
      </c>
      <c r="H745" s="3" t="inlineStr">
        <is>
          <t>Hydrotest water treatment and testing</t>
        </is>
      </c>
      <c r="I745" s="22" t="n">
        <v>1</v>
      </c>
      <c r="J745" s="3" t="inlineStr">
        <is>
          <t>LS</t>
        </is>
      </c>
      <c r="K745" s="39" t="n">
        <v>55000</v>
      </c>
      <c r="L745" s="35" t="n">
        <v>55000</v>
      </c>
      <c r="M745" s="3" t="inlineStr">
        <is>
          <t>CAD</t>
        </is>
      </c>
      <c r="N745" s="3" t="inlineStr">
        <is>
          <t>ALLOWANCE</t>
        </is>
      </c>
      <c r="O745" s="3" t="inlineStr">
        <is>
          <t>A-002</t>
        </is>
      </c>
      <c r="P745" s="3" t="inlineStr">
        <is>
          <t>LOW</t>
        </is>
      </c>
      <c r="Q745" s="3" t="inlineStr">
        <is>
          <t>Water treatment during fill/hold; sampling and lab testing; treatment adjustment; discharge water quality testing</t>
        </is>
      </c>
      <c r="R745" s="3">
        <f>VLOOKUP($F745,Inputs!$D$6:$E$41,2,FALSE)</f>
        <v/>
      </c>
      <c r="S745" s="36">
        <f>VLOOKUP($E745,Inputs!$A$6:$B$13,2,FALSE)*Inputs!$B$2</f>
        <v/>
      </c>
      <c r="T745" s="35">
        <f>$L745*$S745</f>
        <v/>
      </c>
      <c r="U745" s="35">
        <f>$L745+$T745</f>
        <v/>
      </c>
    </row>
    <row r="746">
      <c r="A746" s="3" t="inlineStr">
        <is>
          <t>PKG-29::L-013</t>
        </is>
      </c>
      <c r="B746" s="3" t="inlineStr">
        <is>
          <t>PKG-29</t>
        </is>
      </c>
      <c r="C746" s="3" t="inlineStr">
        <is>
          <t>DEL-29.08</t>
        </is>
      </c>
      <c r="D746" s="3" t="inlineStr">
        <is>
          <t>L-013</t>
        </is>
      </c>
      <c r="E746" s="3" t="inlineStr">
        <is>
          <t>CD</t>
        </is>
      </c>
      <c r="F746" s="3" t="inlineStr">
        <is>
          <t>PKG-29</t>
        </is>
      </c>
      <c r="G746" s="3" t="inlineStr">
        <is>
          <t>DEL-29.08</t>
        </is>
      </c>
      <c r="H746" s="3" t="inlineStr">
        <is>
          <t>Hydrotest water disposal (haul-off portion)</t>
        </is>
      </c>
      <c r="I746" s="22" t="n">
        <v>1</v>
      </c>
      <c r="J746" s="3" t="inlineStr">
        <is>
          <t>LS</t>
        </is>
      </c>
      <c r="K746" s="39" t="n">
        <v>120000</v>
      </c>
      <c r="L746" s="35" t="n">
        <v>120000</v>
      </c>
      <c r="M746" s="3" t="inlineStr">
        <is>
          <t>CAD</t>
        </is>
      </c>
      <c r="N746" s="3" t="inlineStr">
        <is>
          <t>ALLOWANCE</t>
        </is>
      </c>
      <c r="O746" s="3" t="inlineStr">
        <is>
          <t>A-003</t>
        </is>
      </c>
      <c r="P746" s="3" t="inlineStr">
        <is>
          <t>LOW</t>
        </is>
      </c>
      <c r="Q746" s="3" t="inlineStr">
        <is>
          <t>Vacuum truck haul-off for 50% of hydrotest water (~22500 m3); assume $10-12/m3 disposal; treatment facility fees</t>
        </is>
      </c>
      <c r="R746" s="3">
        <f>VLOOKUP($F746,Inputs!$D$6:$E$41,2,FALSE)</f>
        <v/>
      </c>
      <c r="S746" s="36">
        <f>VLOOKUP($E746,Inputs!$A$6:$B$13,2,FALSE)*Inputs!$B$2</f>
        <v/>
      </c>
      <c r="T746" s="35">
        <f>$L746*$S746</f>
        <v/>
      </c>
      <c r="U746" s="35">
        <f>$L746+$T746</f>
        <v/>
      </c>
    </row>
    <row r="747">
      <c r="A747" s="3" t="inlineStr">
        <is>
          <t>PKG-29::L-014</t>
        </is>
      </c>
      <c r="B747" s="3" t="inlineStr">
        <is>
          <t>PKG-29</t>
        </is>
      </c>
      <c r="C747" s="3" t="inlineStr">
        <is>
          <t>DEL-29.03</t>
        </is>
      </c>
      <c r="D747" s="3" t="inlineStr">
        <is>
          <t>L-014</t>
        </is>
      </c>
      <c r="E747" s="3" t="inlineStr">
        <is>
          <t>CD</t>
        </is>
      </c>
      <c r="F747" s="3" t="inlineStr">
        <is>
          <t>PKG-29</t>
        </is>
      </c>
      <c r="G747" s="3" t="inlineStr">
        <is>
          <t>DEL-29.03</t>
        </is>
      </c>
      <c r="H747" s="3" t="inlineStr">
        <is>
          <t>Piping hydrostatic testing execution</t>
        </is>
      </c>
      <c r="I747" s="22" t="n">
        <v>1</v>
      </c>
      <c r="J747" s="3" t="inlineStr">
        <is>
          <t>LS</t>
        </is>
      </c>
      <c r="K747" s="39" t="n">
        <v>120000</v>
      </c>
      <c r="L747" s="35" t="n">
        <v>120000</v>
      </c>
      <c r="M747" s="3" t="inlineStr">
        <is>
          <t>CAD</t>
        </is>
      </c>
      <c r="N747" s="3" t="inlineStr">
        <is>
          <t>ALLOWANCE</t>
        </is>
      </c>
      <c r="O747" s="3" t="inlineStr">
        <is>
          <t>A-004 + A-005</t>
        </is>
      </c>
      <c r="P747" s="3" t="inlineStr">
        <is>
          <t>LOW</t>
        </is>
      </c>
      <c r="Q747" s="3" t="inlineStr">
        <is>
          <t>15-25 piping test packages; fill/pressurize/hold/drain; leak repair; punch list closeout; all disciplines</t>
        </is>
      </c>
      <c r="R747" s="3">
        <f>VLOOKUP($F747,Inputs!$D$6:$E$41,2,FALSE)</f>
        <v/>
      </c>
      <c r="S747" s="36">
        <f>VLOOKUP($E747,Inputs!$A$6:$B$13,2,FALSE)*Inputs!$B$2</f>
        <v/>
      </c>
      <c r="T747" s="35">
        <f>$L747*$S747</f>
        <v/>
      </c>
      <c r="U747" s="35">
        <f>$L747+$T747</f>
        <v/>
      </c>
    </row>
    <row r="748">
      <c r="A748" s="3" t="inlineStr">
        <is>
          <t>PKG-29::L-015</t>
        </is>
      </c>
      <c r="B748" s="3" t="inlineStr">
        <is>
          <t>PKG-29</t>
        </is>
      </c>
      <c r="C748" s="3" t="inlineStr">
        <is>
          <t>DEL-29.03</t>
        </is>
      </c>
      <c r="D748" s="3" t="inlineStr">
        <is>
          <t>L-015</t>
        </is>
      </c>
      <c r="E748" s="3" t="inlineStr">
        <is>
          <t>CD</t>
        </is>
      </c>
      <c r="F748" s="3" t="inlineStr">
        <is>
          <t>PKG-29</t>
        </is>
      </c>
      <c r="G748" s="3" t="inlineStr">
        <is>
          <t>DEL-29.03</t>
        </is>
      </c>
      <c r="H748" s="3" t="inlineStr">
        <is>
          <t>Electrical testing execution</t>
        </is>
      </c>
      <c r="I748" s="22" t="n">
        <v>1</v>
      </c>
      <c r="J748" s="3" t="inlineStr">
        <is>
          <t>LS</t>
        </is>
      </c>
      <c r="K748" s="39" t="n">
        <v>140000</v>
      </c>
      <c r="L748" s="35" t="n">
        <v>140000</v>
      </c>
      <c r="M748" s="3" t="inlineStr">
        <is>
          <t>CAD</t>
        </is>
      </c>
      <c r="N748" s="3" t="inlineStr">
        <is>
          <t>ALLOWANCE</t>
        </is>
      </c>
      <c r="O748" s="3" t="inlineStr">
        <is>
          <t>A-006 + A-007</t>
        </is>
      </c>
      <c r="P748" s="3" t="inlineStr">
        <is>
          <t>LOW</t>
        </is>
      </c>
      <c r="Q748" s="3" t="inlineStr">
        <is>
          <t>Switchgear testing; MCC testing (4 units); motor testing (25-35); cable meggering; relay testing; grounding verification</t>
        </is>
      </c>
      <c r="R748" s="3">
        <f>VLOOKUP($F748,Inputs!$D$6:$E$41,2,FALSE)</f>
        <v/>
      </c>
      <c r="S748" s="36">
        <f>VLOOKUP($E748,Inputs!$A$6:$B$13,2,FALSE)*Inputs!$B$2</f>
        <v/>
      </c>
      <c r="T748" s="35">
        <f>$L748*$S748</f>
        <v/>
      </c>
      <c r="U748" s="35">
        <f>$L748+$T748</f>
        <v/>
      </c>
    </row>
    <row r="749">
      <c r="A749" s="3" t="inlineStr">
        <is>
          <t>PKG-29::L-016</t>
        </is>
      </c>
      <c r="B749" s="3" t="inlineStr">
        <is>
          <t>PKG-29</t>
        </is>
      </c>
      <c r="C749" s="3" t="inlineStr">
        <is>
          <t>DEL-29.03</t>
        </is>
      </c>
      <c r="D749" s="3" t="inlineStr">
        <is>
          <t>L-016</t>
        </is>
      </c>
      <c r="E749" s="3" t="inlineStr">
        <is>
          <t>CD</t>
        </is>
      </c>
      <c r="F749" s="3" t="inlineStr">
        <is>
          <t>PKG-29</t>
        </is>
      </c>
      <c r="G749" s="3" t="inlineStr">
        <is>
          <t>DEL-29.03</t>
        </is>
      </c>
      <c r="H749" s="3" t="inlineStr">
        <is>
          <t>I&amp;C testing execution</t>
        </is>
      </c>
      <c r="I749" s="22" t="n">
        <v>1</v>
      </c>
      <c r="J749" s="3" t="inlineStr">
        <is>
          <t>LS</t>
        </is>
      </c>
      <c r="K749" s="39" t="n">
        <v>167000</v>
      </c>
      <c r="L749" s="35" t="n">
        <v>167000</v>
      </c>
      <c r="M749" s="3" t="inlineStr">
        <is>
          <t>CAD</t>
        </is>
      </c>
      <c r="N749" s="3" t="inlineStr">
        <is>
          <t>ALLOWANCE</t>
        </is>
      </c>
      <c r="O749" s="3" t="inlineStr">
        <is>
          <t>A-008 + A-009</t>
        </is>
      </c>
      <c r="P749" s="3" t="inlineStr">
        <is>
          <t>LOW</t>
        </is>
      </c>
      <c r="Q749" s="3" t="inlineStr">
        <is>
          <t>Instrument calibration (200-300 loops); loop checks; control valve stroking (50-75); DCS point-to-point; alarm testing</t>
        </is>
      </c>
      <c r="R749" s="3">
        <f>VLOOKUP($F749,Inputs!$D$6:$E$41,2,FALSE)</f>
        <v/>
      </c>
      <c r="S749" s="36">
        <f>VLOOKUP($E749,Inputs!$A$6:$B$13,2,FALSE)*Inputs!$B$2</f>
        <v/>
      </c>
      <c r="T749" s="35">
        <f>$L749*$S749</f>
        <v/>
      </c>
      <c r="U749" s="35">
        <f>$L749+$T749</f>
        <v/>
      </c>
    </row>
    <row r="750">
      <c r="A750" s="3" t="inlineStr">
        <is>
          <t>PKG-29::L-017</t>
        </is>
      </c>
      <c r="B750" s="3" t="inlineStr">
        <is>
          <t>PKG-29</t>
        </is>
      </c>
      <c r="C750" s="3" t="inlineStr">
        <is>
          <t>DEL-29.04</t>
        </is>
      </c>
      <c r="D750" s="3" t="inlineStr">
        <is>
          <t>L-017</t>
        </is>
      </c>
      <c r="E750" s="3" t="inlineStr">
        <is>
          <t>CD</t>
        </is>
      </c>
      <c r="F750" s="3" t="inlineStr">
        <is>
          <t>PKG-29</t>
        </is>
      </c>
      <c r="G750" s="3" t="inlineStr">
        <is>
          <t>DEL-29.04</t>
        </is>
      </c>
      <c r="H750" s="3" t="inlineStr">
        <is>
          <t>FAT attendance and execution</t>
        </is>
      </c>
      <c r="I750" s="22" t="n">
        <v>1</v>
      </c>
      <c r="J750" s="3" t="inlineStr">
        <is>
          <t>LS</t>
        </is>
      </c>
      <c r="K750" s="39" t="n">
        <v>125000</v>
      </c>
      <c r="L750" s="35" t="n">
        <v>125000</v>
      </c>
      <c r="M750" s="3" t="inlineStr">
        <is>
          <t>CAD</t>
        </is>
      </c>
      <c r="N750" s="3" t="inlineStr">
        <is>
          <t>ALLOWANCE</t>
        </is>
      </c>
      <c r="O750" s="3" t="inlineStr">
        <is>
          <t>A-010 + A-011</t>
        </is>
      </c>
      <c r="P750" s="3" t="inlineStr">
        <is>
          <t>LOW</t>
        </is>
      </c>
      <c r="Q750" s="3" t="inlineStr">
        <is>
          <t>8-12 major equipment FATs; 2-4 days each; travel/accommodation; engineering time; punch list management</t>
        </is>
      </c>
      <c r="R750" s="3">
        <f>VLOOKUP($F750,Inputs!$D$6:$E$41,2,FALSE)</f>
        <v/>
      </c>
      <c r="S750" s="36">
        <f>VLOOKUP($E750,Inputs!$A$6:$B$13,2,FALSE)*Inputs!$B$2</f>
        <v/>
      </c>
      <c r="T750" s="35">
        <f>$L750*$S750</f>
        <v/>
      </c>
      <c r="U750" s="35">
        <f>$L750+$T750</f>
        <v/>
      </c>
    </row>
    <row r="751">
      <c r="A751" s="3" t="inlineStr">
        <is>
          <t>PKG-29::L-018</t>
        </is>
      </c>
      <c r="B751" s="3" t="inlineStr">
        <is>
          <t>PKG-29</t>
        </is>
      </c>
      <c r="C751" s="3" t="inlineStr">
        <is>
          <t>DEL-29.05</t>
        </is>
      </c>
      <c r="D751" s="3" t="inlineStr">
        <is>
          <t>L-018</t>
        </is>
      </c>
      <c r="E751" s="3" t="inlineStr">
        <is>
          <t>CD</t>
        </is>
      </c>
      <c r="F751" s="3" t="inlineStr">
        <is>
          <t>PKG-29</t>
        </is>
      </c>
      <c r="G751" s="3" t="inlineStr">
        <is>
          <t>DEL-29.05</t>
        </is>
      </c>
      <c r="H751" s="3" t="inlineStr">
        <is>
          <t>SAT execution</t>
        </is>
      </c>
      <c r="I751" s="22" t="n">
        <v>1</v>
      </c>
      <c r="J751" s="3" t="inlineStr">
        <is>
          <t>LS</t>
        </is>
      </c>
      <c r="K751" s="39" t="n">
        <v>140000</v>
      </c>
      <c r="L751" s="35" t="n">
        <v>140000</v>
      </c>
      <c r="M751" s="3" t="inlineStr">
        <is>
          <t>CAD</t>
        </is>
      </c>
      <c r="N751" s="3" t="inlineStr">
        <is>
          <t>ALLOWANCE</t>
        </is>
      </c>
      <c r="O751" s="3" t="inlineStr">
        <is>
          <t>A-012 + A-013</t>
        </is>
      </c>
      <c r="P751" s="3" t="inlineStr">
        <is>
          <t>LOW</t>
        </is>
      </c>
      <c r="Q751" s="3" t="inlineStr">
        <is>
          <t>15-25 major equipment SATs; on-site acceptance testing; punch list development and closeout; handover support</t>
        </is>
      </c>
      <c r="R751" s="3">
        <f>VLOOKUP($F751,Inputs!$D$6:$E$41,2,FALSE)</f>
        <v/>
      </c>
      <c r="S751" s="36">
        <f>VLOOKUP($E751,Inputs!$A$6:$B$13,2,FALSE)*Inputs!$B$2</f>
        <v/>
      </c>
      <c r="T751" s="35">
        <f>$L751*$S751</f>
        <v/>
      </c>
      <c r="U751" s="35">
        <f>$L751+$T751</f>
        <v/>
      </c>
    </row>
    <row r="752">
      <c r="A752" s="3" t="inlineStr">
        <is>
          <t>PKG-29::L-019</t>
        </is>
      </c>
      <c r="B752" s="3" t="inlineStr">
        <is>
          <t>PKG-29</t>
        </is>
      </c>
      <c r="C752" s="3" t="n"/>
      <c r="D752" s="3" t="inlineStr">
        <is>
          <t>L-019</t>
        </is>
      </c>
      <c r="E752" s="3" t="inlineStr">
        <is>
          <t>CI</t>
        </is>
      </c>
      <c r="F752" s="3" t="inlineStr">
        <is>
          <t>PKG-29</t>
        </is>
      </c>
      <c r="G752" s="3" t="n"/>
      <c r="H752" s="3" t="inlineStr">
        <is>
          <t>Construction Indirects (factor-based)</t>
        </is>
      </c>
      <c r="I752" s="22" t="n">
        <v>1</v>
      </c>
      <c r="J752" s="3" t="inlineStr">
        <is>
          <t>LS</t>
        </is>
      </c>
      <c r="K752" s="39" t="n">
        <v>146000</v>
      </c>
      <c r="L752" s="35" t="n">
        <v>146000</v>
      </c>
      <c r="M752" s="3" t="inlineStr">
        <is>
          <t>CAD</t>
        </is>
      </c>
      <c r="N752" s="3" t="inlineStr">
        <is>
          <t>PARAMETRIC</t>
        </is>
      </c>
      <c r="O752" s="3" t="inlineStr">
        <is>
          <t>D-009 (factor=0.18)</t>
        </is>
      </c>
      <c r="P752" s="3" t="inlineStr">
        <is>
          <t>MEDIUM</t>
        </is>
      </c>
      <c r="Q752" s="3" t="inlineStr">
        <is>
          <t>CI = 0.18 x CD ($810k); includes site supervision; temporary facilities; HSE; QA/QC field inspection; per fallback typical model</t>
        </is>
      </c>
      <c r="R752" s="3">
        <f>VLOOKUP($F752,Inputs!$D$6:$E$41,2,FALSE)</f>
        <v/>
      </c>
      <c r="S752" s="36">
        <f>VLOOKUP($E752,Inputs!$A$6:$B$13,2,FALSE)*Inputs!$B$2</f>
        <v/>
      </c>
      <c r="T752" s="35">
        <f>$L752*$S752</f>
        <v/>
      </c>
      <c r="U752" s="35">
        <f>$L752+$T752</f>
        <v/>
      </c>
    </row>
    <row r="753">
      <c r="A753" s="3" t="inlineStr">
        <is>
          <t>PKG-29::L-020</t>
        </is>
      </c>
      <c r="B753" s="3" t="inlineStr">
        <is>
          <t>PKG-29</t>
        </is>
      </c>
      <c r="C753" s="3" t="n"/>
      <c r="D753" s="3" t="inlineStr">
        <is>
          <t>L-020</t>
        </is>
      </c>
      <c r="E753" s="3" t="inlineStr">
        <is>
          <t>P</t>
        </is>
      </c>
      <c r="F753" s="3" t="inlineStr">
        <is>
          <t>PKG-29</t>
        </is>
      </c>
      <c r="G753" s="3" t="n"/>
      <c r="H753" s="3" t="inlineStr">
        <is>
          <t>Procurement Services (factor-based)</t>
        </is>
      </c>
      <c r="I753" s="22" t="n">
        <v>1</v>
      </c>
      <c r="J753" s="3" t="inlineStr">
        <is>
          <t>LS</t>
        </is>
      </c>
      <c r="K753" s="39" t="n">
        <v>3000</v>
      </c>
      <c r="L753" s="35" t="n">
        <v>3000</v>
      </c>
      <c r="M753" s="3" t="inlineStr">
        <is>
          <t>CAD</t>
        </is>
      </c>
      <c r="N753" s="3" t="inlineStr">
        <is>
          <t>PARAMETRIC</t>
        </is>
      </c>
      <c r="O753" s="3" t="inlineStr">
        <is>
          <t>D-009 (factor=0.02)</t>
        </is>
      </c>
      <c r="P753" s="3" t="inlineStr">
        <is>
          <t>MEDIUM</t>
        </is>
      </c>
      <c r="Q753" s="3" t="inlineStr">
        <is>
          <t>P = 0.02 x MAT ($143k); includes test equipment sourcing; vendor coordination; expediting; per fallback typical model</t>
        </is>
      </c>
      <c r="R753" s="3">
        <f>VLOOKUP($F753,Inputs!$D$6:$E$41,2,FALSE)</f>
        <v/>
      </c>
      <c r="S753" s="36">
        <f>VLOOKUP($E753,Inputs!$A$6:$B$13,2,FALSE)*Inputs!$B$2</f>
        <v/>
      </c>
      <c r="T753" s="35">
        <f>$L753*$S753</f>
        <v/>
      </c>
      <c r="U753" s="35">
        <f>$L753+$T753</f>
        <v/>
      </c>
    </row>
    <row r="754">
      <c r="A754" s="3" t="inlineStr">
        <is>
          <t>PKG-29::L-021</t>
        </is>
      </c>
      <c r="B754" s="3" t="inlineStr">
        <is>
          <t>PKG-29</t>
        </is>
      </c>
      <c r="C754" s="3" t="n"/>
      <c r="D754" s="3" t="inlineStr">
        <is>
          <t>L-021</t>
        </is>
      </c>
      <c r="E754" s="3" t="inlineStr">
        <is>
          <t>PM</t>
        </is>
      </c>
      <c r="F754" s="3" t="inlineStr">
        <is>
          <t>PKG-29</t>
        </is>
      </c>
      <c r="G754" s="3" t="n"/>
      <c r="H754" s="3" t="inlineStr">
        <is>
          <t>EPCM/Project Management (factor-based)</t>
        </is>
      </c>
      <c r="I754" s="22" t="n">
        <v>1</v>
      </c>
      <c r="J754" s="3" t="inlineStr">
        <is>
          <t>LS</t>
        </is>
      </c>
      <c r="K754" s="39" t="n">
        <v>66000</v>
      </c>
      <c r="L754" s="35" t="n">
        <v>66000</v>
      </c>
      <c r="M754" s="3" t="inlineStr">
        <is>
          <t>CAD</t>
        </is>
      </c>
      <c r="N754" s="3" t="inlineStr">
        <is>
          <t>PARAMETRIC</t>
        </is>
      </c>
      <c r="O754" s="3" t="inlineStr">
        <is>
          <t>D-009 (factor=0.06)</t>
        </is>
      </c>
      <c r="P754" s="3" t="inlineStr">
        <is>
          <t>MEDIUM</t>
        </is>
      </c>
      <c r="Q754" s="3" t="inlineStr">
        <is>
          <t>PM = 0.06 x (CD + CI + MAT) ($1099k); includes testing coordination; schedule management; per fallback typical model</t>
        </is>
      </c>
      <c r="R754" s="3">
        <f>VLOOKUP($F754,Inputs!$D$6:$E$41,2,FALSE)</f>
        <v/>
      </c>
      <c r="S754" s="36">
        <f>VLOOKUP($E754,Inputs!$A$6:$B$13,2,FALSE)*Inputs!$B$2</f>
        <v/>
      </c>
      <c r="T754" s="35">
        <f>$L754*$S754</f>
        <v/>
      </c>
      <c r="U754" s="35">
        <f>$L754+$T754</f>
        <v/>
      </c>
    </row>
    <row r="755">
      <c r="A755" s="3" t="inlineStr">
        <is>
          <t>PKG-29::L-022</t>
        </is>
      </c>
      <c r="B755" s="3" t="inlineStr">
        <is>
          <t>PKG-29</t>
        </is>
      </c>
      <c r="C755" s="3" t="n"/>
      <c r="D755" s="3" t="inlineStr">
        <is>
          <t>L-022</t>
        </is>
      </c>
      <c r="E755" s="3" t="inlineStr">
        <is>
          <t>COM</t>
        </is>
      </c>
      <c r="F755" s="3" t="inlineStr">
        <is>
          <t>PKG-29</t>
        </is>
      </c>
      <c r="G755" s="3" t="n"/>
      <c r="H755" s="3" t="inlineStr">
        <is>
          <t>Commissioning support (factor-based)</t>
        </is>
      </c>
      <c r="I755" s="22" t="n">
        <v>1</v>
      </c>
      <c r="J755" s="3" t="inlineStr">
        <is>
          <t>LS</t>
        </is>
      </c>
      <c r="K755" s="39" t="n">
        <v>33000</v>
      </c>
      <c r="L755" s="35" t="n">
        <v>33000</v>
      </c>
      <c r="M755" s="3" t="inlineStr">
        <is>
          <t>CAD</t>
        </is>
      </c>
      <c r="N755" s="3" t="inlineStr">
        <is>
          <t>PARAMETRIC</t>
        </is>
      </c>
      <c r="O755" s="3" t="inlineStr">
        <is>
          <t>D-009 (factor=0.03)</t>
        </is>
      </c>
      <c r="P755" s="3" t="inlineStr">
        <is>
          <t>MEDIUM</t>
        </is>
      </c>
      <c r="Q755" s="3" t="inlineStr">
        <is>
          <t>COM = 0.03 x (CD + CI + MAT) ($1099k); pre-commissioning support; handover to PKG-30 Commissioning</t>
        </is>
      </c>
      <c r="R755" s="3">
        <f>VLOOKUP($F755,Inputs!$D$6:$E$41,2,FALSE)</f>
        <v/>
      </c>
      <c r="S755" s="36">
        <f>VLOOKUP($E755,Inputs!$A$6:$B$13,2,FALSE)*Inputs!$B$2</f>
        <v/>
      </c>
      <c r="T755" s="35">
        <f>$L755*$S755</f>
        <v/>
      </c>
      <c r="U755" s="35">
        <f>$L755+$T755</f>
        <v/>
      </c>
    </row>
    <row r="756">
      <c r="A756" s="3" t="inlineStr">
        <is>
          <t>PKG-30::L-001</t>
        </is>
      </c>
      <c r="B756" s="3" t="inlineStr">
        <is>
          <t>PKG-30</t>
        </is>
      </c>
      <c r="C756" s="3" t="inlineStr">
        <is>
          <t>DEL-30.01</t>
        </is>
      </c>
      <c r="D756" s="3" t="inlineStr">
        <is>
          <t>L-001</t>
        </is>
      </c>
      <c r="E756" s="3" t="inlineStr">
        <is>
          <t>E</t>
        </is>
      </c>
      <c r="F756" s="3" t="inlineStr">
        <is>
          <t>PKG-30</t>
        </is>
      </c>
      <c r="G756" s="3" t="inlineStr">
        <is>
          <t>DEL-30.01</t>
        </is>
      </c>
      <c r="H756" s="3" t="inlineStr">
        <is>
          <t>Commissioning Procedures Development - Pre-commissioning</t>
        </is>
      </c>
      <c r="I756" s="22" t="n">
        <v>10</v>
      </c>
      <c r="J756" s="3" t="inlineStr">
        <is>
          <t>EA</t>
        </is>
      </c>
      <c r="K756" s="39" t="n">
        <v>12000</v>
      </c>
      <c r="L756" s="35" t="n">
        <v>120000</v>
      </c>
      <c r="M756" s="3" t="inlineStr">
        <is>
          <t>CAD</t>
        </is>
      </c>
      <c r="N756" s="3" t="inlineStr">
        <is>
          <t>ALLOWANCE</t>
        </is>
      </c>
      <c r="O756" s="3" t="inlineStr">
        <is>
          <t>A-003</t>
        </is>
      </c>
      <c r="P756" s="3" t="inlineStr">
        <is>
          <t>LOW</t>
        </is>
      </c>
      <c r="Q756" s="3" t="inlineStr">
        <is>
          <t>10 pre-commissioning procedures @ 40 hrs ea @ $150/hr blended rate</t>
        </is>
      </c>
      <c r="R756" s="3">
        <f>VLOOKUP($F756,Inputs!$D$6:$E$41,2,FALSE)</f>
        <v/>
      </c>
      <c r="S756" s="36">
        <f>VLOOKUP($E756,Inputs!$A$6:$B$13,2,FALSE)*Inputs!$B$2</f>
        <v/>
      </c>
      <c r="T756" s="35">
        <f>$L756*$S756</f>
        <v/>
      </c>
      <c r="U756" s="35">
        <f>$L756+$T756</f>
        <v/>
      </c>
    </row>
    <row r="757">
      <c r="A757" s="3" t="inlineStr">
        <is>
          <t>PKG-30::L-002</t>
        </is>
      </c>
      <c r="B757" s="3" t="inlineStr">
        <is>
          <t>PKG-30</t>
        </is>
      </c>
      <c r="C757" s="3" t="inlineStr">
        <is>
          <t>DEL-30.01</t>
        </is>
      </c>
      <c r="D757" s="3" t="inlineStr">
        <is>
          <t>L-002</t>
        </is>
      </c>
      <c r="E757" s="3" t="inlineStr">
        <is>
          <t>E</t>
        </is>
      </c>
      <c r="F757" s="3" t="inlineStr">
        <is>
          <t>PKG-30</t>
        </is>
      </c>
      <c r="G757" s="3" t="inlineStr">
        <is>
          <t>DEL-30.01</t>
        </is>
      </c>
      <c r="H757" s="3" t="inlineStr">
        <is>
          <t>Commissioning Procedures Development - System Commissioning</t>
        </is>
      </c>
      <c r="I757" s="22" t="n">
        <v>15</v>
      </c>
      <c r="J757" s="3" t="inlineStr">
        <is>
          <t>EA</t>
        </is>
      </c>
      <c r="K757" s="39" t="n">
        <v>12000</v>
      </c>
      <c r="L757" s="35" t="n">
        <v>180000</v>
      </c>
      <c r="M757" s="3" t="inlineStr">
        <is>
          <t>CAD</t>
        </is>
      </c>
      <c r="N757" s="3" t="inlineStr">
        <is>
          <t>ALLOWANCE</t>
        </is>
      </c>
      <c r="O757" s="3" t="inlineStr">
        <is>
          <t>A-003</t>
        </is>
      </c>
      <c r="P757" s="3" t="inlineStr">
        <is>
          <t>LOW</t>
        </is>
      </c>
      <c r="Q757" s="3" t="inlineStr">
        <is>
          <t>15 system commissioning procedures @ 40 hrs ea @ $150/hr blended rate</t>
        </is>
      </c>
      <c r="R757" s="3">
        <f>VLOOKUP($F757,Inputs!$D$6:$E$41,2,FALSE)</f>
        <v/>
      </c>
      <c r="S757" s="36">
        <f>VLOOKUP($E757,Inputs!$A$6:$B$13,2,FALSE)*Inputs!$B$2</f>
        <v/>
      </c>
      <c r="T757" s="35">
        <f>$L757*$S757</f>
        <v/>
      </c>
      <c r="U757" s="35">
        <f>$L757+$T757</f>
        <v/>
      </c>
    </row>
    <row r="758">
      <c r="A758" s="3" t="inlineStr">
        <is>
          <t>PKG-30::L-003</t>
        </is>
      </c>
      <c r="B758" s="3" t="inlineStr">
        <is>
          <t>PKG-30</t>
        </is>
      </c>
      <c r="C758" s="3" t="inlineStr">
        <is>
          <t>DEL-30.01</t>
        </is>
      </c>
      <c r="D758" s="3" t="inlineStr">
        <is>
          <t>L-003</t>
        </is>
      </c>
      <c r="E758" s="3" t="inlineStr">
        <is>
          <t>E</t>
        </is>
      </c>
      <c r="F758" s="3" t="inlineStr">
        <is>
          <t>PKG-30</t>
        </is>
      </c>
      <c r="G758" s="3" t="inlineStr">
        <is>
          <t>DEL-30.01</t>
        </is>
      </c>
      <c r="H758" s="3" t="inlineStr">
        <is>
          <t>Commissioning Procedures Development - Start-up</t>
        </is>
      </c>
      <c r="I758" s="22" t="n">
        <v>5</v>
      </c>
      <c r="J758" s="3" t="inlineStr">
        <is>
          <t>EA</t>
        </is>
      </c>
      <c r="K758" s="39" t="n">
        <v>10000</v>
      </c>
      <c r="L758" s="35" t="n">
        <v>50000</v>
      </c>
      <c r="M758" s="3" t="inlineStr">
        <is>
          <t>CAD</t>
        </is>
      </c>
      <c r="N758" s="3" t="inlineStr">
        <is>
          <t>ALLOWANCE</t>
        </is>
      </c>
      <c r="O758" s="3" t="inlineStr">
        <is>
          <t>A-003</t>
        </is>
      </c>
      <c r="P758" s="3" t="inlineStr">
        <is>
          <t>LOW</t>
        </is>
      </c>
      <c r="Q758" s="3" t="inlineStr">
        <is>
          <t>5 start-up procedures @ 40 hrs ea @ $125/hr blended rate</t>
        </is>
      </c>
      <c r="R758" s="3">
        <f>VLOOKUP($F758,Inputs!$D$6:$E$41,2,FALSE)</f>
        <v/>
      </c>
      <c r="S758" s="36">
        <f>VLOOKUP($E758,Inputs!$A$6:$B$13,2,FALSE)*Inputs!$B$2</f>
        <v/>
      </c>
      <c r="T758" s="35">
        <f>$L758*$S758</f>
        <v/>
      </c>
      <c r="U758" s="35">
        <f>$L758+$T758</f>
        <v/>
      </c>
    </row>
    <row r="759">
      <c r="A759" s="3" t="inlineStr">
        <is>
          <t>PKG-30::L-004</t>
        </is>
      </c>
      <c r="B759" s="3" t="inlineStr">
        <is>
          <t>PKG-30</t>
        </is>
      </c>
      <c r="C759" s="3" t="inlineStr">
        <is>
          <t>DEL-30.02</t>
        </is>
      </c>
      <c r="D759" s="3" t="inlineStr">
        <is>
          <t>L-004</t>
        </is>
      </c>
      <c r="E759" s="3" t="inlineStr">
        <is>
          <t>E</t>
        </is>
      </c>
      <c r="F759" s="3" t="inlineStr">
        <is>
          <t>PKG-30</t>
        </is>
      </c>
      <c r="G759" s="3" t="inlineStr">
        <is>
          <t>DEL-30.02</t>
        </is>
      </c>
      <c r="H759" s="3" t="inlineStr">
        <is>
          <t>Commissioning Plan Document Development</t>
        </is>
      </c>
      <c r="I759" s="22" t="n">
        <v>1</v>
      </c>
      <c r="J759" s="3" t="inlineStr">
        <is>
          <t>LS</t>
        </is>
      </c>
      <c r="K759" s="39" t="n">
        <v>35000</v>
      </c>
      <c r="L759" s="35" t="n">
        <v>35000</v>
      </c>
      <c r="M759" s="3" t="inlineStr">
        <is>
          <t>CAD</t>
        </is>
      </c>
      <c r="N759" s="3" t="inlineStr">
        <is>
          <t>ALLOWANCE</t>
        </is>
      </c>
      <c r="O759" s="3" t="inlineStr">
        <is>
          <t>A-004</t>
        </is>
      </c>
      <c r="P759" s="3" t="inlineStr">
        <is>
          <t>LOW</t>
        </is>
      </c>
      <c r="Q759" s="3" t="inlineStr">
        <is>
          <t>Commissioning plan document and schedule development; ~240 hrs @ $145/hr blended rate</t>
        </is>
      </c>
      <c r="R759" s="3">
        <f>VLOOKUP($F759,Inputs!$D$6:$E$41,2,FALSE)</f>
        <v/>
      </c>
      <c r="S759" s="36">
        <f>VLOOKUP($E759,Inputs!$A$6:$B$13,2,FALSE)*Inputs!$B$2</f>
        <v/>
      </c>
      <c r="T759" s="35">
        <f>$L759*$S759</f>
        <v/>
      </c>
      <c r="U759" s="35">
        <f>$L759+$T759</f>
        <v/>
      </c>
    </row>
    <row r="760">
      <c r="A760" s="3" t="inlineStr">
        <is>
          <t>PKG-30::L-005</t>
        </is>
      </c>
      <c r="B760" s="3" t="inlineStr">
        <is>
          <t>PKG-30</t>
        </is>
      </c>
      <c r="C760" s="3" t="n"/>
      <c r="D760" s="3" t="inlineStr">
        <is>
          <t>L-005</t>
        </is>
      </c>
      <c r="E760" s="3" t="inlineStr">
        <is>
          <t>PM</t>
        </is>
      </c>
      <c r="F760" s="3" t="inlineStr">
        <is>
          <t>PKG-30</t>
        </is>
      </c>
      <c r="G760" s="3" t="n"/>
      <c r="H760" s="3" t="inlineStr">
        <is>
          <t>Project Management - Commissioning Phase</t>
        </is>
      </c>
      <c r="I760" s="22" t="n">
        <v>30</v>
      </c>
      <c r="J760" s="3" t="inlineStr">
        <is>
          <t>WK</t>
        </is>
      </c>
      <c r="K760" s="39" t="n">
        <v>7000</v>
      </c>
      <c r="L760" s="35" t="n">
        <v>210000</v>
      </c>
      <c r="M760" s="3" t="inlineStr">
        <is>
          <t>CAD</t>
        </is>
      </c>
      <c r="N760" s="3" t="inlineStr">
        <is>
          <t>PARAMETRIC</t>
        </is>
      </c>
      <c r="O760" s="3" t="inlineStr">
        <is>
          <t>D-010</t>
        </is>
      </c>
      <c r="P760" s="3" t="inlineStr">
        <is>
          <t>MEDIUM</t>
        </is>
      </c>
      <c r="Q760" s="3" t="inlineStr">
        <is>
          <t>PM allocation @ 6% of (CD+CI+MAT); 30 weeks commissioning duration</t>
        </is>
      </c>
      <c r="R760" s="3">
        <f>VLOOKUP($F760,Inputs!$D$6:$E$41,2,FALSE)</f>
        <v/>
      </c>
      <c r="S760" s="36">
        <f>VLOOKUP($E760,Inputs!$A$6:$B$13,2,FALSE)*Inputs!$B$2</f>
        <v/>
      </c>
      <c r="T760" s="35">
        <f>$L760*$S760</f>
        <v/>
      </c>
      <c r="U760" s="35">
        <f>$L760+$T760</f>
        <v/>
      </c>
    </row>
    <row r="761">
      <c r="A761" s="3" t="inlineStr">
        <is>
          <t>PKG-30::L-006</t>
        </is>
      </c>
      <c r="B761" s="3" t="inlineStr">
        <is>
          <t>PKG-30</t>
        </is>
      </c>
      <c r="C761" s="3" t="n"/>
      <c r="D761" s="3" t="inlineStr">
        <is>
          <t>L-006</t>
        </is>
      </c>
      <c r="E761" s="3" t="inlineStr">
        <is>
          <t>P</t>
        </is>
      </c>
      <c r="F761" s="3" t="inlineStr">
        <is>
          <t>PKG-30</t>
        </is>
      </c>
      <c r="G761" s="3" t="n"/>
      <c r="H761" s="3" t="inlineStr">
        <is>
          <t>Procurement Services - Test Equipment &amp; Consumables</t>
        </is>
      </c>
      <c r="I761" s="22" t="n">
        <v>1</v>
      </c>
      <c r="J761" s="3" t="inlineStr">
        <is>
          <t>LS</t>
        </is>
      </c>
      <c r="K761" s="39" t="n">
        <v>52000</v>
      </c>
      <c r="L761" s="35" t="n">
        <v>52000</v>
      </c>
      <c r="M761" s="3" t="inlineStr">
        <is>
          <t>CAD</t>
        </is>
      </c>
      <c r="N761" s="3" t="inlineStr">
        <is>
          <t>PARAMETRIC</t>
        </is>
      </c>
      <c r="O761" s="3" t="inlineStr">
        <is>
          <t>D-011</t>
        </is>
      </c>
      <c r="P761" s="3" t="inlineStr">
        <is>
          <t>MEDIUM</t>
        </is>
      </c>
      <c r="Q761" s="3" t="inlineStr">
        <is>
          <t>Procurement allocation @ 2% of (MAT+vendor equipment); test equipment procurement coordination</t>
        </is>
      </c>
      <c r="R761" s="3">
        <f>VLOOKUP($F761,Inputs!$D$6:$E$41,2,FALSE)</f>
        <v/>
      </c>
      <c r="S761" s="36">
        <f>VLOOKUP($E761,Inputs!$A$6:$B$13,2,FALSE)*Inputs!$B$2</f>
        <v/>
      </c>
      <c r="T761" s="35">
        <f>$L761*$S761</f>
        <v/>
      </c>
      <c r="U761" s="35">
        <f>$L761+$T761</f>
        <v/>
      </c>
    </row>
    <row r="762">
      <c r="A762" s="3" t="inlineStr">
        <is>
          <t>PKG-30::L-007</t>
        </is>
      </c>
      <c r="B762" s="3" t="inlineStr">
        <is>
          <t>PKG-30</t>
        </is>
      </c>
      <c r="C762" s="3" t="inlineStr">
        <is>
          <t>DEL-30.03</t>
        </is>
      </c>
      <c r="D762" s="3" t="inlineStr">
        <is>
          <t>L-007</t>
        </is>
      </c>
      <c r="E762" s="3" t="inlineStr">
        <is>
          <t>MAT</t>
        </is>
      </c>
      <c r="F762" s="3" t="inlineStr">
        <is>
          <t>PKG-30</t>
        </is>
      </c>
      <c r="G762" s="3" t="inlineStr">
        <is>
          <t>DEL-30.03</t>
        </is>
      </c>
      <c r="H762" s="3" t="inlineStr">
        <is>
          <t>Commissioning Consumables - Flushing &amp; Cleaning</t>
        </is>
      </c>
      <c r="I762" s="22" t="n">
        <v>1</v>
      </c>
      <c r="J762" s="3" t="inlineStr">
        <is>
          <t>LS</t>
        </is>
      </c>
      <c r="K762" s="39" t="n">
        <v>85000</v>
      </c>
      <c r="L762" s="35" t="n">
        <v>85000</v>
      </c>
      <c r="M762" s="3" t="inlineStr">
        <is>
          <t>CAD</t>
        </is>
      </c>
      <c r="N762" s="3" t="inlineStr">
        <is>
          <t>ALLOWANCE</t>
        </is>
      </c>
      <c r="O762" s="3" t="inlineStr">
        <is>
          <t>A-022</t>
        </is>
      </c>
      <c r="P762" s="3" t="inlineStr">
        <is>
          <t>LOW</t>
        </is>
      </c>
      <c r="Q762" s="3" t="inlineStr">
        <is>
          <t>Flushing fluids, cleaning chemicals, disposal for piping and tank systems</t>
        </is>
      </c>
      <c r="R762" s="3">
        <f>VLOOKUP($F762,Inputs!$D$6:$E$41,2,FALSE)</f>
        <v/>
      </c>
      <c r="S762" s="36">
        <f>VLOOKUP($E762,Inputs!$A$6:$B$13,2,FALSE)*Inputs!$B$2</f>
        <v/>
      </c>
      <c r="T762" s="35">
        <f>$L762*$S762</f>
        <v/>
      </c>
      <c r="U762" s="35">
        <f>$L762+$T762</f>
        <v/>
      </c>
    </row>
    <row r="763">
      <c r="A763" s="3" t="inlineStr">
        <is>
          <t>PKG-30::L-008</t>
        </is>
      </c>
      <c r="B763" s="3" t="inlineStr">
        <is>
          <t>PKG-30</t>
        </is>
      </c>
      <c r="C763" s="3" t="inlineStr">
        <is>
          <t>DEL-30.03</t>
        </is>
      </c>
      <c r="D763" s="3" t="inlineStr">
        <is>
          <t>L-008</t>
        </is>
      </c>
      <c r="E763" s="3" t="inlineStr">
        <is>
          <t>MAT</t>
        </is>
      </c>
      <c r="F763" s="3" t="inlineStr">
        <is>
          <t>PKG-30</t>
        </is>
      </c>
      <c r="G763" s="3" t="inlineStr">
        <is>
          <t>DEL-30.03</t>
        </is>
      </c>
      <c r="H763" s="3" t="inlineStr">
        <is>
          <t>Hydrotest Water Treatment &amp; Disposal</t>
        </is>
      </c>
      <c r="I763" s="22" t="n">
        <v>1</v>
      </c>
      <c r="J763" s="3" t="inlineStr">
        <is>
          <t>LS</t>
        </is>
      </c>
      <c r="K763" s="39" t="n">
        <v>95000</v>
      </c>
      <c r="L763" s="35" t="n">
        <v>95000</v>
      </c>
      <c r="M763" s="3" t="inlineStr">
        <is>
          <t>CAD</t>
        </is>
      </c>
      <c r="N763" s="3" t="inlineStr">
        <is>
          <t>ALLOWANCE</t>
        </is>
      </c>
      <c r="O763" s="3" t="inlineStr">
        <is>
          <t>A-012</t>
        </is>
      </c>
      <c r="P763" s="3" t="inlineStr">
        <is>
          <t>LOW</t>
        </is>
      </c>
      <c r="Q763" s="3" t="inlineStr">
        <is>
          <t>Tank hydrotest water treatment and discharge; ~45,000 m³ total volume</t>
        </is>
      </c>
      <c r="R763" s="3">
        <f>VLOOKUP($F763,Inputs!$D$6:$E$41,2,FALSE)</f>
        <v/>
      </c>
      <c r="S763" s="36">
        <f>VLOOKUP($E763,Inputs!$A$6:$B$13,2,FALSE)*Inputs!$B$2</f>
        <v/>
      </c>
      <c r="T763" s="35">
        <f>$L763*$S763</f>
        <v/>
      </c>
      <c r="U763" s="35">
        <f>$L763+$T763</f>
        <v/>
      </c>
    </row>
    <row r="764">
      <c r="A764" s="3" t="inlineStr">
        <is>
          <t>PKG-30::L-009</t>
        </is>
      </c>
      <c r="B764" s="3" t="inlineStr">
        <is>
          <t>PKG-30</t>
        </is>
      </c>
      <c r="C764" s="3" t="inlineStr">
        <is>
          <t>DEL-30.03</t>
        </is>
      </c>
      <c r="D764" s="3" t="inlineStr">
        <is>
          <t>L-009</t>
        </is>
      </c>
      <c r="E764" s="3" t="inlineStr">
        <is>
          <t>MAT</t>
        </is>
      </c>
      <c r="F764" s="3" t="inlineStr">
        <is>
          <t>PKG-30</t>
        </is>
      </c>
      <c r="G764" s="3" t="inlineStr">
        <is>
          <t>DEL-30.03</t>
        </is>
      </c>
      <c r="H764" s="3" t="inlineStr">
        <is>
          <t>Nitrogen Purging &amp; Drying Consumables</t>
        </is>
      </c>
      <c r="I764" s="22" t="n">
        <v>1</v>
      </c>
      <c r="J764" s="3" t="inlineStr">
        <is>
          <t>LS</t>
        </is>
      </c>
      <c r="K764" s="39" t="n">
        <v>35000</v>
      </c>
      <c r="L764" s="35" t="n">
        <v>35000</v>
      </c>
      <c r="M764" s="3" t="inlineStr">
        <is>
          <t>CAD</t>
        </is>
      </c>
      <c r="N764" s="3" t="inlineStr">
        <is>
          <t>ALLOWANCE</t>
        </is>
      </c>
      <c r="O764" s="3" t="inlineStr">
        <is>
          <t>A-022</t>
        </is>
      </c>
      <c r="P764" s="3" t="inlineStr">
        <is>
          <t>LOW</t>
        </is>
      </c>
      <c r="Q764" s="3" t="inlineStr">
        <is>
          <t>Nitrogen supply for purging and drying of piping systems</t>
        </is>
      </c>
      <c r="R764" s="3">
        <f>VLOOKUP($F764,Inputs!$D$6:$E$41,2,FALSE)</f>
        <v/>
      </c>
      <c r="S764" s="36">
        <f>VLOOKUP($E764,Inputs!$A$6:$B$13,2,FALSE)*Inputs!$B$2</f>
        <v/>
      </c>
      <c r="T764" s="35">
        <f>$L764*$S764</f>
        <v/>
      </c>
      <c r="U764" s="35">
        <f>$L764+$T764</f>
        <v/>
      </c>
    </row>
    <row r="765">
      <c r="A765" s="3" t="inlineStr">
        <is>
          <t>PKG-30::L-010</t>
        </is>
      </c>
      <c r="B765" s="3" t="inlineStr">
        <is>
          <t>PKG-30</t>
        </is>
      </c>
      <c r="C765" s="3" t="inlineStr">
        <is>
          <t>DEL-30.04</t>
        </is>
      </c>
      <c r="D765" s="3" t="inlineStr">
        <is>
          <t>L-010</t>
        </is>
      </c>
      <c r="E765" s="3" t="inlineStr">
        <is>
          <t>MAT</t>
        </is>
      </c>
      <c r="F765" s="3" t="inlineStr">
        <is>
          <t>PKG-30</t>
        </is>
      </c>
      <c r="G765" s="3" t="inlineStr">
        <is>
          <t>DEL-30.04</t>
        </is>
      </c>
      <c r="H765" s="3" t="inlineStr">
        <is>
          <t>Commissioning Test Equipment Rental</t>
        </is>
      </c>
      <c r="I765" s="22" t="n">
        <v>6</v>
      </c>
      <c r="J765" s="3" t="inlineStr">
        <is>
          <t>MO</t>
        </is>
      </c>
      <c r="K765" s="39" t="n">
        <v>30000</v>
      </c>
      <c r="L765" s="35" t="n">
        <v>180000</v>
      </c>
      <c r="M765" s="3" t="inlineStr">
        <is>
          <t>CAD</t>
        </is>
      </c>
      <c r="N765" s="3" t="inlineStr">
        <is>
          <t>ALLOWANCE</t>
        </is>
      </c>
      <c r="O765" s="3" t="inlineStr">
        <is>
          <t>A-022</t>
        </is>
      </c>
      <c r="P765" s="3" t="inlineStr">
        <is>
          <t>LOW</t>
        </is>
      </c>
      <c r="Q765" s="3" t="inlineStr">
        <is>
          <t>Multimeters, megohmmeters, vibration analyzers, loop calibrators, power quality analyzers; 6-month rental</t>
        </is>
      </c>
      <c r="R765" s="3">
        <f>VLOOKUP($F765,Inputs!$D$6:$E$41,2,FALSE)</f>
        <v/>
      </c>
      <c r="S765" s="36">
        <f>VLOOKUP($E765,Inputs!$A$6:$B$13,2,FALSE)*Inputs!$B$2</f>
        <v/>
      </c>
      <c r="T765" s="35">
        <f>$L765*$S765</f>
        <v/>
      </c>
      <c r="U765" s="35">
        <f>$L765+$T765</f>
        <v/>
      </c>
    </row>
    <row r="766">
      <c r="A766" s="3" t="inlineStr">
        <is>
          <t>PKG-30::L-011</t>
        </is>
      </c>
      <c r="B766" s="3" t="inlineStr">
        <is>
          <t>PKG-30</t>
        </is>
      </c>
      <c r="C766" s="3" t="inlineStr">
        <is>
          <t>DEL-30.04</t>
        </is>
      </c>
      <c r="D766" s="3" t="inlineStr">
        <is>
          <t>L-011</t>
        </is>
      </c>
      <c r="E766" s="3" t="inlineStr">
        <is>
          <t>MAT</t>
        </is>
      </c>
      <c r="F766" s="3" t="inlineStr">
        <is>
          <t>PKG-30</t>
        </is>
      </c>
      <c r="G766" s="3" t="inlineStr">
        <is>
          <t>DEL-30.04</t>
        </is>
      </c>
      <c r="H766" s="3" t="inlineStr">
        <is>
          <t>Metering System Proving Equipment Rental</t>
        </is>
      </c>
      <c r="I766" s="22" t="n">
        <v>1</v>
      </c>
      <c r="J766" s="3" t="inlineStr">
        <is>
          <t>LS</t>
        </is>
      </c>
      <c r="K766" s="39" t="n">
        <v>45000</v>
      </c>
      <c r="L766" s="35" t="n">
        <v>45000</v>
      </c>
      <c r="M766" s="3" t="inlineStr">
        <is>
          <t>CAD</t>
        </is>
      </c>
      <c r="N766" s="3" t="inlineStr">
        <is>
          <t>ALLOWANCE</t>
        </is>
      </c>
      <c r="O766" s="3" t="inlineStr">
        <is>
          <t>A-018</t>
        </is>
      </c>
      <c r="P766" s="3" t="inlineStr">
        <is>
          <t>LOW</t>
        </is>
      </c>
      <c r="Q766" s="3" t="inlineStr">
        <is>
          <t>Specialized custody transfer meter proving equipment rental; prover and master meters</t>
        </is>
      </c>
      <c r="R766" s="3">
        <f>VLOOKUP($F766,Inputs!$D$6:$E$41,2,FALSE)</f>
        <v/>
      </c>
      <c r="S766" s="36">
        <f>VLOOKUP($E766,Inputs!$A$6:$B$13,2,FALSE)*Inputs!$B$2</f>
        <v/>
      </c>
      <c r="T766" s="35">
        <f>$L766*$S766</f>
        <v/>
      </c>
      <c r="U766" s="35">
        <f>$L766+$T766</f>
        <v/>
      </c>
    </row>
    <row r="767">
      <c r="A767" s="3" t="inlineStr">
        <is>
          <t>PKG-30::L-012</t>
        </is>
      </c>
      <c r="B767" s="3" t="inlineStr">
        <is>
          <t>PKG-30</t>
        </is>
      </c>
      <c r="C767" s="3" t="n"/>
      <c r="D767" s="3" t="inlineStr">
        <is>
          <t>L-012</t>
        </is>
      </c>
      <c r="E767" s="3" t="inlineStr">
        <is>
          <t>MAT</t>
        </is>
      </c>
      <c r="F767" s="3" t="inlineStr">
        <is>
          <t>PKG-30</t>
        </is>
      </c>
      <c r="G767" s="3" t="n"/>
      <c r="H767" s="3" t="inlineStr">
        <is>
          <t>Miscellaneous Commissioning Supplies</t>
        </is>
      </c>
      <c r="I767" s="22" t="n">
        <v>1</v>
      </c>
      <c r="J767" s="3" t="inlineStr">
        <is>
          <t>LS</t>
        </is>
      </c>
      <c r="K767" s="39" t="n">
        <v>25000</v>
      </c>
      <c r="L767" s="35" t="n">
        <v>25000</v>
      </c>
      <c r="M767" s="3" t="inlineStr">
        <is>
          <t>CAD</t>
        </is>
      </c>
      <c r="N767" s="3" t="inlineStr">
        <is>
          <t>ALLOWANCE</t>
        </is>
      </c>
      <c r="O767" s="3" t="inlineStr">
        <is>
          <t>A-022</t>
        </is>
      </c>
      <c r="P767" s="3" t="inlineStr">
        <is>
          <t>LOW</t>
        </is>
      </c>
      <c r="Q767" s="3" t="inlineStr">
        <is>
          <t>General commissioning supplies, tools, safety equipment, temporary instrumentation</t>
        </is>
      </c>
      <c r="R767" s="3">
        <f>VLOOKUP($F767,Inputs!$D$6:$E$41,2,FALSE)</f>
        <v/>
      </c>
      <c r="S767" s="36">
        <f>VLOOKUP($E767,Inputs!$A$6:$B$13,2,FALSE)*Inputs!$B$2</f>
        <v/>
      </c>
      <c r="T767" s="35">
        <f>$L767*$S767</f>
        <v/>
      </c>
      <c r="U767" s="35">
        <f>$L767+$T767</f>
        <v/>
      </c>
    </row>
    <row r="768">
      <c r="A768" s="3" t="inlineStr">
        <is>
          <t>PKG-30::L-013</t>
        </is>
      </c>
      <c r="B768" s="3" t="inlineStr">
        <is>
          <t>PKG-30</t>
        </is>
      </c>
      <c r="C768" s="3" t="inlineStr">
        <is>
          <t>DEL-30.02</t>
        </is>
      </c>
      <c r="D768" s="3" t="inlineStr">
        <is>
          <t>L-013</t>
        </is>
      </c>
      <c r="E768" s="3" t="inlineStr">
        <is>
          <t>CD</t>
        </is>
      </c>
      <c r="F768" s="3" t="inlineStr">
        <is>
          <t>PKG-30</t>
        </is>
      </c>
      <c r="G768" s="3" t="inlineStr">
        <is>
          <t>DEL-30.02</t>
        </is>
      </c>
      <c r="H768" s="3" t="inlineStr">
        <is>
          <t>Commissioning Manager</t>
        </is>
      </c>
      <c r="I768" s="22" t="n">
        <v>30</v>
      </c>
      <c r="J768" s="3" t="inlineStr">
        <is>
          <t>WK</t>
        </is>
      </c>
      <c r="K768" s="39" t="n">
        <v>5400</v>
      </c>
      <c r="L768" s="35" t="n">
        <v>162000</v>
      </c>
      <c r="M768" s="3" t="inlineStr">
        <is>
          <t>CAD</t>
        </is>
      </c>
      <c r="N768" s="3" t="inlineStr">
        <is>
          <t>RATE_TABLE</t>
        </is>
      </c>
      <c r="O768" s="3" t="inlineStr">
        <is>
          <t>A-020</t>
        </is>
      </c>
      <c r="P768" s="3" t="inlineStr">
        <is>
          <t>MEDIUM</t>
        </is>
      </c>
      <c r="Q768" s="3" t="inlineStr">
        <is>
          <t>1 FTE × 30 weeks × 40 hrs/wk × $135/hr fully burdened</t>
        </is>
      </c>
      <c r="R768" s="3">
        <f>VLOOKUP($F768,Inputs!$D$6:$E$41,2,FALSE)</f>
        <v/>
      </c>
      <c r="S768" s="36">
        <f>VLOOKUP($E768,Inputs!$A$6:$B$13,2,FALSE)*Inputs!$B$2</f>
        <v/>
      </c>
      <c r="T768" s="35">
        <f>$L768*$S768</f>
        <v/>
      </c>
      <c r="U768" s="35">
        <f>$L768+$T768</f>
        <v/>
      </c>
    </row>
    <row r="769">
      <c r="A769" s="3" t="inlineStr">
        <is>
          <t>PKG-30::L-014</t>
        </is>
      </c>
      <c r="B769" s="3" t="inlineStr">
        <is>
          <t>PKG-30</t>
        </is>
      </c>
      <c r="C769" s="3" t="inlineStr">
        <is>
          <t>DEL-30.04</t>
        </is>
      </c>
      <c r="D769" s="3" t="inlineStr">
        <is>
          <t>L-014</t>
        </is>
      </c>
      <c r="E769" s="3" t="inlineStr">
        <is>
          <t>CD</t>
        </is>
      </c>
      <c r="F769" s="3" t="inlineStr">
        <is>
          <t>PKG-30</t>
        </is>
      </c>
      <c r="G769" s="3" t="inlineStr">
        <is>
          <t>DEL-30.04</t>
        </is>
      </c>
      <c r="H769" s="3" t="inlineStr">
        <is>
          <t>Mechanical Commissioning Lead</t>
        </is>
      </c>
      <c r="I769" s="22" t="n">
        <v>24</v>
      </c>
      <c r="J769" s="3" t="inlineStr">
        <is>
          <t>WK</t>
        </is>
      </c>
      <c r="K769" s="39" t="n">
        <v>4600</v>
      </c>
      <c r="L769" s="35" t="n">
        <v>110400</v>
      </c>
      <c r="M769" s="3" t="inlineStr">
        <is>
          <t>CAD</t>
        </is>
      </c>
      <c r="N769" s="3" t="inlineStr">
        <is>
          <t>RATE_TABLE</t>
        </is>
      </c>
      <c r="O769" s="3" t="inlineStr">
        <is>
          <t>A-020</t>
        </is>
      </c>
      <c r="P769" s="3" t="inlineStr">
        <is>
          <t>MEDIUM</t>
        </is>
      </c>
      <c r="Q769" s="3" t="inlineStr">
        <is>
          <t>1 FTE × 24 weeks × 40 hrs/wk × $115/hr fully burdened</t>
        </is>
      </c>
      <c r="R769" s="3">
        <f>VLOOKUP($F769,Inputs!$D$6:$E$41,2,FALSE)</f>
        <v/>
      </c>
      <c r="S769" s="36">
        <f>VLOOKUP($E769,Inputs!$A$6:$B$13,2,FALSE)*Inputs!$B$2</f>
        <v/>
      </c>
      <c r="T769" s="35">
        <f>$L769*$S769</f>
        <v/>
      </c>
      <c r="U769" s="35">
        <f>$L769+$T769</f>
        <v/>
      </c>
    </row>
    <row r="770">
      <c r="A770" s="3" t="inlineStr">
        <is>
          <t>PKG-30::L-015</t>
        </is>
      </c>
      <c r="B770" s="3" t="inlineStr">
        <is>
          <t>PKG-30</t>
        </is>
      </c>
      <c r="C770" s="3" t="inlineStr">
        <is>
          <t>DEL-30.04</t>
        </is>
      </c>
      <c r="D770" s="3" t="inlineStr">
        <is>
          <t>L-015</t>
        </is>
      </c>
      <c r="E770" s="3" t="inlineStr">
        <is>
          <t>CD</t>
        </is>
      </c>
      <c r="F770" s="3" t="inlineStr">
        <is>
          <t>PKG-30</t>
        </is>
      </c>
      <c r="G770" s="3" t="inlineStr">
        <is>
          <t>DEL-30.04</t>
        </is>
      </c>
      <c r="H770" s="3" t="inlineStr">
        <is>
          <t>Electrical Commissioning Lead</t>
        </is>
      </c>
      <c r="I770" s="22" t="n">
        <v>20</v>
      </c>
      <c r="J770" s="3" t="inlineStr">
        <is>
          <t>WK</t>
        </is>
      </c>
      <c r="K770" s="39" t="n">
        <v>4600</v>
      </c>
      <c r="L770" s="35" t="n">
        <v>92000</v>
      </c>
      <c r="M770" s="3" t="inlineStr">
        <is>
          <t>CAD</t>
        </is>
      </c>
      <c r="N770" s="3" t="inlineStr">
        <is>
          <t>RATE_TABLE</t>
        </is>
      </c>
      <c r="O770" s="3" t="inlineStr">
        <is>
          <t>A-020</t>
        </is>
      </c>
      <c r="P770" s="3" t="inlineStr">
        <is>
          <t>MEDIUM</t>
        </is>
      </c>
      <c r="Q770" s="3" t="inlineStr">
        <is>
          <t>1 FTE × 20 weeks × 40 hrs/wk × $115/hr fully burdened</t>
        </is>
      </c>
      <c r="R770" s="3">
        <f>VLOOKUP($F770,Inputs!$D$6:$E$41,2,FALSE)</f>
        <v/>
      </c>
      <c r="S770" s="36">
        <f>VLOOKUP($E770,Inputs!$A$6:$B$13,2,FALSE)*Inputs!$B$2</f>
        <v/>
      </c>
      <c r="T770" s="35">
        <f>$L770*$S770</f>
        <v/>
      </c>
      <c r="U770" s="35">
        <f>$L770+$T770</f>
        <v/>
      </c>
    </row>
    <row r="771">
      <c r="A771" s="3" t="inlineStr">
        <is>
          <t>PKG-30::L-016</t>
        </is>
      </c>
      <c r="B771" s="3" t="inlineStr">
        <is>
          <t>PKG-30</t>
        </is>
      </c>
      <c r="C771" s="3" t="inlineStr">
        <is>
          <t>DEL-30.04</t>
        </is>
      </c>
      <c r="D771" s="3" t="inlineStr">
        <is>
          <t>L-016</t>
        </is>
      </c>
      <c r="E771" s="3" t="inlineStr">
        <is>
          <t>CD</t>
        </is>
      </c>
      <c r="F771" s="3" t="inlineStr">
        <is>
          <t>PKG-30</t>
        </is>
      </c>
      <c r="G771" s="3" t="inlineStr">
        <is>
          <t>DEL-30.04</t>
        </is>
      </c>
      <c r="H771" s="3" t="inlineStr">
        <is>
          <t>I&amp;C Commissioning Lead</t>
        </is>
      </c>
      <c r="I771" s="22" t="n">
        <v>22</v>
      </c>
      <c r="J771" s="3" t="inlineStr">
        <is>
          <t>WK</t>
        </is>
      </c>
      <c r="K771" s="39" t="n">
        <v>4600</v>
      </c>
      <c r="L771" s="35" t="n">
        <v>101200</v>
      </c>
      <c r="M771" s="3" t="inlineStr">
        <is>
          <t>CAD</t>
        </is>
      </c>
      <c r="N771" s="3" t="inlineStr">
        <is>
          <t>RATE_TABLE</t>
        </is>
      </c>
      <c r="O771" s="3" t="inlineStr">
        <is>
          <t>A-020</t>
        </is>
      </c>
      <c r="P771" s="3" t="inlineStr">
        <is>
          <t>MEDIUM</t>
        </is>
      </c>
      <c r="Q771" s="3" t="inlineStr">
        <is>
          <t>1 FTE × 22 weeks × 40 hrs/wk × $115/hr fully burdened</t>
        </is>
      </c>
      <c r="R771" s="3">
        <f>VLOOKUP($F771,Inputs!$D$6:$E$41,2,FALSE)</f>
        <v/>
      </c>
      <c r="S771" s="36">
        <f>VLOOKUP($E771,Inputs!$A$6:$B$13,2,FALSE)*Inputs!$B$2</f>
        <v/>
      </c>
      <c r="T771" s="35">
        <f>$L771*$S771</f>
        <v/>
      </c>
      <c r="U771" s="35">
        <f>$L771+$T771</f>
        <v/>
      </c>
    </row>
    <row r="772">
      <c r="A772" s="3" t="inlineStr">
        <is>
          <t>PKG-30::L-017</t>
        </is>
      </c>
      <c r="B772" s="3" t="inlineStr">
        <is>
          <t>PKG-30</t>
        </is>
      </c>
      <c r="C772" s="3" t="inlineStr">
        <is>
          <t>DEL-30.03</t>
        </is>
      </c>
      <c r="D772" s="3" t="inlineStr">
        <is>
          <t>L-017</t>
        </is>
      </c>
      <c r="E772" s="3" t="inlineStr">
        <is>
          <t>CD</t>
        </is>
      </c>
      <c r="F772" s="3" t="inlineStr">
        <is>
          <t>PKG-30</t>
        </is>
      </c>
      <c r="G772" s="3" t="inlineStr">
        <is>
          <t>DEL-30.03</t>
        </is>
      </c>
      <c r="H772" s="3" t="inlineStr">
        <is>
          <t>Field Commissioning Technicians - Pre-commissioning</t>
        </is>
      </c>
      <c r="I772" s="22" t="n">
        <v>8</v>
      </c>
      <c r="J772" s="3" t="inlineStr">
        <is>
          <t>WK</t>
        </is>
      </c>
      <c r="K772" s="39" t="n">
        <v>27200</v>
      </c>
      <c r="L772" s="35" t="n">
        <v>217600</v>
      </c>
      <c r="M772" s="3" t="inlineStr">
        <is>
          <t>CAD</t>
        </is>
      </c>
      <c r="N772" s="3" t="inlineStr">
        <is>
          <t>RATE_TABLE</t>
        </is>
      </c>
      <c r="O772" s="3" t="inlineStr">
        <is>
          <t>A-020</t>
        </is>
      </c>
      <c r="P772" s="3" t="inlineStr">
        <is>
          <t>MEDIUM</t>
        </is>
      </c>
      <c r="Q772" s="3" t="inlineStr">
        <is>
          <t>8 FTE avg × 8 weeks × 40 hrs/wk × $85/hr; flushing, cleaning, hydrotesting activities</t>
        </is>
      </c>
      <c r="R772" s="3">
        <f>VLOOKUP($F772,Inputs!$D$6:$E$41,2,FALSE)</f>
        <v/>
      </c>
      <c r="S772" s="36">
        <f>VLOOKUP($E772,Inputs!$A$6:$B$13,2,FALSE)*Inputs!$B$2</f>
        <v/>
      </c>
      <c r="T772" s="35">
        <f>$L772*$S772</f>
        <v/>
      </c>
      <c r="U772" s="35">
        <f>$L772+$T772</f>
        <v/>
      </c>
    </row>
    <row r="773">
      <c r="A773" s="3" t="inlineStr">
        <is>
          <t>PKG-30::L-018</t>
        </is>
      </c>
      <c r="B773" s="3" t="inlineStr">
        <is>
          <t>PKG-30</t>
        </is>
      </c>
      <c r="C773" s="3" t="inlineStr">
        <is>
          <t>DEL-30.04</t>
        </is>
      </c>
      <c r="D773" s="3" t="inlineStr">
        <is>
          <t>L-018</t>
        </is>
      </c>
      <c r="E773" s="3" t="inlineStr">
        <is>
          <t>CD</t>
        </is>
      </c>
      <c r="F773" s="3" t="inlineStr">
        <is>
          <t>PKG-30</t>
        </is>
      </c>
      <c r="G773" s="3" t="inlineStr">
        <is>
          <t>DEL-30.04</t>
        </is>
      </c>
      <c r="H773" s="3" t="inlineStr">
        <is>
          <t>Field Commissioning Technicians - Mechanical Systems</t>
        </is>
      </c>
      <c r="I773" s="22" t="n">
        <v>10</v>
      </c>
      <c r="J773" s="3" t="inlineStr">
        <is>
          <t>WK</t>
        </is>
      </c>
      <c r="K773" s="39" t="n">
        <v>34000</v>
      </c>
      <c r="L773" s="35" t="n">
        <v>340000</v>
      </c>
      <c r="M773" s="3" t="inlineStr">
        <is>
          <t>CAD</t>
        </is>
      </c>
      <c r="N773" s="3" t="inlineStr">
        <is>
          <t>RATE_TABLE</t>
        </is>
      </c>
      <c r="O773" s="3" t="inlineStr">
        <is>
          <t>A-020</t>
        </is>
      </c>
      <c r="P773" s="3" t="inlineStr">
        <is>
          <t>MEDIUM</t>
        </is>
      </c>
      <c r="Q773" s="3" t="inlineStr">
        <is>
          <t>10 FTE avg × 10 weeks × 40 hrs/wk × $85/hr; pumps, valves, tanks commissioning</t>
        </is>
      </c>
      <c r="R773" s="3">
        <f>VLOOKUP($F773,Inputs!$D$6:$E$41,2,FALSE)</f>
        <v/>
      </c>
      <c r="S773" s="36">
        <f>VLOOKUP($E773,Inputs!$A$6:$B$13,2,FALSE)*Inputs!$B$2</f>
        <v/>
      </c>
      <c r="T773" s="35">
        <f>$L773*$S773</f>
        <v/>
      </c>
      <c r="U773" s="35">
        <f>$L773+$T773</f>
        <v/>
      </c>
    </row>
    <row r="774">
      <c r="A774" s="3" t="inlineStr">
        <is>
          <t>PKG-30::L-019</t>
        </is>
      </c>
      <c r="B774" s="3" t="inlineStr">
        <is>
          <t>PKG-30</t>
        </is>
      </c>
      <c r="C774" s="3" t="inlineStr">
        <is>
          <t>DEL-30.04</t>
        </is>
      </c>
      <c r="D774" s="3" t="inlineStr">
        <is>
          <t>L-019</t>
        </is>
      </c>
      <c r="E774" s="3" t="inlineStr">
        <is>
          <t>CD</t>
        </is>
      </c>
      <c r="F774" s="3" t="inlineStr">
        <is>
          <t>PKG-30</t>
        </is>
      </c>
      <c r="G774" s="3" t="inlineStr">
        <is>
          <t>DEL-30.04</t>
        </is>
      </c>
      <c r="H774" s="3" t="inlineStr">
        <is>
          <t>Field Commissioning Technicians - Electrical Systems</t>
        </is>
      </c>
      <c r="I774" s="22" t="n">
        <v>8</v>
      </c>
      <c r="J774" s="3" t="inlineStr">
        <is>
          <t>WK</t>
        </is>
      </c>
      <c r="K774" s="39" t="n">
        <v>27200</v>
      </c>
      <c r="L774" s="35" t="n">
        <v>217600</v>
      </c>
      <c r="M774" s="3" t="inlineStr">
        <is>
          <t>CAD</t>
        </is>
      </c>
      <c r="N774" s="3" t="inlineStr">
        <is>
          <t>RATE_TABLE</t>
        </is>
      </c>
      <c r="O774" s="3" t="inlineStr">
        <is>
          <t>A-020</t>
        </is>
      </c>
      <c r="P774" s="3" t="inlineStr">
        <is>
          <t>MEDIUM</t>
        </is>
      </c>
      <c r="Q774" s="3" t="inlineStr">
        <is>
          <t>8 FTE avg × 8 weeks × 40 hrs/wk × $85/hr; power distribution, motors, lighting commissioning</t>
        </is>
      </c>
      <c r="R774" s="3">
        <f>VLOOKUP($F774,Inputs!$D$6:$E$41,2,FALSE)</f>
        <v/>
      </c>
      <c r="S774" s="36">
        <f>VLOOKUP($E774,Inputs!$A$6:$B$13,2,FALSE)*Inputs!$B$2</f>
        <v/>
      </c>
      <c r="T774" s="35">
        <f>$L774*$S774</f>
        <v/>
      </c>
      <c r="U774" s="35">
        <f>$L774+$T774</f>
        <v/>
      </c>
    </row>
    <row r="775">
      <c r="A775" s="3" t="inlineStr">
        <is>
          <t>PKG-30::L-020</t>
        </is>
      </c>
      <c r="B775" s="3" t="inlineStr">
        <is>
          <t>PKG-30</t>
        </is>
      </c>
      <c r="C775" s="3" t="inlineStr">
        <is>
          <t>DEL-30.04</t>
        </is>
      </c>
      <c r="D775" s="3" t="inlineStr">
        <is>
          <t>L-020</t>
        </is>
      </c>
      <c r="E775" s="3" t="inlineStr">
        <is>
          <t>CD</t>
        </is>
      </c>
      <c r="F775" s="3" t="inlineStr">
        <is>
          <t>PKG-30</t>
        </is>
      </c>
      <c r="G775" s="3" t="inlineStr">
        <is>
          <t>DEL-30.04</t>
        </is>
      </c>
      <c r="H775" s="3" t="inlineStr">
        <is>
          <t>Field Commissioning Technicians - I&amp;C Systems</t>
        </is>
      </c>
      <c r="I775" s="22" t="n">
        <v>10</v>
      </c>
      <c r="J775" s="3" t="inlineStr">
        <is>
          <t>WK</t>
        </is>
      </c>
      <c r="K775" s="39" t="n">
        <v>34000</v>
      </c>
      <c r="L775" s="35" t="n">
        <v>340000</v>
      </c>
      <c r="M775" s="3" t="inlineStr">
        <is>
          <t>CAD</t>
        </is>
      </c>
      <c r="N775" s="3" t="inlineStr">
        <is>
          <t>RATE_TABLE</t>
        </is>
      </c>
      <c r="O775" s="3" t="inlineStr">
        <is>
          <t>A-020</t>
        </is>
      </c>
      <c r="P775" s="3" t="inlineStr">
        <is>
          <t>MEDIUM</t>
        </is>
      </c>
      <c r="Q775" s="3" t="inlineStr">
        <is>
          <t>10 FTE avg × 10 weeks × 40 hrs/wk × $85/hr; loop checking, SCADA/PLC, instrumentation commissioning</t>
        </is>
      </c>
      <c r="R775" s="3">
        <f>VLOOKUP($F775,Inputs!$D$6:$E$41,2,FALSE)</f>
        <v/>
      </c>
      <c r="S775" s="36">
        <f>VLOOKUP($E775,Inputs!$A$6:$B$13,2,FALSE)*Inputs!$B$2</f>
        <v/>
      </c>
      <c r="T775" s="35">
        <f>$L775*$S775</f>
        <v/>
      </c>
      <c r="U775" s="35">
        <f>$L775+$T775</f>
        <v/>
      </c>
    </row>
    <row r="776">
      <c r="A776" s="3" t="inlineStr">
        <is>
          <t>PKG-30::L-021</t>
        </is>
      </c>
      <c r="B776" s="3" t="inlineStr">
        <is>
          <t>PKG-30</t>
        </is>
      </c>
      <c r="C776" s="3" t="inlineStr">
        <is>
          <t>DEL-30.05</t>
        </is>
      </c>
      <c r="D776" s="3" t="inlineStr">
        <is>
          <t>L-021</t>
        </is>
      </c>
      <c r="E776" s="3" t="inlineStr">
        <is>
          <t>CD</t>
        </is>
      </c>
      <c r="F776" s="3" t="inlineStr">
        <is>
          <t>PKG-30</t>
        </is>
      </c>
      <c r="G776" s="3" t="inlineStr">
        <is>
          <t>DEL-30.05</t>
        </is>
      </c>
      <c r="H776" s="3" t="inlineStr">
        <is>
          <t>Field Commissioning Technicians - Integrated Systems Testing</t>
        </is>
      </c>
      <c r="I776" s="22" t="n">
        <v>6</v>
      </c>
      <c r="J776" s="3" t="inlineStr">
        <is>
          <t>WK</t>
        </is>
      </c>
      <c r="K776" s="39" t="n">
        <v>40800</v>
      </c>
      <c r="L776" s="35" t="n">
        <v>244800</v>
      </c>
      <c r="M776" s="3" t="inlineStr">
        <is>
          <t>CAD</t>
        </is>
      </c>
      <c r="N776" s="3" t="inlineStr">
        <is>
          <t>RATE_TABLE</t>
        </is>
      </c>
      <c r="O776" s="3" t="inlineStr">
        <is>
          <t>A-020</t>
        </is>
      </c>
      <c r="P776" s="3" t="inlineStr">
        <is>
          <t>MEDIUM</t>
        </is>
      </c>
      <c r="Q776" s="3" t="inlineStr">
        <is>
          <t>12 FTE peak × 6 weeks × 40 hrs/wk × $85/hr; integrated systems and end-to-end testing</t>
        </is>
      </c>
      <c r="R776" s="3">
        <f>VLOOKUP($F776,Inputs!$D$6:$E$41,2,FALSE)</f>
        <v/>
      </c>
      <c r="S776" s="36">
        <f>VLOOKUP($E776,Inputs!$A$6:$B$13,2,FALSE)*Inputs!$B$2</f>
        <v/>
      </c>
      <c r="T776" s="35">
        <f>$L776*$S776</f>
        <v/>
      </c>
      <c r="U776" s="35">
        <f>$L776+$T776</f>
        <v/>
      </c>
    </row>
    <row r="777">
      <c r="A777" s="3" t="inlineStr">
        <is>
          <t>PKG-30::L-022</t>
        </is>
      </c>
      <c r="B777" s="3" t="inlineStr">
        <is>
          <t>PKG-30</t>
        </is>
      </c>
      <c r="C777" s="3" t="inlineStr">
        <is>
          <t>DEL-30.06</t>
        </is>
      </c>
      <c r="D777" s="3" t="inlineStr">
        <is>
          <t>L-022</t>
        </is>
      </c>
      <c r="E777" s="3" t="inlineStr">
        <is>
          <t>CD</t>
        </is>
      </c>
      <c r="F777" s="3" t="inlineStr">
        <is>
          <t>PKG-30</t>
        </is>
      </c>
      <c r="G777" s="3" t="inlineStr">
        <is>
          <t>DEL-30.06</t>
        </is>
      </c>
      <c r="H777" s="3" t="inlineStr">
        <is>
          <t>Field Commissioning Technicians - Start-up &amp; Performance Testing</t>
        </is>
      </c>
      <c r="I777" s="22" t="n">
        <v>4</v>
      </c>
      <c r="J777" s="3" t="inlineStr">
        <is>
          <t>WK</t>
        </is>
      </c>
      <c r="K777" s="39" t="n">
        <v>27200</v>
      </c>
      <c r="L777" s="35" t="n">
        <v>108800</v>
      </c>
      <c r="M777" s="3" t="inlineStr">
        <is>
          <t>CAD</t>
        </is>
      </c>
      <c r="N777" s="3" t="inlineStr">
        <is>
          <t>RATE_TABLE</t>
        </is>
      </c>
      <c r="O777" s="3" t="inlineStr">
        <is>
          <t>A-020</t>
        </is>
      </c>
      <c r="P777" s="3" t="inlineStr">
        <is>
          <t>MEDIUM</t>
        </is>
      </c>
      <c r="Q777" s="3" t="inlineStr">
        <is>
          <t>8 FTE avg × 4 weeks × 40 hrs/wk × $85/hr; start-up support and performance verification</t>
        </is>
      </c>
      <c r="R777" s="3">
        <f>VLOOKUP($F777,Inputs!$D$6:$E$41,2,FALSE)</f>
        <v/>
      </c>
      <c r="S777" s="36">
        <f>VLOOKUP($E777,Inputs!$A$6:$B$13,2,FALSE)*Inputs!$B$2</f>
        <v/>
      </c>
      <c r="T777" s="35">
        <f>$L777*$S777</f>
        <v/>
      </c>
      <c r="U777" s="35">
        <f>$L777+$T777</f>
        <v/>
      </c>
    </row>
    <row r="778">
      <c r="A778" s="3" t="inlineStr">
        <is>
          <t>PKG-30::L-023</t>
        </is>
      </c>
      <c r="B778" s="3" t="inlineStr">
        <is>
          <t>PKG-30</t>
        </is>
      </c>
      <c r="C778" s="3" t="inlineStr">
        <is>
          <t>DEL-30.04</t>
        </is>
      </c>
      <c r="D778" s="3" t="inlineStr">
        <is>
          <t>L-023</t>
        </is>
      </c>
      <c r="E778" s="3" t="inlineStr">
        <is>
          <t>CD</t>
        </is>
      </c>
      <c r="F778" s="3" t="inlineStr">
        <is>
          <t>PKG-30</t>
        </is>
      </c>
      <c r="G778" s="3" t="inlineStr">
        <is>
          <t>DEL-30.04</t>
        </is>
      </c>
      <c r="H778" s="3" t="inlineStr">
        <is>
          <t>Vendor Commissioning Support - Storage Tanks</t>
        </is>
      </c>
      <c r="I778" s="22" t="n">
        <v>2</v>
      </c>
      <c r="J778" s="3" t="inlineStr">
        <is>
          <t>WK</t>
        </is>
      </c>
      <c r="K778" s="39" t="n">
        <v>16000</v>
      </c>
      <c r="L778" s="35" t="n">
        <v>32000</v>
      </c>
      <c r="M778" s="3" t="inlineStr">
        <is>
          <t>CAD</t>
        </is>
      </c>
      <c r="N778" s="3" t="inlineStr">
        <is>
          <t>ALLOWANCE</t>
        </is>
      </c>
      <c r="O778" s="3" t="inlineStr">
        <is>
          <t>A-005</t>
        </is>
      </c>
      <c r="P778" s="3" t="inlineStr">
        <is>
          <t>LOW</t>
        </is>
      </c>
      <c r="Q778" s="3" t="inlineStr">
        <is>
          <t>Tank level gauging system vendor commissioning support; 2 weeks × 1 tech × $8k/wk</t>
        </is>
      </c>
      <c r="R778" s="3">
        <f>VLOOKUP($F778,Inputs!$D$6:$E$41,2,FALSE)</f>
        <v/>
      </c>
      <c r="S778" s="36">
        <f>VLOOKUP($E778,Inputs!$A$6:$B$13,2,FALSE)*Inputs!$B$2</f>
        <v/>
      </c>
      <c r="T778" s="35">
        <f>$L778*$S778</f>
        <v/>
      </c>
      <c r="U778" s="35">
        <f>$L778+$T778</f>
        <v/>
      </c>
    </row>
    <row r="779">
      <c r="A779" s="3" t="inlineStr">
        <is>
          <t>PKG-30::L-024</t>
        </is>
      </c>
      <c r="B779" s="3" t="inlineStr">
        <is>
          <t>PKG-30</t>
        </is>
      </c>
      <c r="C779" s="3" t="inlineStr">
        <is>
          <t>DEL-30.04</t>
        </is>
      </c>
      <c r="D779" s="3" t="inlineStr">
        <is>
          <t>L-024</t>
        </is>
      </c>
      <c r="E779" s="3" t="inlineStr">
        <is>
          <t>CD</t>
        </is>
      </c>
      <c r="F779" s="3" t="inlineStr">
        <is>
          <t>PKG-30</t>
        </is>
      </c>
      <c r="G779" s="3" t="inlineStr">
        <is>
          <t>DEL-30.04</t>
        </is>
      </c>
      <c r="H779" s="3" t="inlineStr">
        <is>
          <t>Vendor Commissioning Support - Metering Systems</t>
        </is>
      </c>
      <c r="I779" s="22" t="n">
        <v>3</v>
      </c>
      <c r="J779" s="3" t="inlineStr">
        <is>
          <t>WK</t>
        </is>
      </c>
      <c r="K779" s="39" t="n">
        <v>25000</v>
      </c>
      <c r="L779" s="35" t="n">
        <v>75000</v>
      </c>
      <c r="M779" s="3" t="inlineStr">
        <is>
          <t>CAD</t>
        </is>
      </c>
      <c r="N779" s="3" t="inlineStr">
        <is>
          <t>ALLOWANCE</t>
        </is>
      </c>
      <c r="O779" s="3" t="inlineStr">
        <is>
          <t>A-018</t>
        </is>
      </c>
      <c r="P779" s="3" t="inlineStr">
        <is>
          <t>LOW</t>
        </is>
      </c>
      <c r="Q779" s="3" t="inlineStr">
        <is>
          <t>Custody transfer meter proving specialist; 3 weeks × 1 specialist × $12.5k/wk (includes equipment)</t>
        </is>
      </c>
      <c r="R779" s="3">
        <f>VLOOKUP($F779,Inputs!$D$6:$E$41,2,FALSE)</f>
        <v/>
      </c>
      <c r="S779" s="36">
        <f>VLOOKUP($E779,Inputs!$A$6:$B$13,2,FALSE)*Inputs!$B$2</f>
        <v/>
      </c>
      <c r="T779" s="35">
        <f>$L779*$S779</f>
        <v/>
      </c>
      <c r="U779" s="35">
        <f>$L779+$T779</f>
        <v/>
      </c>
    </row>
    <row r="780">
      <c r="A780" s="3" t="inlineStr">
        <is>
          <t>PKG-30::L-025</t>
        </is>
      </c>
      <c r="B780" s="3" t="inlineStr">
        <is>
          <t>PKG-30</t>
        </is>
      </c>
      <c r="C780" s="3" t="inlineStr">
        <is>
          <t>DEL-30.04</t>
        </is>
      </c>
      <c r="D780" s="3" t="inlineStr">
        <is>
          <t>L-025</t>
        </is>
      </c>
      <c r="E780" s="3" t="inlineStr">
        <is>
          <t>CD</t>
        </is>
      </c>
      <c r="F780" s="3" t="inlineStr">
        <is>
          <t>PKG-30</t>
        </is>
      </c>
      <c r="G780" s="3" t="inlineStr">
        <is>
          <t>DEL-30.04</t>
        </is>
      </c>
      <c r="H780" s="3" t="inlineStr">
        <is>
          <t>Vendor Commissioning Support - Marine Loading Arms</t>
        </is>
      </c>
      <c r="I780" s="22" t="n">
        <v>2</v>
      </c>
      <c r="J780" s="3" t="inlineStr">
        <is>
          <t>WK</t>
        </is>
      </c>
      <c r="K780" s="39" t="n">
        <v>18000</v>
      </c>
      <c r="L780" s="35" t="n">
        <v>36000</v>
      </c>
      <c r="M780" s="3" t="inlineStr">
        <is>
          <t>CAD</t>
        </is>
      </c>
      <c r="N780" s="3" t="inlineStr">
        <is>
          <t>ALLOWANCE</t>
        </is>
      </c>
      <c r="O780" s="3" t="inlineStr">
        <is>
          <t>A-005</t>
        </is>
      </c>
      <c r="P780" s="3" t="inlineStr">
        <is>
          <t>LOW</t>
        </is>
      </c>
      <c r="Q780" s="3" t="inlineStr">
        <is>
          <t>Marine loading arm OEM commissioning support; 2 weeks × 1 tech × $9k/wk</t>
        </is>
      </c>
      <c r="R780" s="3">
        <f>VLOOKUP($F780,Inputs!$D$6:$E$41,2,FALSE)</f>
        <v/>
      </c>
      <c r="S780" s="36">
        <f>VLOOKUP($E780,Inputs!$A$6:$B$13,2,FALSE)*Inputs!$B$2</f>
        <v/>
      </c>
      <c r="T780" s="35">
        <f>$L780*$S780</f>
        <v/>
      </c>
      <c r="U780" s="35">
        <f>$L780+$T780</f>
        <v/>
      </c>
    </row>
    <row r="781">
      <c r="A781" s="3" t="inlineStr">
        <is>
          <t>PKG-30::L-026</t>
        </is>
      </c>
      <c r="B781" s="3" t="inlineStr">
        <is>
          <t>PKG-30</t>
        </is>
      </c>
      <c r="C781" s="3" t="inlineStr">
        <is>
          <t>DEL-30.04</t>
        </is>
      </c>
      <c r="D781" s="3" t="inlineStr">
        <is>
          <t>L-026</t>
        </is>
      </c>
      <c r="E781" s="3" t="inlineStr">
        <is>
          <t>CD</t>
        </is>
      </c>
      <c r="F781" s="3" t="inlineStr">
        <is>
          <t>PKG-30</t>
        </is>
      </c>
      <c r="G781" s="3" t="inlineStr">
        <is>
          <t>DEL-30.04</t>
        </is>
      </c>
      <c r="H781" s="3" t="inlineStr">
        <is>
          <t>Vendor Commissioning Support - Control Systems</t>
        </is>
      </c>
      <c r="I781" s="22" t="n">
        <v>2</v>
      </c>
      <c r="J781" s="3" t="inlineStr">
        <is>
          <t>WK</t>
        </is>
      </c>
      <c r="K781" s="39" t="n">
        <v>16000</v>
      </c>
      <c r="L781" s="35" t="n">
        <v>32000</v>
      </c>
      <c r="M781" s="3" t="inlineStr">
        <is>
          <t>CAD</t>
        </is>
      </c>
      <c r="N781" s="3" t="inlineStr">
        <is>
          <t>ALLOWANCE</t>
        </is>
      </c>
      <c r="O781" s="3" t="inlineStr">
        <is>
          <t>A-005</t>
        </is>
      </c>
      <c r="P781" s="3" t="inlineStr">
        <is>
          <t>LOW</t>
        </is>
      </c>
      <c r="Q781" s="3" t="inlineStr">
        <is>
          <t>SCADA/PLC vendor FAT and SAT support; 2 weeks × 1 tech × $8k/wk</t>
        </is>
      </c>
      <c r="R781" s="3">
        <f>VLOOKUP($F781,Inputs!$D$6:$E$41,2,FALSE)</f>
        <v/>
      </c>
      <c r="S781" s="36">
        <f>VLOOKUP($E781,Inputs!$A$6:$B$13,2,FALSE)*Inputs!$B$2</f>
        <v/>
      </c>
      <c r="T781" s="35">
        <f>$L781*$S781</f>
        <v/>
      </c>
      <c r="U781" s="35">
        <f>$L781+$T781</f>
        <v/>
      </c>
    </row>
    <row r="782">
      <c r="A782" s="3" t="inlineStr">
        <is>
          <t>PKG-30::L-027</t>
        </is>
      </c>
      <c r="B782" s="3" t="inlineStr">
        <is>
          <t>PKG-30</t>
        </is>
      </c>
      <c r="C782" s="3" t="inlineStr">
        <is>
          <t>DEL-30.04</t>
        </is>
      </c>
      <c r="D782" s="3" t="inlineStr">
        <is>
          <t>L-027</t>
        </is>
      </c>
      <c r="E782" s="3" t="inlineStr">
        <is>
          <t>CD</t>
        </is>
      </c>
      <c r="F782" s="3" t="inlineStr">
        <is>
          <t>PKG-30</t>
        </is>
      </c>
      <c r="G782" s="3" t="inlineStr">
        <is>
          <t>DEL-30.04</t>
        </is>
      </c>
      <c r="H782" s="3" t="inlineStr">
        <is>
          <t>Vendor Commissioning Support - Other Specialized Equipment</t>
        </is>
      </c>
      <c r="I782" s="22" t="n">
        <v>2</v>
      </c>
      <c r="J782" s="3" t="inlineStr">
        <is>
          <t>WK</t>
        </is>
      </c>
      <c r="K782" s="39" t="n">
        <v>10000</v>
      </c>
      <c r="L782" s="35" t="n">
        <v>20000</v>
      </c>
      <c r="M782" s="3" t="inlineStr">
        <is>
          <t>CAD</t>
        </is>
      </c>
      <c r="N782" s="3" t="inlineStr">
        <is>
          <t>ALLOWANCE</t>
        </is>
      </c>
      <c r="O782" s="3" t="inlineStr">
        <is>
          <t>A-005</t>
        </is>
      </c>
      <c r="P782" s="3" t="inlineStr">
        <is>
          <t>LOW</t>
        </is>
      </c>
      <c r="Q782" s="3" t="inlineStr">
        <is>
          <t>Fire protection, security systems, other specialty vendor support; 2 weeks total</t>
        </is>
      </c>
      <c r="R782" s="3">
        <f>VLOOKUP($F782,Inputs!$D$6:$E$41,2,FALSE)</f>
        <v/>
      </c>
      <c r="S782" s="36">
        <f>VLOOKUP($E782,Inputs!$A$6:$B$13,2,FALSE)*Inputs!$B$2</f>
        <v/>
      </c>
      <c r="T782" s="35">
        <f>$L782*$S782</f>
        <v/>
      </c>
      <c r="U782" s="35">
        <f>$L782+$T782</f>
        <v/>
      </c>
    </row>
    <row r="783">
      <c r="A783" s="3" t="inlineStr">
        <is>
          <t>PKG-30::L-028</t>
        </is>
      </c>
      <c r="B783" s="3" t="inlineStr">
        <is>
          <t>PKG-30</t>
        </is>
      </c>
      <c r="C783" s="3" t="inlineStr">
        <is>
          <t>DEL-30.04</t>
        </is>
      </c>
      <c r="D783" s="3" t="inlineStr">
        <is>
          <t>L-028</t>
        </is>
      </c>
      <c r="E783" s="3" t="inlineStr">
        <is>
          <t>CD</t>
        </is>
      </c>
      <c r="F783" s="3" t="inlineStr">
        <is>
          <t>PKG-30</t>
        </is>
      </c>
      <c r="G783" s="3" t="inlineStr">
        <is>
          <t>DEL-30.04</t>
        </is>
      </c>
      <c r="H783" s="3" t="inlineStr">
        <is>
          <t>QA/QC Inspector - Commissioning Phase</t>
        </is>
      </c>
      <c r="I783" s="22" t="n">
        <v>30</v>
      </c>
      <c r="J783" s="3" t="inlineStr">
        <is>
          <t>WK</t>
        </is>
      </c>
      <c r="K783" s="39" t="n">
        <v>3400</v>
      </c>
      <c r="L783" s="35" t="n">
        <v>102000</v>
      </c>
      <c r="M783" s="3" t="inlineStr">
        <is>
          <t>CAD</t>
        </is>
      </c>
      <c r="N783" s="3" t="inlineStr">
        <is>
          <t>RATE_TABLE</t>
        </is>
      </c>
      <c r="O783" s="3" t="inlineStr">
        <is>
          <t>A-020</t>
        </is>
      </c>
      <c r="P783" s="3" t="inlineStr">
        <is>
          <t>MEDIUM</t>
        </is>
      </c>
      <c r="Q783" s="3" t="inlineStr">
        <is>
          <t>1 FTE × 30 weeks × 40 hrs/wk × $85/hr (QC inspector rate); commissioning verification</t>
        </is>
      </c>
      <c r="R783" s="3">
        <f>VLOOKUP($F783,Inputs!$D$6:$E$41,2,FALSE)</f>
        <v/>
      </c>
      <c r="S783" s="36">
        <f>VLOOKUP($E783,Inputs!$A$6:$B$13,2,FALSE)*Inputs!$B$2</f>
        <v/>
      </c>
      <c r="T783" s="35">
        <f>$L783*$S783</f>
        <v/>
      </c>
      <c r="U783" s="35">
        <f>$L783+$T783</f>
        <v/>
      </c>
    </row>
    <row r="784">
      <c r="A784" s="3" t="inlineStr">
        <is>
          <t>PKG-30::L-029</t>
        </is>
      </c>
      <c r="B784" s="3" t="inlineStr">
        <is>
          <t>PKG-30</t>
        </is>
      </c>
      <c r="C784" s="3" t="inlineStr">
        <is>
          <t>DEL-30.05</t>
        </is>
      </c>
      <c r="D784" s="3" t="inlineStr">
        <is>
          <t>L-029</t>
        </is>
      </c>
      <c r="E784" s="3" t="inlineStr">
        <is>
          <t>CD</t>
        </is>
      </c>
      <c r="F784" s="3" t="inlineStr">
        <is>
          <t>PKG-30</t>
        </is>
      </c>
      <c r="G784" s="3" t="inlineStr">
        <is>
          <t>DEL-30.05</t>
        </is>
      </c>
      <c r="H784" s="3" t="inlineStr">
        <is>
          <t>Railcar Unloading System Commissioning</t>
        </is>
      </c>
      <c r="I784" s="22" t="n">
        <v>32</v>
      </c>
      <c r="J784" s="3" t="inlineStr">
        <is>
          <t>EA</t>
        </is>
      </c>
      <c r="K784" s="39" t="n">
        <v>18000</v>
      </c>
      <c r="L784" s="35" t="n">
        <v>576000</v>
      </c>
      <c r="M784" s="3" t="inlineStr">
        <is>
          <t>CAD</t>
        </is>
      </c>
      <c r="N784" s="3" t="inlineStr">
        <is>
          <t>ALLOWANCE</t>
        </is>
      </c>
      <c r="O784" s="3" t="inlineStr">
        <is>
          <t>A-014</t>
        </is>
      </c>
      <c r="P784" s="3" t="inlineStr">
        <is>
          <t>LOW</t>
        </is>
      </c>
      <c r="Q784" s="3" t="inlineStr">
        <is>
          <t>32 railcar stations commissioning; mechanical, electrical, I&amp;C per station; ~120 hrs/station @ $150/hr blended</t>
        </is>
      </c>
      <c r="R784" s="3">
        <f>VLOOKUP($F784,Inputs!$D$6:$E$41,2,FALSE)</f>
        <v/>
      </c>
      <c r="S784" s="36">
        <f>VLOOKUP($E784,Inputs!$A$6:$B$13,2,FALSE)*Inputs!$B$2</f>
        <v/>
      </c>
      <c r="T784" s="35">
        <f>$L784*$S784</f>
        <v/>
      </c>
      <c r="U784" s="35">
        <f>$L784+$T784</f>
        <v/>
      </c>
    </row>
    <row r="785">
      <c r="A785" s="3" t="inlineStr">
        <is>
          <t>PKG-30::L-030</t>
        </is>
      </c>
      <c r="B785" s="3" t="inlineStr">
        <is>
          <t>PKG-30</t>
        </is>
      </c>
      <c r="C785" s="3" t="inlineStr">
        <is>
          <t>DEL-30.04</t>
        </is>
      </c>
      <c r="D785" s="3" t="inlineStr">
        <is>
          <t>L-030</t>
        </is>
      </c>
      <c r="E785" s="3" t="inlineStr">
        <is>
          <t>CD</t>
        </is>
      </c>
      <c r="F785" s="3" t="inlineStr">
        <is>
          <t>PKG-30</t>
        </is>
      </c>
      <c r="G785" s="3" t="inlineStr">
        <is>
          <t>DEL-30.04</t>
        </is>
      </c>
      <c r="H785" s="3" t="inlineStr">
        <is>
          <t>Storage Tank System Commissioning</t>
        </is>
      </c>
      <c r="I785" s="22" t="n">
        <v>3</v>
      </c>
      <c r="J785" s="3" t="inlineStr">
        <is>
          <t>EA</t>
        </is>
      </c>
      <c r="K785" s="39" t="n">
        <v>65000</v>
      </c>
      <c r="L785" s="35" t="n">
        <v>195000</v>
      </c>
      <c r="M785" s="3" t="inlineStr">
        <is>
          <t>CAD</t>
        </is>
      </c>
      <c r="N785" s="3" t="inlineStr">
        <is>
          <t>ALLOWANCE</t>
        </is>
      </c>
      <c r="O785" s="3" t="inlineStr">
        <is>
          <t>A-013</t>
        </is>
      </c>
      <c r="P785" s="3" t="inlineStr">
        <is>
          <t>LOW</t>
        </is>
      </c>
      <c r="Q785" s="3" t="inlineStr">
        <is>
          <t>3×15,000 MT tanks commissioning; level gauging, temp monitoring, mixing; ~400 hrs/tank @ $160/hr blended</t>
        </is>
      </c>
      <c r="R785" s="3">
        <f>VLOOKUP($F785,Inputs!$D$6:$E$41,2,FALSE)</f>
        <v/>
      </c>
      <c r="S785" s="36">
        <f>VLOOKUP($E785,Inputs!$A$6:$B$13,2,FALSE)*Inputs!$B$2</f>
        <v/>
      </c>
      <c r="T785" s="35">
        <f>$L785*$S785</f>
        <v/>
      </c>
      <c r="U785" s="35">
        <f>$L785+$T785</f>
        <v/>
      </c>
    </row>
    <row r="786">
      <c r="A786" s="3" t="inlineStr">
        <is>
          <t>PKG-30::L-031</t>
        </is>
      </c>
      <c r="B786" s="3" t="inlineStr">
        <is>
          <t>PKG-30</t>
        </is>
      </c>
      <c r="C786" s="3" t="inlineStr">
        <is>
          <t>DEL-30.08</t>
        </is>
      </c>
      <c r="D786" s="3" t="inlineStr">
        <is>
          <t>L-031</t>
        </is>
      </c>
      <c r="E786" s="3" t="inlineStr">
        <is>
          <t>CD</t>
        </is>
      </c>
      <c r="F786" s="3" t="inlineStr">
        <is>
          <t>PKG-30</t>
        </is>
      </c>
      <c r="G786" s="3" t="inlineStr">
        <is>
          <t>DEL-30.08</t>
        </is>
      </c>
      <c r="H786" s="3" t="inlineStr">
        <is>
          <t>Cathodic Protection Commissioning</t>
        </is>
      </c>
      <c r="I786" s="22" t="n">
        <v>1</v>
      </c>
      <c r="J786" s="3" t="inlineStr">
        <is>
          <t>LS</t>
        </is>
      </c>
      <c r="K786" s="39" t="n">
        <v>28000</v>
      </c>
      <c r="L786" s="35" t="n">
        <v>28000</v>
      </c>
      <c r="M786" s="3" t="inlineStr">
        <is>
          <t>CAD</t>
        </is>
      </c>
      <c r="N786" s="3" t="inlineStr">
        <is>
          <t>ALLOWANCE</t>
        </is>
      </c>
      <c r="O786" s="3" t="inlineStr">
        <is>
          <t>A-023</t>
        </is>
      </c>
      <c r="P786" s="3" t="inlineStr">
        <is>
          <t>LOW</t>
        </is>
      </c>
      <c r="Q786" s="3" t="inlineStr">
        <is>
          <t>CP system commissioning; rectifier commissioning, baseline potentials, acceptance testing</t>
        </is>
      </c>
      <c r="R786" s="3">
        <f>VLOOKUP($F786,Inputs!$D$6:$E$41,2,FALSE)</f>
        <v/>
      </c>
      <c r="S786" s="36">
        <f>VLOOKUP($E786,Inputs!$A$6:$B$13,2,FALSE)*Inputs!$B$2</f>
        <v/>
      </c>
      <c r="T786" s="35">
        <f>$L786*$S786</f>
        <v/>
      </c>
      <c r="U786" s="35">
        <f>$L786+$T786</f>
        <v/>
      </c>
    </row>
    <row r="787">
      <c r="A787" s="3" t="inlineStr">
        <is>
          <t>PKG-30::L-032</t>
        </is>
      </c>
      <c r="B787" s="3" t="inlineStr">
        <is>
          <t>PKG-30</t>
        </is>
      </c>
      <c r="C787" s="3" t="inlineStr">
        <is>
          <t>DEL-30.07</t>
        </is>
      </c>
      <c r="D787" s="3" t="inlineStr">
        <is>
          <t>L-032</t>
        </is>
      </c>
      <c r="E787" s="3" t="inlineStr">
        <is>
          <t>CD</t>
        </is>
      </c>
      <c r="F787" s="3" t="inlineStr">
        <is>
          <t>PKG-30</t>
        </is>
      </c>
      <c r="G787" s="3" t="inlineStr">
        <is>
          <t>DEL-30.07</t>
        </is>
      </c>
      <c r="H787" s="3" t="inlineStr">
        <is>
          <t>Defect Rectification Allowance</t>
        </is>
      </c>
      <c r="I787" s="22" t="n">
        <v>1</v>
      </c>
      <c r="J787" s="3" t="inlineStr">
        <is>
          <t>LS</t>
        </is>
      </c>
      <c r="K787" s="39" t="n">
        <v>75000</v>
      </c>
      <c r="L787" s="35" t="n">
        <v>75000</v>
      </c>
      <c r="M787" s="3" t="inlineStr">
        <is>
          <t>CAD</t>
        </is>
      </c>
      <c r="N787" s="3" t="inlineStr">
        <is>
          <t>ALLOWANCE</t>
        </is>
      </c>
      <c r="O787" s="3" t="inlineStr">
        <is>
          <t>A-024</t>
        </is>
      </c>
      <c r="P787" s="3" t="inlineStr">
        <is>
          <t>LOW</t>
        </is>
      </c>
      <c r="Q787" s="3" t="inlineStr">
        <is>
          <t>Allowance for construction defects discovered during commissioning requiring rectification</t>
        </is>
      </c>
      <c r="R787" s="3">
        <f>VLOOKUP($F787,Inputs!$D$6:$E$41,2,FALSE)</f>
        <v/>
      </c>
      <c r="S787" s="36">
        <f>VLOOKUP($E787,Inputs!$A$6:$B$13,2,FALSE)*Inputs!$B$2</f>
        <v/>
      </c>
      <c r="T787" s="35">
        <f>$L787*$S787</f>
        <v/>
      </c>
      <c r="U787" s="35">
        <f>$L787+$T787</f>
        <v/>
      </c>
    </row>
    <row r="788">
      <c r="A788" s="3" t="inlineStr">
        <is>
          <t>PKG-30::L-033</t>
        </is>
      </c>
      <c r="B788" s="3" t="inlineStr">
        <is>
          <t>PKG-30</t>
        </is>
      </c>
      <c r="C788" s="3" t="n"/>
      <c r="D788" s="3" t="inlineStr">
        <is>
          <t>L-033</t>
        </is>
      </c>
      <c r="E788" s="3" t="inlineStr">
        <is>
          <t>CI</t>
        </is>
      </c>
      <c r="F788" s="3" t="inlineStr">
        <is>
          <t>PKG-30</t>
        </is>
      </c>
      <c r="G788" s="3" t="n"/>
      <c r="H788" s="3" t="inlineStr">
        <is>
          <t>Field Supervision - Commissioning Phase</t>
        </is>
      </c>
      <c r="I788" s="22" t="n">
        <v>30</v>
      </c>
      <c r="J788" s="3" t="inlineStr">
        <is>
          <t>WK</t>
        </is>
      </c>
      <c r="K788" s="39" t="n">
        <v>6500</v>
      </c>
      <c r="L788" s="35" t="n">
        <v>195000</v>
      </c>
      <c r="M788" s="3" t="inlineStr">
        <is>
          <t>CAD</t>
        </is>
      </c>
      <c r="N788" s="3" t="inlineStr">
        <is>
          <t>PARAMETRIC</t>
        </is>
      </c>
      <c r="O788" s="3" t="inlineStr">
        <is>
          <t>D-015</t>
        </is>
      </c>
      <c r="P788" s="3" t="inlineStr">
        <is>
          <t>MEDIUM</t>
        </is>
      </c>
      <c r="Q788" s="3" t="inlineStr">
        <is>
          <t>Field supervision allocation; 1 supervisor × 30 weeks × $6.5k/wk</t>
        </is>
      </c>
      <c r="R788" s="3">
        <f>VLOOKUP($F788,Inputs!$D$6:$E$41,2,FALSE)</f>
        <v/>
      </c>
      <c r="S788" s="36">
        <f>VLOOKUP($E788,Inputs!$A$6:$B$13,2,FALSE)*Inputs!$B$2</f>
        <v/>
      </c>
      <c r="T788" s="35">
        <f>$L788*$S788</f>
        <v/>
      </c>
      <c r="U788" s="35">
        <f>$L788+$T788</f>
        <v/>
      </c>
    </row>
    <row r="789">
      <c r="A789" s="3" t="inlineStr">
        <is>
          <t>PKG-30::L-034</t>
        </is>
      </c>
      <c r="B789" s="3" t="inlineStr">
        <is>
          <t>PKG-30</t>
        </is>
      </c>
      <c r="C789" s="3" t="n"/>
      <c r="D789" s="3" t="inlineStr">
        <is>
          <t>L-034</t>
        </is>
      </c>
      <c r="E789" s="3" t="inlineStr">
        <is>
          <t>CI</t>
        </is>
      </c>
      <c r="F789" s="3" t="inlineStr">
        <is>
          <t>PKG-30</t>
        </is>
      </c>
      <c r="G789" s="3" t="n"/>
      <c r="H789" s="3" t="inlineStr">
        <is>
          <t>HSE Coordination - Commissioning Phase</t>
        </is>
      </c>
      <c r="I789" s="22" t="n">
        <v>15</v>
      </c>
      <c r="J789" s="3" t="inlineStr">
        <is>
          <t>WK</t>
        </is>
      </c>
      <c r="K789" s="39" t="n">
        <v>5000</v>
      </c>
      <c r="L789" s="35" t="n">
        <v>75000</v>
      </c>
      <c r="M789" s="3" t="inlineStr">
        <is>
          <t>CAD</t>
        </is>
      </c>
      <c r="N789" s="3" t="inlineStr">
        <is>
          <t>PARAMETRIC</t>
        </is>
      </c>
      <c r="O789" s="3" t="inlineStr">
        <is>
          <t>D-015</t>
        </is>
      </c>
      <c r="P789" s="3" t="inlineStr">
        <is>
          <t>MEDIUM</t>
        </is>
      </c>
      <c r="Q789" s="3" t="inlineStr">
        <is>
          <t>HSE coordinator allocation; 0.5 FTE × 30 weeks × $5k/wk blended</t>
        </is>
      </c>
      <c r="R789" s="3">
        <f>VLOOKUP($F789,Inputs!$D$6:$E$41,2,FALSE)</f>
        <v/>
      </c>
      <c r="S789" s="36">
        <f>VLOOKUP($E789,Inputs!$A$6:$B$13,2,FALSE)*Inputs!$B$2</f>
        <v/>
      </c>
      <c r="T789" s="35">
        <f>$L789*$S789</f>
        <v/>
      </c>
      <c r="U789" s="35">
        <f>$L789+$T789</f>
        <v/>
      </c>
    </row>
    <row r="790">
      <c r="A790" s="3" t="inlineStr">
        <is>
          <t>PKG-30::L-035</t>
        </is>
      </c>
      <c r="B790" s="3" t="inlineStr">
        <is>
          <t>PKG-30</t>
        </is>
      </c>
      <c r="C790" s="3" t="n"/>
      <c r="D790" s="3" t="inlineStr">
        <is>
          <t>L-035</t>
        </is>
      </c>
      <c r="E790" s="3" t="inlineStr">
        <is>
          <t>CI</t>
        </is>
      </c>
      <c r="F790" s="3" t="inlineStr">
        <is>
          <t>PKG-30</t>
        </is>
      </c>
      <c r="G790" s="3" t="n"/>
      <c r="H790" s="3" t="inlineStr">
        <is>
          <t>QA/QC Oversight - Commissioning Phase</t>
        </is>
      </c>
      <c r="I790" s="22" t="n">
        <v>1</v>
      </c>
      <c r="J790" s="3" t="inlineStr">
        <is>
          <t>LS</t>
        </is>
      </c>
      <c r="K790" s="39" t="n">
        <v>48000</v>
      </c>
      <c r="L790" s="35" t="n">
        <v>48000</v>
      </c>
      <c r="M790" s="3" t="inlineStr">
        <is>
          <t>CAD</t>
        </is>
      </c>
      <c r="N790" s="3" t="inlineStr">
        <is>
          <t>PARAMETRIC</t>
        </is>
      </c>
      <c r="O790" s="3" t="inlineStr">
        <is>
          <t>D-015</t>
        </is>
      </c>
      <c r="P790" s="3" t="inlineStr">
        <is>
          <t>MEDIUM</t>
        </is>
      </c>
      <c r="Q790" s="3" t="inlineStr">
        <is>
          <t>QA/QC management allocation for commissioning phase</t>
        </is>
      </c>
      <c r="R790" s="3">
        <f>VLOOKUP($F790,Inputs!$D$6:$E$41,2,FALSE)</f>
        <v/>
      </c>
      <c r="S790" s="36">
        <f>VLOOKUP($E790,Inputs!$A$6:$B$13,2,FALSE)*Inputs!$B$2</f>
        <v/>
      </c>
      <c r="T790" s="35">
        <f>$L790*$S790</f>
        <v/>
      </c>
      <c r="U790" s="35">
        <f>$L790+$T790</f>
        <v/>
      </c>
    </row>
    <row r="791">
      <c r="A791" s="3" t="inlineStr">
        <is>
          <t>PKG-30::L-036</t>
        </is>
      </c>
      <c r="B791" s="3" t="inlineStr">
        <is>
          <t>PKG-30</t>
        </is>
      </c>
      <c r="C791" s="3" t="n"/>
      <c r="D791" s="3" t="inlineStr">
        <is>
          <t>L-036</t>
        </is>
      </c>
      <c r="E791" s="3" t="inlineStr">
        <is>
          <t>CI</t>
        </is>
      </c>
      <c r="F791" s="3" t="inlineStr">
        <is>
          <t>PKG-30</t>
        </is>
      </c>
      <c r="G791" s="3" t="n"/>
      <c r="H791" s="3" t="inlineStr">
        <is>
          <t>Temporary Facilities - Commissioning Phase</t>
        </is>
      </c>
      <c r="I791" s="22" t="n">
        <v>1</v>
      </c>
      <c r="J791" s="3" t="inlineStr">
        <is>
          <t>LS</t>
        </is>
      </c>
      <c r="K791" s="39" t="n">
        <v>85000</v>
      </c>
      <c r="L791" s="35" t="n">
        <v>85000</v>
      </c>
      <c r="M791" s="3" t="inlineStr">
        <is>
          <t>CAD</t>
        </is>
      </c>
      <c r="N791" s="3" t="inlineStr">
        <is>
          <t>ALLOWANCE</t>
        </is>
      </c>
      <c r="O791" s="3" t="inlineStr">
        <is>
          <t>A-025</t>
        </is>
      </c>
      <c r="P791" s="3" t="inlineStr">
        <is>
          <t>LOW</t>
        </is>
      </c>
      <c r="Q791" s="3" t="inlineStr">
        <is>
          <t>Temporary commissioning offices, storage, welfare facilities; 7 months duration</t>
        </is>
      </c>
      <c r="R791" s="3">
        <f>VLOOKUP($F791,Inputs!$D$6:$E$41,2,FALSE)</f>
        <v/>
      </c>
      <c r="S791" s="36">
        <f>VLOOKUP($E791,Inputs!$A$6:$B$13,2,FALSE)*Inputs!$B$2</f>
        <v/>
      </c>
      <c r="T791" s="35">
        <f>$L791*$S791</f>
        <v/>
      </c>
      <c r="U791" s="35">
        <f>$L791+$T791</f>
        <v/>
      </c>
    </row>
    <row r="792">
      <c r="A792" s="3" t="inlineStr">
        <is>
          <t>PKG-30::L-037</t>
        </is>
      </c>
      <c r="B792" s="3" t="inlineStr">
        <is>
          <t>PKG-30</t>
        </is>
      </c>
      <c r="C792" s="3" t="n"/>
      <c r="D792" s="3" t="inlineStr">
        <is>
          <t>L-037</t>
        </is>
      </c>
      <c r="E792" s="3" t="inlineStr">
        <is>
          <t>CI</t>
        </is>
      </c>
      <c r="F792" s="3" t="inlineStr">
        <is>
          <t>PKG-30</t>
        </is>
      </c>
      <c r="G792" s="3" t="n"/>
      <c r="H792" s="3" t="inlineStr">
        <is>
          <t>Site Overhead - Commissioning Phase</t>
        </is>
      </c>
      <c r="I792" s="22" t="n">
        <v>1</v>
      </c>
      <c r="J792" s="3" t="inlineStr">
        <is>
          <t>LS</t>
        </is>
      </c>
      <c r="K792" s="39" t="n">
        <v>102000</v>
      </c>
      <c r="L792" s="35" t="n">
        <v>102000</v>
      </c>
      <c r="M792" s="3" t="inlineStr">
        <is>
          <t>CAD</t>
        </is>
      </c>
      <c r="N792" s="3" t="inlineStr">
        <is>
          <t>PARAMETRIC</t>
        </is>
      </c>
      <c r="O792" s="3" t="inlineStr">
        <is>
          <t>D-015</t>
        </is>
      </c>
      <c r="P792" s="3" t="inlineStr">
        <is>
          <t>MEDIUM</t>
        </is>
      </c>
      <c r="Q792" s="3" t="inlineStr">
        <is>
          <t>Site overhead allocation during commissioning phase; utilities, communications, misc</t>
        </is>
      </c>
      <c r="R792" s="3">
        <f>VLOOKUP($F792,Inputs!$D$6:$E$41,2,FALSE)</f>
        <v/>
      </c>
      <c r="S792" s="36">
        <f>VLOOKUP($E792,Inputs!$A$6:$B$13,2,FALSE)*Inputs!$B$2</f>
        <v/>
      </c>
      <c r="T792" s="35">
        <f>$L792*$S792</f>
        <v/>
      </c>
      <c r="U792" s="35">
        <f>$L792+$T792</f>
        <v/>
      </c>
    </row>
    <row r="793">
      <c r="A793" s="3" t="inlineStr">
        <is>
          <t>PKG-30::L-038</t>
        </is>
      </c>
      <c r="B793" s="3" t="inlineStr">
        <is>
          <t>PKG-30</t>
        </is>
      </c>
      <c r="C793" s="3" t="inlineStr">
        <is>
          <t>DEL-30.05</t>
        </is>
      </c>
      <c r="D793" s="3" t="inlineStr">
        <is>
          <t>L-038</t>
        </is>
      </c>
      <c r="E793" s="3" t="inlineStr">
        <is>
          <t>COM</t>
        </is>
      </c>
      <c r="F793" s="3" t="inlineStr">
        <is>
          <t>PKG-30</t>
        </is>
      </c>
      <c r="G793" s="3" t="inlineStr">
        <is>
          <t>DEL-30.05</t>
        </is>
      </c>
      <c r="H793" s="3" t="inlineStr">
        <is>
          <t>Integrated Systems Test Planning &amp; Coordination</t>
        </is>
      </c>
      <c r="I793" s="22" t="n">
        <v>1</v>
      </c>
      <c r="J793" s="3" t="inlineStr">
        <is>
          <t>LS</t>
        </is>
      </c>
      <c r="K793" s="39" t="n">
        <v>45000</v>
      </c>
      <c r="L793" s="35" t="n">
        <v>45000</v>
      </c>
      <c r="M793" s="3" t="inlineStr">
        <is>
          <t>CAD</t>
        </is>
      </c>
      <c r="N793" s="3" t="inlineStr">
        <is>
          <t>ALLOWANCE</t>
        </is>
      </c>
      <c r="O793" s="3" t="inlineStr">
        <is>
          <t>A-016</t>
        </is>
      </c>
      <c r="P793" s="3" t="inlineStr">
        <is>
          <t>LOW</t>
        </is>
      </c>
      <c r="Q793" s="3" t="inlineStr">
        <is>
          <t>IST test protocol development, coordination, execution support</t>
        </is>
      </c>
      <c r="R793" s="3">
        <f>VLOOKUP($F793,Inputs!$D$6:$E$41,2,FALSE)</f>
        <v/>
      </c>
      <c r="S793" s="36">
        <f>VLOOKUP($E793,Inputs!$A$6:$B$13,2,FALSE)*Inputs!$B$2</f>
        <v/>
      </c>
      <c r="T793" s="35">
        <f>$L793*$S793</f>
        <v/>
      </c>
      <c r="U793" s="35">
        <f>$L793+$T793</f>
        <v/>
      </c>
    </row>
    <row r="794">
      <c r="A794" s="3" t="inlineStr">
        <is>
          <t>PKG-30::L-039</t>
        </is>
      </c>
      <c r="B794" s="3" t="inlineStr">
        <is>
          <t>PKG-30</t>
        </is>
      </c>
      <c r="C794" s="3" t="inlineStr">
        <is>
          <t>DEL-30.06</t>
        </is>
      </c>
      <c r="D794" s="3" t="inlineStr">
        <is>
          <t>L-039</t>
        </is>
      </c>
      <c r="E794" s="3" t="inlineStr">
        <is>
          <t>COM</t>
        </is>
      </c>
      <c r="F794" s="3" t="inlineStr">
        <is>
          <t>PKG-30</t>
        </is>
      </c>
      <c r="G794" s="3" t="inlineStr">
        <is>
          <t>DEL-30.06</t>
        </is>
      </c>
      <c r="H794" s="3" t="inlineStr">
        <is>
          <t>Performance Test Planning &amp; Execution</t>
        </is>
      </c>
      <c r="I794" s="22" t="n">
        <v>1</v>
      </c>
      <c r="J794" s="3" t="inlineStr">
        <is>
          <t>LS</t>
        </is>
      </c>
      <c r="K794" s="39" t="n">
        <v>55000</v>
      </c>
      <c r="L794" s="35" t="n">
        <v>55000</v>
      </c>
      <c r="M794" s="3" t="inlineStr">
        <is>
          <t>CAD</t>
        </is>
      </c>
      <c r="N794" s="3" t="inlineStr">
        <is>
          <t>ALLOWANCE</t>
        </is>
      </c>
      <c r="O794" s="3" t="inlineStr">
        <is>
          <t>A-017</t>
        </is>
      </c>
      <c r="P794" s="3" t="inlineStr">
        <is>
          <t>LOW</t>
        </is>
      </c>
      <c r="Q794" s="3" t="inlineStr">
        <is>
          <t>Performance test protocol development, test execution, data analysis, reporting</t>
        </is>
      </c>
      <c r="R794" s="3">
        <f>VLOOKUP($F794,Inputs!$D$6:$E$41,2,FALSE)</f>
        <v/>
      </c>
      <c r="S794" s="36">
        <f>VLOOKUP($E794,Inputs!$A$6:$B$13,2,FALSE)*Inputs!$B$2</f>
        <v/>
      </c>
      <c r="T794" s="35">
        <f>$L794*$S794</f>
        <v/>
      </c>
      <c r="U794" s="35">
        <f>$L794+$T794</f>
        <v/>
      </c>
    </row>
    <row r="795">
      <c r="A795" s="3" t="inlineStr">
        <is>
          <t>PKG-30::L-040</t>
        </is>
      </c>
      <c r="B795" s="3" t="inlineStr">
        <is>
          <t>PKG-30</t>
        </is>
      </c>
      <c r="C795" s="3" t="inlineStr">
        <is>
          <t>DEL-30.05</t>
        </is>
      </c>
      <c r="D795" s="3" t="inlineStr">
        <is>
          <t>L-040</t>
        </is>
      </c>
      <c r="E795" s="3" t="inlineStr">
        <is>
          <t>COM</t>
        </is>
      </c>
      <c r="F795" s="3" t="inlineStr">
        <is>
          <t>PKG-30</t>
        </is>
      </c>
      <c r="G795" s="3" t="inlineStr">
        <is>
          <t>DEL-30.05</t>
        </is>
      </c>
      <c r="H795" s="3" t="inlineStr">
        <is>
          <t>Integrated Systems Test - Railcar to Tank Scenario</t>
        </is>
      </c>
      <c r="I795" s="22" t="n">
        <v>1</v>
      </c>
      <c r="J795" s="3" t="inlineStr">
        <is>
          <t>LS</t>
        </is>
      </c>
      <c r="K795" s="39" t="n">
        <v>38000</v>
      </c>
      <c r="L795" s="35" t="n">
        <v>38000</v>
      </c>
      <c r="M795" s="3" t="inlineStr">
        <is>
          <t>CAD</t>
        </is>
      </c>
      <c r="N795" s="3" t="inlineStr">
        <is>
          <t>ALLOWANCE</t>
        </is>
      </c>
      <c r="O795" s="3" t="inlineStr">
        <is>
          <t>A-016</t>
        </is>
      </c>
      <c r="P795" s="3" t="inlineStr">
        <is>
          <t>LOW</t>
        </is>
      </c>
      <c r="Q795" s="3" t="inlineStr">
        <is>
          <t>End-to-end test: railcar unloading → transfer → storage tank; includes setup, execution, reporting</t>
        </is>
      </c>
      <c r="R795" s="3">
        <f>VLOOKUP($F795,Inputs!$D$6:$E$41,2,FALSE)</f>
        <v/>
      </c>
      <c r="S795" s="36">
        <f>VLOOKUP($E795,Inputs!$A$6:$B$13,2,FALSE)*Inputs!$B$2</f>
        <v/>
      </c>
      <c r="T795" s="35">
        <f>$L795*$S795</f>
        <v/>
      </c>
      <c r="U795" s="35">
        <f>$L795+$T795</f>
        <v/>
      </c>
    </row>
    <row r="796">
      <c r="A796" s="3" t="inlineStr">
        <is>
          <t>PKG-30::L-041</t>
        </is>
      </c>
      <c r="B796" s="3" t="inlineStr">
        <is>
          <t>PKG-30</t>
        </is>
      </c>
      <c r="C796" s="3" t="inlineStr">
        <is>
          <t>DEL-30.05</t>
        </is>
      </c>
      <c r="D796" s="3" t="inlineStr">
        <is>
          <t>L-041</t>
        </is>
      </c>
      <c r="E796" s="3" t="inlineStr">
        <is>
          <t>COM</t>
        </is>
      </c>
      <c r="F796" s="3" t="inlineStr">
        <is>
          <t>PKG-30</t>
        </is>
      </c>
      <c r="G796" s="3" t="inlineStr">
        <is>
          <t>DEL-30.05</t>
        </is>
      </c>
      <c r="H796" s="3" t="inlineStr">
        <is>
          <t>Integrated Systems Test - Tank to Ship Scenario</t>
        </is>
      </c>
      <c r="I796" s="22" t="n">
        <v>1</v>
      </c>
      <c r="J796" s="3" t="inlineStr">
        <is>
          <t>LS</t>
        </is>
      </c>
      <c r="K796" s="39" t="n">
        <v>42000</v>
      </c>
      <c r="L796" s="35" t="n">
        <v>42000</v>
      </c>
      <c r="M796" s="3" t="inlineStr">
        <is>
          <t>CAD</t>
        </is>
      </c>
      <c r="N796" s="3" t="inlineStr">
        <is>
          <t>ALLOWANCE</t>
        </is>
      </c>
      <c r="O796" s="3" t="inlineStr">
        <is>
          <t>A-016</t>
        </is>
      </c>
      <c r="P796" s="3" t="inlineStr">
        <is>
          <t>LOW</t>
        </is>
      </c>
      <c r="Q796" s="3" t="inlineStr">
        <is>
          <t>End-to-end test: storage tank → transfer → metering → marine loading; includes setup, execution, reporting</t>
        </is>
      </c>
      <c r="R796" s="3">
        <f>VLOOKUP($F796,Inputs!$D$6:$E$41,2,FALSE)</f>
        <v/>
      </c>
      <c r="S796" s="36">
        <f>VLOOKUP($E796,Inputs!$A$6:$B$13,2,FALSE)*Inputs!$B$2</f>
        <v/>
      </c>
      <c r="T796" s="35">
        <f>$L796*$S796</f>
        <v/>
      </c>
      <c r="U796" s="35">
        <f>$L796+$T796</f>
        <v/>
      </c>
    </row>
    <row r="797">
      <c r="A797" s="3" t="inlineStr">
        <is>
          <t>PKG-30::L-042</t>
        </is>
      </c>
      <c r="B797" s="3" t="inlineStr">
        <is>
          <t>PKG-30</t>
        </is>
      </c>
      <c r="C797" s="3" t="inlineStr">
        <is>
          <t>DEL-30.05</t>
        </is>
      </c>
      <c r="D797" s="3" t="inlineStr">
        <is>
          <t>L-042</t>
        </is>
      </c>
      <c r="E797" s="3" t="inlineStr">
        <is>
          <t>COM</t>
        </is>
      </c>
      <c r="F797" s="3" t="inlineStr">
        <is>
          <t>PKG-30</t>
        </is>
      </c>
      <c r="G797" s="3" t="inlineStr">
        <is>
          <t>DEL-30.05</t>
        </is>
      </c>
      <c r="H797" s="3" t="inlineStr">
        <is>
          <t>Integrated Systems Test - Direct Rail to Ship Scenario</t>
        </is>
      </c>
      <c r="I797" s="22" t="n">
        <v>1</v>
      </c>
      <c r="J797" s="3" t="inlineStr">
        <is>
          <t>LS</t>
        </is>
      </c>
      <c r="K797" s="39" t="n">
        <v>35000</v>
      </c>
      <c r="L797" s="35" t="n">
        <v>35000</v>
      </c>
      <c r="M797" s="3" t="inlineStr">
        <is>
          <t>CAD</t>
        </is>
      </c>
      <c r="N797" s="3" t="inlineStr">
        <is>
          <t>ALLOWANCE</t>
        </is>
      </c>
      <c r="O797" s="3" t="inlineStr">
        <is>
          <t>A-016</t>
        </is>
      </c>
      <c r="P797" s="3" t="inlineStr">
        <is>
          <t>LOW</t>
        </is>
      </c>
      <c r="Q797" s="3" t="inlineStr">
        <is>
          <t>End-to-end test: railcar → transfer → metering → marine loading (operational flexibility verification - OBJ-4)</t>
        </is>
      </c>
      <c r="R797" s="3">
        <f>VLOOKUP($F797,Inputs!$D$6:$E$41,2,FALSE)</f>
        <v/>
      </c>
      <c r="S797" s="36">
        <f>VLOOKUP($E797,Inputs!$A$6:$B$13,2,FALSE)*Inputs!$B$2</f>
        <v/>
      </c>
      <c r="T797" s="35">
        <f>$L797*$S797</f>
        <v/>
      </c>
      <c r="U797" s="35">
        <f>$L797+$T797</f>
        <v/>
      </c>
    </row>
    <row r="798">
      <c r="A798" s="3" t="inlineStr">
        <is>
          <t>PKG-30::L-043</t>
        </is>
      </c>
      <c r="B798" s="3" t="inlineStr">
        <is>
          <t>PKG-30</t>
        </is>
      </c>
      <c r="C798" s="3" t="inlineStr">
        <is>
          <t>DEL-30.05</t>
        </is>
      </c>
      <c r="D798" s="3" t="inlineStr">
        <is>
          <t>L-043</t>
        </is>
      </c>
      <c r="E798" s="3" t="inlineStr">
        <is>
          <t>COM</t>
        </is>
      </c>
      <c r="F798" s="3" t="inlineStr">
        <is>
          <t>PKG-30</t>
        </is>
      </c>
      <c r="G798" s="3" t="inlineStr">
        <is>
          <t>DEL-30.05</t>
        </is>
      </c>
      <c r="H798" s="3" t="inlineStr">
        <is>
          <t>Control System Integration Testing</t>
        </is>
      </c>
      <c r="I798" s="22" t="n">
        <v>1</v>
      </c>
      <c r="J798" s="3" t="inlineStr">
        <is>
          <t>LS</t>
        </is>
      </c>
      <c r="K798" s="39" t="n">
        <v>41000</v>
      </c>
      <c r="L798" s="35" t="n">
        <v>41000</v>
      </c>
      <c r="M798" s="3" t="inlineStr">
        <is>
          <t>CAD</t>
        </is>
      </c>
      <c r="N798" s="3" t="inlineStr">
        <is>
          <t>ALLOWANCE</t>
        </is>
      </c>
      <c r="O798" s="3" t="inlineStr">
        <is>
          <t>A-016</t>
        </is>
      </c>
      <c r="P798" s="3" t="inlineStr">
        <is>
          <t>LOW</t>
        </is>
      </c>
      <c r="Q798" s="3" t="inlineStr">
        <is>
          <t>SCADA/PLC integration, interlocks, alarms, emergency shutdown verification</t>
        </is>
      </c>
      <c r="R798" s="3">
        <f>VLOOKUP($F798,Inputs!$D$6:$E$41,2,FALSE)</f>
        <v/>
      </c>
      <c r="S798" s="36">
        <f>VLOOKUP($E798,Inputs!$A$6:$B$13,2,FALSE)*Inputs!$B$2</f>
        <v/>
      </c>
      <c r="T798" s="35">
        <f>$L798*$S798</f>
        <v/>
      </c>
      <c r="U798" s="35">
        <f>$L798+$T798</f>
        <v/>
      </c>
    </row>
    <row r="799">
      <c r="A799" s="3" t="inlineStr">
        <is>
          <t>PKG-31::L001</t>
        </is>
      </c>
      <c r="B799" s="3" t="inlineStr">
        <is>
          <t>PKG-31</t>
        </is>
      </c>
      <c r="C799" s="3" t="inlineStr">
        <is>
          <t>DEL-31.01</t>
        </is>
      </c>
      <c r="D799" s="3" t="inlineStr">
        <is>
          <t>L001</t>
        </is>
      </c>
      <c r="E799" s="3" t="inlineStr">
        <is>
          <t>E</t>
        </is>
      </c>
      <c r="F799" s="3" t="inlineStr">
        <is>
          <t>PKG-31</t>
        </is>
      </c>
      <c r="G799" s="3" t="inlineStr">
        <is>
          <t>DEL-31.01</t>
        </is>
      </c>
      <c r="H799" s="3" t="inlineStr">
        <is>
          <t>Record Drawing Set - Drafting &amp; Coordination</t>
        </is>
      </c>
      <c r="I799" s="22" t="n">
        <v>275</v>
      </c>
      <c r="J799" s="3" t="inlineStr">
        <is>
          <t>sheets</t>
        </is>
      </c>
      <c r="K799" s="39" t="n">
        <v>165</v>
      </c>
      <c r="L799" s="35" t="n">
        <v>45375</v>
      </c>
      <c r="M799" s="3" t="inlineStr">
        <is>
          <t>CAD</t>
        </is>
      </c>
      <c r="N799" s="3" t="inlineStr">
        <is>
          <t>PARAMETRIC</t>
        </is>
      </c>
      <c r="O799" s="3" t="inlineStr">
        <is>
          <t>A-001; D-006</t>
        </is>
      </c>
      <c r="P799" s="3" t="inlineStr">
        <is>
          <t>MED</t>
        </is>
      </c>
      <c r="Q799" s="3" t="inlineStr">
        <is>
          <t>Estimated 275 total drawings at 12 hrs/sheet avg; $165/hr blended eng rate</t>
        </is>
      </c>
      <c r="R799" s="3">
        <f>VLOOKUP($F799,Inputs!$D$6:$E$41,2,FALSE)</f>
        <v/>
      </c>
      <c r="S799" s="36">
        <f>VLOOKUP($E799,Inputs!$A$6:$B$13,2,FALSE)*Inputs!$B$2</f>
        <v/>
      </c>
      <c r="T799" s="35">
        <f>$L799*$S799</f>
        <v/>
      </c>
      <c r="U799" s="35">
        <f>$L799+$T799</f>
        <v/>
      </c>
    </row>
    <row r="800">
      <c r="A800" s="3" t="inlineStr">
        <is>
          <t>PKG-31::L002</t>
        </is>
      </c>
      <c r="B800" s="3" t="inlineStr">
        <is>
          <t>PKG-31</t>
        </is>
      </c>
      <c r="C800" s="3" t="inlineStr">
        <is>
          <t>DEL-31.02</t>
        </is>
      </c>
      <c r="D800" s="3" t="inlineStr">
        <is>
          <t>L002</t>
        </is>
      </c>
      <c r="E800" s="3" t="inlineStr">
        <is>
          <t>E</t>
        </is>
      </c>
      <c r="F800" s="3" t="inlineStr">
        <is>
          <t>PKG-31</t>
        </is>
      </c>
      <c r="G800" s="3" t="inlineStr">
        <is>
          <t>DEL-31.02</t>
        </is>
      </c>
      <c r="H800" s="3" t="inlineStr">
        <is>
          <t>As-Built Drawing Set - Field Markup Incorporation</t>
        </is>
      </c>
      <c r="I800" s="22" t="n">
        <v>275</v>
      </c>
      <c r="J800" s="3" t="inlineStr">
        <is>
          <t>sheets</t>
        </is>
      </c>
      <c r="K800" s="39" t="n">
        <v>110</v>
      </c>
      <c r="L800" s="35" t="n">
        <v>30250</v>
      </c>
      <c r="M800" s="3" t="inlineStr">
        <is>
          <t>CAD</t>
        </is>
      </c>
      <c r="N800" s="3" t="inlineStr">
        <is>
          <t>PARAMETRIC</t>
        </is>
      </c>
      <c r="O800" s="3" t="inlineStr">
        <is>
          <t>A-001; D-006</t>
        </is>
      </c>
      <c r="P800" s="3" t="inlineStr">
        <is>
          <t>MED</t>
        </is>
      </c>
      <c r="Q800" s="3" t="inlineStr">
        <is>
          <t>As-built updates at +8 hrs/sheet; includes field verification &amp; QA</t>
        </is>
      </c>
      <c r="R800" s="3">
        <f>VLOOKUP($F800,Inputs!$D$6:$E$41,2,FALSE)</f>
        <v/>
      </c>
      <c r="S800" s="36">
        <f>VLOOKUP($E800,Inputs!$A$6:$B$13,2,FALSE)*Inputs!$B$2</f>
        <v/>
      </c>
      <c r="T800" s="35">
        <f>$L800*$S800</f>
        <v/>
      </c>
      <c r="U800" s="35">
        <f>$L800+$T800</f>
        <v/>
      </c>
    </row>
    <row r="801">
      <c r="A801" s="3" t="inlineStr">
        <is>
          <t>PKG-31::L003</t>
        </is>
      </c>
      <c r="B801" s="3" t="inlineStr">
        <is>
          <t>PKG-31</t>
        </is>
      </c>
      <c r="C801" s="3" t="inlineStr">
        <is>
          <t>DEL-31.03</t>
        </is>
      </c>
      <c r="D801" s="3" t="inlineStr">
        <is>
          <t>L003</t>
        </is>
      </c>
      <c r="E801" s="3" t="inlineStr">
        <is>
          <t>E</t>
        </is>
      </c>
      <c r="F801" s="3" t="inlineStr">
        <is>
          <t>PKG-31</t>
        </is>
      </c>
      <c r="G801" s="3" t="inlineStr">
        <is>
          <t>DEL-31.03</t>
        </is>
      </c>
      <c r="H801" s="3" t="inlineStr">
        <is>
          <t>Operation Manuals - System Level</t>
        </is>
      </c>
      <c r="I801" s="22" t="n">
        <v>12</v>
      </c>
      <c r="J801" s="3" t="inlineStr">
        <is>
          <t>systems</t>
        </is>
      </c>
      <c r="K801" s="39" t="n">
        <v>13200</v>
      </c>
      <c r="L801" s="35" t="n">
        <v>158400</v>
      </c>
      <c r="M801" s="3" t="inlineStr">
        <is>
          <t>CAD</t>
        </is>
      </c>
      <c r="N801" s="3" t="inlineStr">
        <is>
          <t>PARAMETRIC</t>
        </is>
      </c>
      <c r="O801" s="3" t="inlineStr">
        <is>
          <t>A-002; D-007</t>
        </is>
      </c>
      <c r="P801" s="3" t="inlineStr">
        <is>
          <t>MED</t>
        </is>
      </c>
      <c r="Q801" s="3" t="inlineStr">
        <is>
          <t>12 operational systems at 80 hrs/system; includes procedures and diagrams</t>
        </is>
      </c>
      <c r="R801" s="3">
        <f>VLOOKUP($F801,Inputs!$D$6:$E$41,2,FALSE)</f>
        <v/>
      </c>
      <c r="S801" s="36">
        <f>VLOOKUP($E801,Inputs!$A$6:$B$13,2,FALSE)*Inputs!$B$2</f>
        <v/>
      </c>
      <c r="T801" s="35">
        <f>$L801*$S801</f>
        <v/>
      </c>
      <c r="U801" s="35">
        <f>$L801+$T801</f>
        <v/>
      </c>
    </row>
    <row r="802">
      <c r="A802" s="3" t="inlineStr">
        <is>
          <t>PKG-31::L004</t>
        </is>
      </c>
      <c r="B802" s="3" t="inlineStr">
        <is>
          <t>PKG-31</t>
        </is>
      </c>
      <c r="C802" s="3" t="inlineStr">
        <is>
          <t>DEL-31.04</t>
        </is>
      </c>
      <c r="D802" s="3" t="inlineStr">
        <is>
          <t>L004</t>
        </is>
      </c>
      <c r="E802" s="3" t="inlineStr">
        <is>
          <t>E</t>
        </is>
      </c>
      <c r="F802" s="3" t="inlineStr">
        <is>
          <t>PKG-31</t>
        </is>
      </c>
      <c r="G802" s="3" t="inlineStr">
        <is>
          <t>DEL-31.04</t>
        </is>
      </c>
      <c r="H802" s="3" t="inlineStr">
        <is>
          <t>Maintenance Manuals - Equipment Level</t>
        </is>
      </c>
      <c r="I802" s="22" t="n">
        <v>90</v>
      </c>
      <c r="J802" s="3" t="inlineStr">
        <is>
          <t>equipment</t>
        </is>
      </c>
      <c r="K802" s="39" t="n">
        <v>2640</v>
      </c>
      <c r="L802" s="35" t="n">
        <v>237600</v>
      </c>
      <c r="M802" s="3" t="inlineStr">
        <is>
          <t>CAD</t>
        </is>
      </c>
      <c r="N802" s="3" t="inlineStr">
        <is>
          <t>PARAMETRIC</t>
        </is>
      </c>
      <c r="O802" s="3" t="inlineStr">
        <is>
          <t>A-003; D-007</t>
        </is>
      </c>
      <c r="P802" s="3" t="inlineStr">
        <is>
          <t>MED</t>
        </is>
      </c>
      <c r="Q802" s="3" t="inlineStr">
        <is>
          <t>90 major equipment items at 16 hrs/equipment; compilation from vendor docs</t>
        </is>
      </c>
      <c r="R802" s="3">
        <f>VLOOKUP($F802,Inputs!$D$6:$E$41,2,FALSE)</f>
        <v/>
      </c>
      <c r="S802" s="36">
        <f>VLOOKUP($E802,Inputs!$A$6:$B$13,2,FALSE)*Inputs!$B$2</f>
        <v/>
      </c>
      <c r="T802" s="35">
        <f>$L802*$S802</f>
        <v/>
      </c>
      <c r="U802" s="35">
        <f>$L802+$T802</f>
        <v/>
      </c>
    </row>
    <row r="803">
      <c r="A803" s="3" t="inlineStr">
        <is>
          <t>PKG-31::L005</t>
        </is>
      </c>
      <c r="B803" s="3" t="inlineStr">
        <is>
          <t>PKG-31</t>
        </is>
      </c>
      <c r="C803" s="3" t="inlineStr">
        <is>
          <t>DEL-31.05</t>
        </is>
      </c>
      <c r="D803" s="3" t="inlineStr">
        <is>
          <t>L005</t>
        </is>
      </c>
      <c r="E803" s="3" t="inlineStr">
        <is>
          <t>PM</t>
        </is>
      </c>
      <c r="F803" s="3" t="inlineStr">
        <is>
          <t>PKG-31</t>
        </is>
      </c>
      <c r="G803" s="3" t="inlineStr">
        <is>
          <t>DEL-31.05</t>
        </is>
      </c>
      <c r="H803" s="3" t="inlineStr">
        <is>
          <t>Vendor Documentation - Compilation &amp; Organization</t>
        </is>
      </c>
      <c r="I803" s="22" t="n">
        <v>90</v>
      </c>
      <c r="J803" s="3" t="inlineStr">
        <is>
          <t>vendors</t>
        </is>
      </c>
      <c r="K803" s="39" t="n">
        <v>1320</v>
      </c>
      <c r="L803" s="35" t="n">
        <v>118800</v>
      </c>
      <c r="M803" s="3" t="inlineStr">
        <is>
          <t>CAD</t>
        </is>
      </c>
      <c r="N803" s="3" t="inlineStr">
        <is>
          <t>PARAMETRIC</t>
        </is>
      </c>
      <c r="O803" s="3" t="inlineStr">
        <is>
          <t>A-003; D-008</t>
        </is>
      </c>
      <c r="P803" s="3" t="inlineStr">
        <is>
          <t>MED</t>
        </is>
      </c>
      <c r="Q803" s="3" t="inlineStr">
        <is>
          <t>Collection organization and indexing of vendor manuals certificates warranties</t>
        </is>
      </c>
      <c r="R803" s="3">
        <f>VLOOKUP($F803,Inputs!$D$6:$E$41,2,FALSE)</f>
        <v/>
      </c>
      <c r="S803" s="36">
        <f>VLOOKUP($E803,Inputs!$A$6:$B$13,2,FALSE)*Inputs!$B$2</f>
        <v/>
      </c>
      <c r="T803" s="35">
        <f>$L803*$S803</f>
        <v/>
      </c>
      <c r="U803" s="35">
        <f>$L803+$T803</f>
        <v/>
      </c>
    </row>
    <row r="804">
      <c r="A804" s="3" t="inlineStr">
        <is>
          <t>PKG-31::L006</t>
        </is>
      </c>
      <c r="B804" s="3" t="inlineStr">
        <is>
          <t>PKG-31</t>
        </is>
      </c>
      <c r="C804" s="3" t="inlineStr">
        <is>
          <t>DEL-31.06</t>
        </is>
      </c>
      <c r="D804" s="3" t="inlineStr">
        <is>
          <t>L006</t>
        </is>
      </c>
      <c r="E804" s="3" t="inlineStr">
        <is>
          <t>PM</t>
        </is>
      </c>
      <c r="F804" s="3" t="inlineStr">
        <is>
          <t>PKG-31</t>
        </is>
      </c>
      <c r="G804" s="3" t="inlineStr">
        <is>
          <t>DEL-31.06</t>
        </is>
      </c>
      <c r="H804" s="3" t="inlineStr">
        <is>
          <t>Asset Hierarchy - Database Development</t>
        </is>
      </c>
      <c r="I804" s="22" t="n">
        <v>1</v>
      </c>
      <c r="J804" s="3" t="inlineStr">
        <is>
          <t>LS</t>
        </is>
      </c>
      <c r="K804" s="39" t="n">
        <v>15840</v>
      </c>
      <c r="L804" s="35" t="n">
        <v>15840</v>
      </c>
      <c r="M804" s="3" t="inlineStr">
        <is>
          <t>CAD</t>
        </is>
      </c>
      <c r="N804" s="3" t="inlineStr">
        <is>
          <t>PARAMETRIC</t>
        </is>
      </c>
      <c r="O804" s="3" t="inlineStr">
        <is>
          <t>D-008</t>
        </is>
      </c>
      <c r="P804" s="3" t="inlineStr">
        <is>
          <t>MED</t>
        </is>
      </c>
      <c r="Q804" s="3" t="inlineStr">
        <is>
          <t>120 hours at $132/hr PM rate; database structure and population</t>
        </is>
      </c>
      <c r="R804" s="3">
        <f>VLOOKUP($F804,Inputs!$D$6:$E$41,2,FALSE)</f>
        <v/>
      </c>
      <c r="S804" s="36">
        <f>VLOOKUP($E804,Inputs!$A$6:$B$13,2,FALSE)*Inputs!$B$2</f>
        <v/>
      </c>
      <c r="T804" s="35">
        <f>$L804*$S804</f>
        <v/>
      </c>
      <c r="U804" s="35">
        <f>$L804+$T804</f>
        <v/>
      </c>
    </row>
    <row r="805">
      <c r="A805" s="3" t="inlineStr">
        <is>
          <t>PKG-31::L007</t>
        </is>
      </c>
      <c r="B805" s="3" t="inlineStr">
        <is>
          <t>PKG-31</t>
        </is>
      </c>
      <c r="C805" s="3" t="inlineStr">
        <is>
          <t>DEL-31.07</t>
        </is>
      </c>
      <c r="D805" s="3" t="inlineStr">
        <is>
          <t>L007</t>
        </is>
      </c>
      <c r="E805" s="3" t="inlineStr">
        <is>
          <t>PM</t>
        </is>
      </c>
      <c r="F805" s="3" t="inlineStr">
        <is>
          <t>PKG-31</t>
        </is>
      </c>
      <c r="G805" s="3" t="inlineStr">
        <is>
          <t>DEL-31.07</t>
        </is>
      </c>
      <c r="H805" s="3" t="inlineStr">
        <is>
          <t>Health &amp; Safety File - Compilation</t>
        </is>
      </c>
      <c r="I805" s="22" t="n">
        <v>1</v>
      </c>
      <c r="J805" s="3" t="inlineStr">
        <is>
          <t>LS</t>
        </is>
      </c>
      <c r="K805" s="39" t="n">
        <v>5280</v>
      </c>
      <c r="L805" s="35" t="n">
        <v>5280</v>
      </c>
      <c r="M805" s="3" t="inlineStr">
        <is>
          <t>CAD</t>
        </is>
      </c>
      <c r="N805" s="3" t="inlineStr">
        <is>
          <t>PARAMETRIC</t>
        </is>
      </c>
      <c r="O805" s="3" t="inlineStr">
        <is>
          <t>D-008</t>
        </is>
      </c>
      <c r="P805" s="3" t="inlineStr">
        <is>
          <t>MED</t>
        </is>
      </c>
      <c r="Q805" s="3" t="inlineStr">
        <is>
          <t>40 hours at $132/hr PM rate; H&amp;S documentation compilation</t>
        </is>
      </c>
      <c r="R805" s="3">
        <f>VLOOKUP($F805,Inputs!$D$6:$E$41,2,FALSE)</f>
        <v/>
      </c>
      <c r="S805" s="36">
        <f>VLOOKUP($E805,Inputs!$A$6:$B$13,2,FALSE)*Inputs!$B$2</f>
        <v/>
      </c>
      <c r="T805" s="35">
        <f>$L805*$S805</f>
        <v/>
      </c>
      <c r="U805" s="35">
        <f>$L805+$T805</f>
        <v/>
      </c>
    </row>
    <row r="806">
      <c r="A806" s="3" t="inlineStr">
        <is>
          <t>PKG-31::L008</t>
        </is>
      </c>
      <c r="B806" s="3" t="inlineStr">
        <is>
          <t>PKG-31</t>
        </is>
      </c>
      <c r="C806" s="3" t="inlineStr">
        <is>
          <t>DEL-31.08</t>
        </is>
      </c>
      <c r="D806" s="3" t="inlineStr">
        <is>
          <t>L008</t>
        </is>
      </c>
      <c r="E806" s="3" t="inlineStr">
        <is>
          <t>PM</t>
        </is>
      </c>
      <c r="F806" s="3" t="inlineStr">
        <is>
          <t>PKG-31</t>
        </is>
      </c>
      <c r="G806" s="3" t="inlineStr">
        <is>
          <t>DEL-31.08</t>
        </is>
      </c>
      <c r="H806" s="3" t="inlineStr">
        <is>
          <t>Warranties Register - Development</t>
        </is>
      </c>
      <c r="I806" s="22" t="n">
        <v>1</v>
      </c>
      <c r="J806" s="3" t="inlineStr">
        <is>
          <t>LS</t>
        </is>
      </c>
      <c r="K806" s="39" t="n">
        <v>5280</v>
      </c>
      <c r="L806" s="35" t="n">
        <v>5280</v>
      </c>
      <c r="M806" s="3" t="inlineStr">
        <is>
          <t>CAD</t>
        </is>
      </c>
      <c r="N806" s="3" t="inlineStr">
        <is>
          <t>PARAMETRIC</t>
        </is>
      </c>
      <c r="O806" s="3" t="inlineStr">
        <is>
          <t>D-008</t>
        </is>
      </c>
      <c r="P806" s="3" t="inlineStr">
        <is>
          <t>MED</t>
        </is>
      </c>
      <c r="Q806" s="3" t="inlineStr">
        <is>
          <t>40 hours at $132/hr PM rate; register development and maintenance</t>
        </is>
      </c>
      <c r="R806" s="3">
        <f>VLOOKUP($F806,Inputs!$D$6:$E$41,2,FALSE)</f>
        <v/>
      </c>
      <c r="S806" s="36">
        <f>VLOOKUP($E806,Inputs!$A$6:$B$13,2,FALSE)*Inputs!$B$2</f>
        <v/>
      </c>
      <c r="T806" s="35">
        <f>$L806*$S806</f>
        <v/>
      </c>
      <c r="U806" s="35">
        <f>$L806+$T806</f>
        <v/>
      </c>
    </row>
    <row r="807">
      <c r="A807" s="3" t="inlineStr">
        <is>
          <t>PKG-31::L009</t>
        </is>
      </c>
      <c r="B807" s="3" t="inlineStr">
        <is>
          <t>PKG-31</t>
        </is>
      </c>
      <c r="C807" s="3" t="inlineStr">
        <is>
          <t>DEL-31.09</t>
        </is>
      </c>
      <c r="D807" s="3" t="inlineStr">
        <is>
          <t>L009</t>
        </is>
      </c>
      <c r="E807" s="3" t="inlineStr">
        <is>
          <t>PM</t>
        </is>
      </c>
      <c r="F807" s="3" t="inlineStr">
        <is>
          <t>PKG-31</t>
        </is>
      </c>
      <c r="G807" s="3" t="inlineStr">
        <is>
          <t>DEL-31.09</t>
        </is>
      </c>
      <c r="H807" s="3" t="inlineStr">
        <is>
          <t>Warranty Certificates - Collection &amp; Verification</t>
        </is>
      </c>
      <c r="I807" s="22" t="n">
        <v>1</v>
      </c>
      <c r="J807" s="3" t="inlineStr">
        <is>
          <t>LS</t>
        </is>
      </c>
      <c r="K807" s="39" t="n">
        <v>7920</v>
      </c>
      <c r="L807" s="35" t="n">
        <v>7920</v>
      </c>
      <c r="M807" s="3" t="inlineStr">
        <is>
          <t>CAD</t>
        </is>
      </c>
      <c r="N807" s="3" t="inlineStr">
        <is>
          <t>PARAMETRIC</t>
        </is>
      </c>
      <c r="O807" s="3" t="inlineStr">
        <is>
          <t>D-008</t>
        </is>
      </c>
      <c r="P807" s="3" t="inlineStr">
        <is>
          <t>MED</t>
        </is>
      </c>
      <c r="Q807" s="3" t="inlineStr">
        <is>
          <t>60 hours at $132/hr PM rate; certificate collection and verification</t>
        </is>
      </c>
      <c r="R807" s="3">
        <f>VLOOKUP($F807,Inputs!$D$6:$E$41,2,FALSE)</f>
        <v/>
      </c>
      <c r="S807" s="36">
        <f>VLOOKUP($E807,Inputs!$A$6:$B$13,2,FALSE)*Inputs!$B$2</f>
        <v/>
      </c>
      <c r="T807" s="35">
        <f>$L807*$S807</f>
        <v/>
      </c>
      <c r="U807" s="35">
        <f>$L807+$T807</f>
        <v/>
      </c>
    </row>
    <row r="808">
      <c r="A808" s="3" t="inlineStr">
        <is>
          <t>PKG-31::L010</t>
        </is>
      </c>
      <c r="B808" s="3" t="inlineStr">
        <is>
          <t>PKG-31</t>
        </is>
      </c>
      <c r="C808" s="3" t="inlineStr">
        <is>
          <t>DEL-31.10</t>
        </is>
      </c>
      <c r="D808" s="3" t="inlineStr">
        <is>
          <t>L010</t>
        </is>
      </c>
      <c r="E808" s="3" t="inlineStr">
        <is>
          <t>PM</t>
        </is>
      </c>
      <c r="F808" s="3" t="inlineStr">
        <is>
          <t>PKG-31</t>
        </is>
      </c>
      <c r="G808" s="3" t="inlineStr">
        <is>
          <t>DEL-31.10</t>
        </is>
      </c>
      <c r="H808" s="3" t="inlineStr">
        <is>
          <t>Building Warranty Certificates - Coordination</t>
        </is>
      </c>
      <c r="I808" s="22" t="n">
        <v>1</v>
      </c>
      <c r="J808" s="3" t="inlineStr">
        <is>
          <t>LS</t>
        </is>
      </c>
      <c r="K808" s="39" t="n">
        <v>3960</v>
      </c>
      <c r="L808" s="35" t="n">
        <v>3960</v>
      </c>
      <c r="M808" s="3" t="inlineStr">
        <is>
          <t>CAD</t>
        </is>
      </c>
      <c r="N808" s="3" t="inlineStr">
        <is>
          <t>PARAMETRIC</t>
        </is>
      </c>
      <c r="O808" s="3" t="inlineStr">
        <is>
          <t>D-008</t>
        </is>
      </c>
      <c r="P808" s="3" t="inlineStr">
        <is>
          <t>LOW</t>
        </is>
      </c>
      <c r="Q808" s="3" t="inlineStr">
        <is>
          <t>30 hours at $132/hr PM rate; building-specific warranty coordination</t>
        </is>
      </c>
      <c r="R808" s="3">
        <f>VLOOKUP($F808,Inputs!$D$6:$E$41,2,FALSE)</f>
        <v/>
      </c>
      <c r="S808" s="36">
        <f>VLOOKUP($E808,Inputs!$A$6:$B$13,2,FALSE)*Inputs!$B$2</f>
        <v/>
      </c>
      <c r="T808" s="35">
        <f>$L808*$S808</f>
        <v/>
      </c>
      <c r="U808" s="35">
        <f>$L808+$T808</f>
        <v/>
      </c>
    </row>
    <row r="809">
      <c r="A809" s="3" t="inlineStr">
        <is>
          <t>PKG-31::L011</t>
        </is>
      </c>
      <c r="B809" s="3" t="inlineStr">
        <is>
          <t>PKG-31</t>
        </is>
      </c>
      <c r="C809" s="3" t="inlineStr">
        <is>
          <t>DEL-31.11</t>
        </is>
      </c>
      <c r="D809" s="3" t="inlineStr">
        <is>
          <t>L011</t>
        </is>
      </c>
      <c r="E809" s="3" t="inlineStr">
        <is>
          <t>PM</t>
        </is>
      </c>
      <c r="F809" s="3" t="inlineStr">
        <is>
          <t>PKG-31</t>
        </is>
      </c>
      <c r="G809" s="3" t="inlineStr">
        <is>
          <t>DEL-31.11</t>
        </is>
      </c>
      <c r="H809" s="3" t="inlineStr">
        <is>
          <t>Building MEP Warranty Certificates - Coordination</t>
        </is>
      </c>
      <c r="I809" s="22" t="n">
        <v>1</v>
      </c>
      <c r="J809" s="3" t="inlineStr">
        <is>
          <t>LS</t>
        </is>
      </c>
      <c r="K809" s="39" t="n">
        <v>3960</v>
      </c>
      <c r="L809" s="35" t="n">
        <v>3960</v>
      </c>
      <c r="M809" s="3" t="inlineStr">
        <is>
          <t>CAD</t>
        </is>
      </c>
      <c r="N809" s="3" t="inlineStr">
        <is>
          <t>PARAMETRIC</t>
        </is>
      </c>
      <c r="O809" s="3" t="inlineStr">
        <is>
          <t>D-008</t>
        </is>
      </c>
      <c r="P809" s="3" t="inlineStr">
        <is>
          <t>LOW</t>
        </is>
      </c>
      <c r="Q809" s="3" t="inlineStr">
        <is>
          <t>30 hours at $132/hr PM rate; MEP-specific warranty coordination</t>
        </is>
      </c>
      <c r="R809" s="3">
        <f>VLOOKUP($F809,Inputs!$D$6:$E$41,2,FALSE)</f>
        <v/>
      </c>
      <c r="S809" s="36">
        <f>VLOOKUP($E809,Inputs!$A$6:$B$13,2,FALSE)*Inputs!$B$2</f>
        <v/>
      </c>
      <c r="T809" s="35">
        <f>$L809*$S809</f>
        <v/>
      </c>
      <c r="U809" s="35">
        <f>$L809+$T809</f>
        <v/>
      </c>
    </row>
    <row r="810">
      <c r="A810" s="3" t="inlineStr">
        <is>
          <t>PKG-31::L012</t>
        </is>
      </c>
      <c r="B810" s="3" t="inlineStr">
        <is>
          <t>PKG-31</t>
        </is>
      </c>
      <c r="C810" s="3" t="n"/>
      <c r="D810" s="3" t="inlineStr">
        <is>
          <t>L012</t>
        </is>
      </c>
      <c r="E810" s="3" t="inlineStr">
        <is>
          <t>MAT</t>
        </is>
      </c>
      <c r="F810" s="3" t="inlineStr">
        <is>
          <t>PKG-31</t>
        </is>
      </c>
      <c r="G810" s="3" t="n"/>
      <c r="H810" s="3" t="inlineStr">
        <is>
          <t>Drawing Printing &amp; Binding - Record Set</t>
        </is>
      </c>
      <c r="I810" s="22" t="n">
        <v>3</v>
      </c>
      <c r="J810" s="3" t="inlineStr">
        <is>
          <t>sets</t>
        </is>
      </c>
      <c r="K810" s="39" t="n">
        <v>3850</v>
      </c>
      <c r="L810" s="35" t="n">
        <v>11550</v>
      </c>
      <c r="M810" s="3" t="inlineStr">
        <is>
          <t>CAD</t>
        </is>
      </c>
      <c r="N810" s="3" t="inlineStr">
        <is>
          <t>ALLOWANCE</t>
        </is>
      </c>
      <c r="O810" s="3" t="inlineStr">
        <is>
          <t>A-004</t>
        </is>
      </c>
      <c r="P810" s="3" t="inlineStr">
        <is>
          <t>LOW</t>
        </is>
      </c>
      <c r="Q810" s="3" t="inlineStr">
        <is>
          <t>3 full sets at ~275 sheets/set; large format printing binding indexing</t>
        </is>
      </c>
      <c r="R810" s="3">
        <f>VLOOKUP($F810,Inputs!$D$6:$E$41,2,FALSE)</f>
        <v/>
      </c>
      <c r="S810" s="36">
        <f>VLOOKUP($E810,Inputs!$A$6:$B$13,2,FALSE)*Inputs!$B$2</f>
        <v/>
      </c>
      <c r="T810" s="35">
        <f>$L810*$S810</f>
        <v/>
      </c>
      <c r="U810" s="35">
        <f>$L810+$T810</f>
        <v/>
      </c>
    </row>
    <row r="811">
      <c r="A811" s="3" t="inlineStr">
        <is>
          <t>PKG-31::L013</t>
        </is>
      </c>
      <c r="B811" s="3" t="inlineStr">
        <is>
          <t>PKG-31</t>
        </is>
      </c>
      <c r="C811" s="3" t="n"/>
      <c r="D811" s="3" t="inlineStr">
        <is>
          <t>L013</t>
        </is>
      </c>
      <c r="E811" s="3" t="inlineStr">
        <is>
          <t>MAT</t>
        </is>
      </c>
      <c r="F811" s="3" t="inlineStr">
        <is>
          <t>PKG-31</t>
        </is>
      </c>
      <c r="G811" s="3" t="n"/>
      <c r="H811" s="3" t="inlineStr">
        <is>
          <t>Drawing Printing &amp; Binding - As-Built Set</t>
        </is>
      </c>
      <c r="I811" s="22" t="n">
        <v>3</v>
      </c>
      <c r="J811" s="3" t="inlineStr">
        <is>
          <t>sets</t>
        </is>
      </c>
      <c r="K811" s="39" t="n">
        <v>4125</v>
      </c>
      <c r="L811" s="35" t="n">
        <v>12375</v>
      </c>
      <c r="M811" s="3" t="inlineStr">
        <is>
          <t>CAD</t>
        </is>
      </c>
      <c r="N811" s="3" t="inlineStr">
        <is>
          <t>ALLOWANCE</t>
        </is>
      </c>
      <c r="O811" s="3" t="inlineStr">
        <is>
          <t>A-004</t>
        </is>
      </c>
      <c r="P811" s="3" t="inlineStr">
        <is>
          <t>LOW</t>
        </is>
      </c>
      <c r="Q811" s="3" t="inlineStr">
        <is>
          <t>3 full as-built sets; higher quality paper and binding</t>
        </is>
      </c>
      <c r="R811" s="3">
        <f>VLOOKUP($F811,Inputs!$D$6:$E$41,2,FALSE)</f>
        <v/>
      </c>
      <c r="S811" s="36">
        <f>VLOOKUP($E811,Inputs!$A$6:$B$13,2,FALSE)*Inputs!$B$2</f>
        <v/>
      </c>
      <c r="T811" s="35">
        <f>$L811*$S811</f>
        <v/>
      </c>
      <c r="U811" s="35">
        <f>$L811+$T811</f>
        <v/>
      </c>
    </row>
    <row r="812">
      <c r="A812" s="3" t="inlineStr">
        <is>
          <t>PKG-31::L014</t>
        </is>
      </c>
      <c r="B812" s="3" t="inlineStr">
        <is>
          <t>PKG-31</t>
        </is>
      </c>
      <c r="C812" s="3" t="n"/>
      <c r="D812" s="3" t="inlineStr">
        <is>
          <t>L014</t>
        </is>
      </c>
      <c r="E812" s="3" t="inlineStr">
        <is>
          <t>MAT</t>
        </is>
      </c>
      <c r="F812" s="3" t="inlineStr">
        <is>
          <t>PKG-31</t>
        </is>
      </c>
      <c r="G812" s="3" t="n"/>
      <c r="H812" s="3" t="inlineStr">
        <is>
          <t>Manual Printing &amp; Binding - Operations</t>
        </is>
      </c>
      <c r="I812" s="22" t="n">
        <v>4</v>
      </c>
      <c r="J812" s="3" t="inlineStr">
        <is>
          <t>sets</t>
        </is>
      </c>
      <c r="K812" s="39" t="n">
        <v>1100</v>
      </c>
      <c r="L812" s="35" t="n">
        <v>4400</v>
      </c>
      <c r="M812" s="3" t="inlineStr">
        <is>
          <t>CAD</t>
        </is>
      </c>
      <c r="N812" s="3" t="inlineStr">
        <is>
          <t>ALLOWANCE</t>
        </is>
      </c>
      <c r="O812" s="3" t="inlineStr">
        <is>
          <t>A-005</t>
        </is>
      </c>
      <c r="P812" s="3" t="inlineStr">
        <is>
          <t>LOW</t>
        </is>
      </c>
      <c r="Q812" s="3" t="inlineStr">
        <is>
          <t>4 bound operation manual sets</t>
        </is>
      </c>
      <c r="R812" s="3">
        <f>VLOOKUP($F812,Inputs!$D$6:$E$41,2,FALSE)</f>
        <v/>
      </c>
      <c r="S812" s="36">
        <f>VLOOKUP($E812,Inputs!$A$6:$B$13,2,FALSE)*Inputs!$B$2</f>
        <v/>
      </c>
      <c r="T812" s="35">
        <f>$L812*$S812</f>
        <v/>
      </c>
      <c r="U812" s="35">
        <f>$L812+$T812</f>
        <v/>
      </c>
    </row>
    <row r="813">
      <c r="A813" s="3" t="inlineStr">
        <is>
          <t>PKG-31::L015</t>
        </is>
      </c>
      <c r="B813" s="3" t="inlineStr">
        <is>
          <t>PKG-31</t>
        </is>
      </c>
      <c r="C813" s="3" t="n"/>
      <c r="D813" s="3" t="inlineStr">
        <is>
          <t>L015</t>
        </is>
      </c>
      <c r="E813" s="3" t="inlineStr">
        <is>
          <t>MAT</t>
        </is>
      </c>
      <c r="F813" s="3" t="inlineStr">
        <is>
          <t>PKG-31</t>
        </is>
      </c>
      <c r="G813" s="3" t="n"/>
      <c r="H813" s="3" t="inlineStr">
        <is>
          <t>Manual Printing &amp; Binding - Maintenance</t>
        </is>
      </c>
      <c r="I813" s="22" t="n">
        <v>4</v>
      </c>
      <c r="J813" s="3" t="inlineStr">
        <is>
          <t>sets</t>
        </is>
      </c>
      <c r="K813" s="39" t="n">
        <v>2200</v>
      </c>
      <c r="L813" s="35" t="n">
        <v>8800</v>
      </c>
      <c r="M813" s="3" t="inlineStr">
        <is>
          <t>CAD</t>
        </is>
      </c>
      <c r="N813" s="3" t="inlineStr">
        <is>
          <t>ALLOWANCE</t>
        </is>
      </c>
      <c r="O813" s="3" t="inlineStr">
        <is>
          <t>A-005</t>
        </is>
      </c>
      <c r="P813" s="3" t="inlineStr">
        <is>
          <t>LOW</t>
        </is>
      </c>
      <c r="Q813" s="3" t="inlineStr">
        <is>
          <t>4 bound maintenance manual sets</t>
        </is>
      </c>
      <c r="R813" s="3">
        <f>VLOOKUP($F813,Inputs!$D$6:$E$41,2,FALSE)</f>
        <v/>
      </c>
      <c r="S813" s="36">
        <f>VLOOKUP($E813,Inputs!$A$6:$B$13,2,FALSE)*Inputs!$B$2</f>
        <v/>
      </c>
      <c r="T813" s="35">
        <f>$L813*$S813</f>
        <v/>
      </c>
      <c r="U813" s="35">
        <f>$L813+$T813</f>
        <v/>
      </c>
    </row>
    <row r="814">
      <c r="A814" s="3" t="inlineStr">
        <is>
          <t>PKG-31::L016</t>
        </is>
      </c>
      <c r="B814" s="3" t="inlineStr">
        <is>
          <t>PKG-31</t>
        </is>
      </c>
      <c r="C814" s="3" t="n"/>
      <c r="D814" s="3" t="inlineStr">
        <is>
          <t>L016</t>
        </is>
      </c>
      <c r="E814" s="3" t="inlineStr">
        <is>
          <t>MAT</t>
        </is>
      </c>
      <c r="F814" s="3" t="inlineStr">
        <is>
          <t>PKG-31</t>
        </is>
      </c>
      <c r="G814" s="3" t="n"/>
      <c r="H814" s="3" t="inlineStr">
        <is>
          <t>Document Management Software/Database</t>
        </is>
      </c>
      <c r="I814" s="22" t="n">
        <v>1</v>
      </c>
      <c r="J814" s="3" t="inlineStr">
        <is>
          <t>LS</t>
        </is>
      </c>
      <c r="K814" s="39" t="n">
        <v>22000</v>
      </c>
      <c r="L814" s="35" t="n">
        <v>22000</v>
      </c>
      <c r="M814" s="3" t="inlineStr">
        <is>
          <t>CAD</t>
        </is>
      </c>
      <c r="N814" s="3" t="inlineStr">
        <is>
          <t>ALLOWANCE</t>
        </is>
      </c>
      <c r="O814" s="3" t="inlineStr">
        <is>
          <t>A-006</t>
        </is>
      </c>
      <c r="P814" s="3" t="inlineStr">
        <is>
          <t>LOW</t>
        </is>
      </c>
      <c r="Q814" s="3" t="inlineStr">
        <is>
          <t>Asset hierarchy database software/setup; allowance for CMMS-ready format</t>
        </is>
      </c>
      <c r="R814" s="3">
        <f>VLOOKUP($F814,Inputs!$D$6:$E$41,2,FALSE)</f>
        <v/>
      </c>
      <c r="S814" s="36">
        <f>VLOOKUP($E814,Inputs!$A$6:$B$13,2,FALSE)*Inputs!$B$2</f>
        <v/>
      </c>
      <c r="T814" s="35">
        <f>$L814*$S814</f>
        <v/>
      </c>
      <c r="U814" s="35">
        <f>$L814+$T814</f>
        <v/>
      </c>
    </row>
    <row r="815">
      <c r="A815" s="3" t="inlineStr">
        <is>
          <t>PKG-31::L017</t>
        </is>
      </c>
      <c r="B815" s="3" t="inlineStr">
        <is>
          <t>PKG-31</t>
        </is>
      </c>
      <c r="C815" s="3" t="n"/>
      <c r="D815" s="3" t="inlineStr">
        <is>
          <t>L017</t>
        </is>
      </c>
      <c r="E815" s="3" t="inlineStr">
        <is>
          <t>PM</t>
        </is>
      </c>
      <c r="F815" s="3" t="inlineStr">
        <is>
          <t>PKG-31</t>
        </is>
      </c>
      <c r="G815" s="3" t="n"/>
      <c r="H815" s="3" t="inlineStr">
        <is>
          <t>Document Control &amp; QA - Throughout Project</t>
        </is>
      </c>
      <c r="I815" s="22" t="n">
        <v>1</v>
      </c>
      <c r="J815" s="3" t="inlineStr">
        <is>
          <t>LS</t>
        </is>
      </c>
      <c r="K815" s="39" t="n">
        <v>52800</v>
      </c>
      <c r="L815" s="35" t="n">
        <v>52800</v>
      </c>
      <c r="M815" s="3" t="inlineStr">
        <is>
          <t>CAD</t>
        </is>
      </c>
      <c r="N815" s="3" t="inlineStr">
        <is>
          <t>PARAMETRIC</t>
        </is>
      </c>
      <c r="O815" s="3" t="inlineStr">
        <is>
          <t>D-009</t>
        </is>
      </c>
      <c r="P815" s="3" t="inlineStr">
        <is>
          <t>MED</t>
        </is>
      </c>
      <c r="Q815" s="3" t="inlineStr">
        <is>
          <t>400 hours at $132/hr PM rate; ongoing doc control QA review distribution</t>
        </is>
      </c>
      <c r="R815" s="3">
        <f>VLOOKUP($F815,Inputs!$D$6:$E$41,2,FALSE)</f>
        <v/>
      </c>
      <c r="S815" s="36">
        <f>VLOOKUP($E815,Inputs!$A$6:$B$13,2,FALSE)*Inputs!$B$2</f>
        <v/>
      </c>
      <c r="T815" s="35">
        <f>$L815*$S815</f>
        <v/>
      </c>
      <c r="U815" s="35">
        <f>$L815+$T815</f>
        <v/>
      </c>
    </row>
    <row r="816">
      <c r="A816" s="3" t="inlineStr">
        <is>
          <t>PKG-31::L018</t>
        </is>
      </c>
      <c r="B816" s="3" t="inlineStr">
        <is>
          <t>PKG-31</t>
        </is>
      </c>
      <c r="C816" s="3" t="n"/>
      <c r="D816" s="3" t="inlineStr">
        <is>
          <t>L018</t>
        </is>
      </c>
      <c r="E816" s="3" t="inlineStr">
        <is>
          <t>PM</t>
        </is>
      </c>
      <c r="F816" s="3" t="inlineStr">
        <is>
          <t>PKG-31</t>
        </is>
      </c>
      <c r="G816" s="3" t="n"/>
      <c r="H816" s="3" t="inlineStr">
        <is>
          <t>Final Submittal Preparation &amp; Delivery</t>
        </is>
      </c>
      <c r="I816" s="22" t="n">
        <v>1</v>
      </c>
      <c r="J816" s="3" t="inlineStr">
        <is>
          <t>LS</t>
        </is>
      </c>
      <c r="K816" s="39" t="n">
        <v>10560</v>
      </c>
      <c r="L816" s="35" t="n">
        <v>10560</v>
      </c>
      <c r="M816" s="3" t="inlineStr">
        <is>
          <t>CAD</t>
        </is>
      </c>
      <c r="N816" s="3" t="inlineStr">
        <is>
          <t>PARAMETRIC</t>
        </is>
      </c>
      <c r="O816" s="3" t="inlineStr">
        <is>
          <t>D-009</t>
        </is>
      </c>
      <c r="P816" s="3" t="inlineStr">
        <is>
          <t>MED</t>
        </is>
      </c>
      <c r="Q816" s="3" t="inlineStr">
        <is>
          <t>80 hours at $132/hr PM rate; final assembly indexing submittal to Employer</t>
        </is>
      </c>
      <c r="R816" s="3">
        <f>VLOOKUP($F816,Inputs!$D$6:$E$41,2,FALSE)</f>
        <v/>
      </c>
      <c r="S816" s="36">
        <f>VLOOKUP($E816,Inputs!$A$6:$B$13,2,FALSE)*Inputs!$B$2</f>
        <v/>
      </c>
      <c r="T816" s="35">
        <f>$L816*$S816</f>
        <v/>
      </c>
      <c r="U816" s="35">
        <f>$L816+$T816</f>
        <v/>
      </c>
    </row>
    <row r="817">
      <c r="A817" s="3" t="inlineStr">
        <is>
          <t>PKG-32::3201</t>
        </is>
      </c>
      <c r="B817" s="3" t="inlineStr">
        <is>
          <t>PKG-32</t>
        </is>
      </c>
      <c r="C817" s="3" t="inlineStr">
        <is>
          <t>DEL-32.01</t>
        </is>
      </c>
      <c r="D817" s="3" t="inlineStr">
        <is>
          <t>3201</t>
        </is>
      </c>
      <c r="E817" s="3" t="inlineStr">
        <is>
          <t>E</t>
        </is>
      </c>
      <c r="F817" s="3" t="inlineStr">
        <is>
          <t>PKG-32</t>
        </is>
      </c>
      <c r="G817" s="3" t="inlineStr">
        <is>
          <t>DEL-32.01</t>
        </is>
      </c>
      <c r="H817" s="3" t="inlineStr">
        <is>
          <t>Permit Application Engineering (Preparation &amp; Submission)</t>
        </is>
      </c>
      <c r="I817" s="22" t="n">
        <v>1</v>
      </c>
      <c r="J817" s="3" t="inlineStr">
        <is>
          <t>LS</t>
        </is>
      </c>
      <c r="K817" s="39" t="n">
        <v>75000</v>
      </c>
      <c r="L817" s="35" t="n">
        <v>75000</v>
      </c>
      <c r="M817" s="3" t="inlineStr">
        <is>
          <t>CAD</t>
        </is>
      </c>
      <c r="N817" s="3" t="inlineStr">
        <is>
          <t>ALLOWANCE</t>
        </is>
      </c>
      <c r="O817" s="3" t="inlineStr">
        <is>
          <t>A-3201</t>
        </is>
      </c>
      <c r="P817" s="3" t="inlineStr">
        <is>
          <t>LOW</t>
        </is>
      </c>
      <c r="Q817" s="3" t="inlineStr">
        <is>
          <t>Engineering hours for permit identification, application preparation, supporting documentation, internal review, Employer review, authority submission. Assumes 600 hrs @ $125/hr for 5-8 major permit applications (VFPA PER, DFO, TC, building, construction, environmental, fire). Range: $50k-$100k.</t>
        </is>
      </c>
      <c r="R817" s="3">
        <f>VLOOKUP($F817,Inputs!$D$6:$E$41,2,FALSE)</f>
        <v/>
      </c>
      <c r="S817" s="36">
        <f>VLOOKUP($E817,Inputs!$A$6:$B$13,2,FALSE)*Inputs!$B$2</f>
        <v/>
      </c>
      <c r="T817" s="35">
        <f>$L817*$S817</f>
        <v/>
      </c>
      <c r="U817" s="35">
        <f>$L817+$T817</f>
        <v/>
      </c>
    </row>
    <row r="818">
      <c r="A818" s="3" t="inlineStr">
        <is>
          <t>PKG-32::3202</t>
        </is>
      </c>
      <c r="B818" s="3" t="inlineStr">
        <is>
          <t>PKG-32</t>
        </is>
      </c>
      <c r="C818" s="3" t="inlineStr">
        <is>
          <t>DEL-32.03-32.06</t>
        </is>
      </c>
      <c r="D818" s="3" t="inlineStr">
        <is>
          <t>3202</t>
        </is>
      </c>
      <c r="E818" s="3" t="inlineStr">
        <is>
          <t>E</t>
        </is>
      </c>
      <c r="F818" s="3" t="inlineStr">
        <is>
          <t>PKG-32</t>
        </is>
      </c>
      <c r="G818" s="3" t="inlineStr">
        <is>
          <t>DEL-32.03-32.06</t>
        </is>
      </c>
      <c r="H818" s="3" t="inlineStr">
        <is>
          <t>Regulatory/Environmental Consultant Support</t>
        </is>
      </c>
      <c r="I818" s="22" t="n">
        <v>1</v>
      </c>
      <c r="J818" s="3" t="inlineStr">
        <is>
          <t>LS</t>
        </is>
      </c>
      <c r="K818" s="39" t="n">
        <v>60000</v>
      </c>
      <c r="L818" s="35" t="n">
        <v>60000</v>
      </c>
      <c r="M818" s="3" t="inlineStr">
        <is>
          <t>CAD</t>
        </is>
      </c>
      <c r="N818" s="3" t="inlineStr">
        <is>
          <t>ALLOWANCE</t>
        </is>
      </c>
      <c r="O818" s="3" t="inlineStr">
        <is>
          <t>A-3207</t>
        </is>
      </c>
      <c r="P818" s="3" t="inlineStr">
        <is>
          <t>LOW</t>
        </is>
      </c>
      <c r="Q818" s="3" t="inlineStr">
        <is>
          <t>External consultant support for permit applications and compliance monitoring. Typical scope: environmental assessments, permit prep support, regulatory liaison, compliance monitoring. Assumes 300 hrs @ $200/hr. Covers ~50% of regulatory work. Range: $40k-$100k.</t>
        </is>
      </c>
      <c r="R818" s="3">
        <f>VLOOKUP($F818,Inputs!$D$6:$E$41,2,FALSE)</f>
        <v/>
      </c>
      <c r="S818" s="36">
        <f>VLOOKUP($E818,Inputs!$A$6:$B$13,2,FALSE)*Inputs!$B$2</f>
        <v/>
      </c>
      <c r="T818" s="35">
        <f>$L818*$S818</f>
        <v/>
      </c>
      <c r="U818" s="35">
        <f>$L818+$T818</f>
        <v/>
      </c>
    </row>
    <row r="819">
      <c r="A819" s="3" t="inlineStr">
        <is>
          <t>PKG-32::3203</t>
        </is>
      </c>
      <c r="B819" s="3" t="inlineStr">
        <is>
          <t>PKG-32</t>
        </is>
      </c>
      <c r="C819" s="3" t="inlineStr">
        <is>
          <t>DEL-32.02</t>
        </is>
      </c>
      <c r="D819" s="3" t="inlineStr">
        <is>
          <t>3203</t>
        </is>
      </c>
      <c r="E819" s="3" t="inlineStr">
        <is>
          <t>MAT</t>
        </is>
      </c>
      <c r="F819" s="3" t="inlineStr">
        <is>
          <t>PKG-32</t>
        </is>
      </c>
      <c r="G819" s="3" t="inlineStr">
        <is>
          <t>DEL-32.02</t>
        </is>
      </c>
      <c r="H819" s="3" t="inlineStr">
        <is>
          <t>Permit Application Fees (Contractor-Responsible)</t>
        </is>
      </c>
      <c r="I819" s="22" t="n">
        <v>1</v>
      </c>
      <c r="J819" s="3" t="inlineStr">
        <is>
          <t>LS</t>
        </is>
      </c>
      <c r="K819" s="39" t="n">
        <v>25000</v>
      </c>
      <c r="L819" s="35" t="n">
        <v>25000</v>
      </c>
      <c r="M819" s="3" t="inlineStr">
        <is>
          <t>CAD</t>
        </is>
      </c>
      <c r="N819" s="3" t="inlineStr">
        <is>
          <t>ALLOWANCE</t>
        </is>
      </c>
      <c r="O819" s="3" t="inlineStr">
        <is>
          <t>A-3208</t>
        </is>
      </c>
      <c r="P819" s="3" t="inlineStr">
        <is>
          <t>LOW</t>
        </is>
      </c>
      <c r="Q819" s="3" t="inlineStr">
        <is>
          <t>Permit fees for Contractor-responsible permits: building permit ($5k-$15k), construction permits ($2k-$5k), environmental permits ($1k-$5k), fire approval ($1k-$3k), other fees ($1k-$5k). Excludes Employer-responsible permits. Range: $10k-$50k.</t>
        </is>
      </c>
      <c r="R819" s="3">
        <f>VLOOKUP($F819,Inputs!$D$6:$E$41,2,FALSE)</f>
        <v/>
      </c>
      <c r="S819" s="36">
        <f>VLOOKUP($E819,Inputs!$A$6:$B$13,2,FALSE)*Inputs!$B$2</f>
        <v/>
      </c>
      <c r="T819" s="35">
        <f>$L819*$S819</f>
        <v/>
      </c>
      <c r="U819" s="35">
        <f>$L819+$T819</f>
        <v/>
      </c>
    </row>
    <row r="820">
      <c r="A820" s="3" t="inlineStr">
        <is>
          <t>PKG-32::3204</t>
        </is>
      </c>
      <c r="B820" s="3" t="inlineStr">
        <is>
          <t>PKG-32</t>
        </is>
      </c>
      <c r="C820" s="3" t="n"/>
      <c r="D820" s="3" t="inlineStr">
        <is>
          <t>3204</t>
        </is>
      </c>
      <c r="E820" s="3" t="inlineStr">
        <is>
          <t>CD</t>
        </is>
      </c>
      <c r="F820" s="3" t="inlineStr">
        <is>
          <t>PKG-32</t>
        </is>
      </c>
      <c r="G820" s="3" t="n"/>
      <c r="H820" s="3" t="inlineStr">
        <is>
          <t>Construction Directs (None - Administrative Package)</t>
        </is>
      </c>
      <c r="I820" s="22" t="n">
        <v>1</v>
      </c>
      <c r="J820" s="3" t="inlineStr">
        <is>
          <t>LS</t>
        </is>
      </c>
      <c r="K820" s="39" t="n">
        <v>0</v>
      </c>
      <c r="L820" s="35" t="n">
        <v>0</v>
      </c>
      <c r="M820" s="3" t="inlineStr">
        <is>
          <t>CAD</t>
        </is>
      </c>
      <c r="N820" s="3" t="inlineStr">
        <is>
          <t>ALLOWANCE</t>
        </is>
      </c>
      <c r="O820" s="3" t="inlineStr">
        <is>
          <t>D-3210</t>
        </is>
      </c>
      <c r="P820" s="3" t="inlineStr">
        <is>
          <t>MED</t>
        </is>
      </c>
      <c r="Q820" s="3" t="inlineStr">
        <is>
          <t>PKG-32 is administrative/document-based with no physical construction or field installation work. All work is engineering, PM, and QA/QC.</t>
        </is>
      </c>
      <c r="R820" s="3">
        <f>VLOOKUP($F820,Inputs!$D$6:$E$41,2,FALSE)</f>
        <v/>
      </c>
      <c r="S820" s="36">
        <f>VLOOKUP($E820,Inputs!$A$6:$B$13,2,FALSE)*Inputs!$B$2</f>
        <v/>
      </c>
      <c r="T820" s="35">
        <f>$L820*$S820</f>
        <v/>
      </c>
      <c r="U820" s="35">
        <f>$L820+$T820</f>
        <v/>
      </c>
    </row>
    <row r="821">
      <c r="A821" s="3" t="inlineStr">
        <is>
          <t>PKG-32::3205</t>
        </is>
      </c>
      <c r="B821" s="3" t="inlineStr">
        <is>
          <t>PKG-32</t>
        </is>
      </c>
      <c r="C821" s="3" t="inlineStr">
        <is>
          <t>DEL-32.03</t>
        </is>
      </c>
      <c r="D821" s="3" t="inlineStr">
        <is>
          <t>3205</t>
        </is>
      </c>
      <c r="E821" s="3" t="inlineStr">
        <is>
          <t>CI</t>
        </is>
      </c>
      <c r="F821" s="3" t="inlineStr">
        <is>
          <t>PKG-32</t>
        </is>
      </c>
      <c r="G821" s="3" t="inlineStr">
        <is>
          <t>DEL-32.03</t>
        </is>
      </c>
      <c r="H821" s="3" t="inlineStr">
        <is>
          <t>VFPA PER Compliance Monitoring &amp; Documentation</t>
        </is>
      </c>
      <c r="I821" s="22" t="n">
        <v>1</v>
      </c>
      <c r="J821" s="3" t="inlineStr">
        <is>
          <t>LS</t>
        </is>
      </c>
      <c r="K821" s="39" t="n">
        <v>25000</v>
      </c>
      <c r="L821" s="35" t="n">
        <v>25000</v>
      </c>
      <c r="M821" s="3" t="inlineStr">
        <is>
          <t>CAD</t>
        </is>
      </c>
      <c r="N821" s="3" t="inlineStr">
        <is>
          <t>ALLOWANCE</t>
        </is>
      </c>
      <c r="O821" s="3" t="inlineStr">
        <is>
          <t>A-3203</t>
        </is>
      </c>
      <c r="P821" s="3" t="inlineStr">
        <is>
          <t>LOW</t>
        </is>
      </c>
      <c r="Q821" s="3" t="inlineStr">
        <is>
          <t>QA/QC hours for VFPA PER compliance monitoring and documentation. Typical VFPA PER: 10-30 conditions. Assumes 200 hrs @ $125/hr. Covers condition tracking, monitoring reports, VFPA submittals, closeout. Range: $15k-$40k.</t>
        </is>
      </c>
      <c r="R821" s="3">
        <f>VLOOKUP($F821,Inputs!$D$6:$E$41,2,FALSE)</f>
        <v/>
      </c>
      <c r="S821" s="36">
        <f>VLOOKUP($E821,Inputs!$A$6:$B$13,2,FALSE)*Inputs!$B$2</f>
        <v/>
      </c>
      <c r="T821" s="35">
        <f>$L821*$S821</f>
        <v/>
      </c>
      <c r="U821" s="35">
        <f>$L821+$T821</f>
        <v/>
      </c>
    </row>
    <row r="822">
      <c r="A822" s="3" t="inlineStr">
        <is>
          <t>PKG-32::3206</t>
        </is>
      </c>
      <c r="B822" s="3" t="inlineStr">
        <is>
          <t>PKG-32</t>
        </is>
      </c>
      <c r="C822" s="3" t="inlineStr">
        <is>
          <t>DEL-32.04</t>
        </is>
      </c>
      <c r="D822" s="3" t="inlineStr">
        <is>
          <t>3206</t>
        </is>
      </c>
      <c r="E822" s="3" t="inlineStr">
        <is>
          <t>CI</t>
        </is>
      </c>
      <c r="F822" s="3" t="inlineStr">
        <is>
          <t>PKG-32</t>
        </is>
      </c>
      <c r="G822" s="3" t="inlineStr">
        <is>
          <t>DEL-32.04</t>
        </is>
      </c>
      <c r="H822" s="3" t="inlineStr">
        <is>
          <t>DFO Compliance Monitoring &amp; Documentation</t>
        </is>
      </c>
      <c r="I822" s="22" t="n">
        <v>1</v>
      </c>
      <c r="J822" s="3" t="inlineStr">
        <is>
          <t>LS</t>
        </is>
      </c>
      <c r="K822" s="39" t="n">
        <v>20000</v>
      </c>
      <c r="L822" s="35" t="n">
        <v>20000</v>
      </c>
      <c r="M822" s="3" t="inlineStr">
        <is>
          <t>CAD</t>
        </is>
      </c>
      <c r="N822" s="3" t="inlineStr">
        <is>
          <t>ALLOWANCE</t>
        </is>
      </c>
      <c r="O822" s="3" t="inlineStr">
        <is>
          <t>A-3204</t>
        </is>
      </c>
      <c r="P822" s="3" t="inlineStr">
        <is>
          <t>LOW</t>
        </is>
      </c>
      <c r="Q822" s="3" t="inlineStr">
        <is>
          <t>QA/QC hours for DFO Fisheries Act authorization compliance. Typical DFO authorization: 5-15 conditions (marine environmental protection focus). Assumes 160 hrs @ $125/hr. Covers marine work windows, environmental monitoring, DFO reporting. Range: $10k-$30k.</t>
        </is>
      </c>
      <c r="R822" s="3">
        <f>VLOOKUP($F822,Inputs!$D$6:$E$41,2,FALSE)</f>
        <v/>
      </c>
      <c r="S822" s="36">
        <f>VLOOKUP($E822,Inputs!$A$6:$B$13,2,FALSE)*Inputs!$B$2</f>
        <v/>
      </c>
      <c r="T822" s="35">
        <f>$L822*$S822</f>
        <v/>
      </c>
      <c r="U822" s="35">
        <f>$L822+$T822</f>
        <v/>
      </c>
    </row>
    <row r="823">
      <c r="A823" s="3" t="inlineStr">
        <is>
          <t>PKG-32::3207</t>
        </is>
      </c>
      <c r="B823" s="3" t="inlineStr">
        <is>
          <t>PKG-32</t>
        </is>
      </c>
      <c r="C823" s="3" t="inlineStr">
        <is>
          <t>DEL-32.05</t>
        </is>
      </c>
      <c r="D823" s="3" t="inlineStr">
        <is>
          <t>3207</t>
        </is>
      </c>
      <c r="E823" s="3" t="inlineStr">
        <is>
          <t>CI</t>
        </is>
      </c>
      <c r="F823" s="3" t="inlineStr">
        <is>
          <t>PKG-32</t>
        </is>
      </c>
      <c r="G823" s="3" t="inlineStr">
        <is>
          <t>DEL-32.05</t>
        </is>
      </c>
      <c r="H823" s="3" t="inlineStr">
        <is>
          <t>Transport Canada Compliance Monitoring &amp; Documentation</t>
        </is>
      </c>
      <c r="I823" s="22" t="n">
        <v>1</v>
      </c>
      <c r="J823" s="3" t="inlineStr">
        <is>
          <t>LS</t>
        </is>
      </c>
      <c r="K823" s="39" t="n">
        <v>15000</v>
      </c>
      <c r="L823" s="35" t="n">
        <v>15000</v>
      </c>
      <c r="M823" s="3" t="inlineStr">
        <is>
          <t>CAD</t>
        </is>
      </c>
      <c r="N823" s="3" t="inlineStr">
        <is>
          <t>ALLOWANCE</t>
        </is>
      </c>
      <c r="O823" s="3" t="inlineStr">
        <is>
          <t>A-3205</t>
        </is>
      </c>
      <c r="P823" s="3" t="inlineStr">
        <is>
          <t>LOW</t>
        </is>
      </c>
      <c r="Q823" s="3" t="inlineStr">
        <is>
          <t>QA/QC hours for Transport Canada compliance (rail, marine interface). Typical TC approvals: 3-10 conditions. Assumes 120 hrs @ $125/hr. Covers rail/marine safety compliance, inspection coordination, reporting. Range: $8k-$25k.</t>
        </is>
      </c>
      <c r="R823" s="3">
        <f>VLOOKUP($F823,Inputs!$D$6:$E$41,2,FALSE)</f>
        <v/>
      </c>
      <c r="S823" s="36">
        <f>VLOOKUP($E823,Inputs!$A$6:$B$13,2,FALSE)*Inputs!$B$2</f>
        <v/>
      </c>
      <c r="T823" s="35">
        <f>$L823*$S823</f>
        <v/>
      </c>
      <c r="U823" s="35">
        <f>$L823+$T823</f>
        <v/>
      </c>
    </row>
    <row r="824">
      <c r="A824" s="3" t="inlineStr">
        <is>
          <t>PKG-32::3208</t>
        </is>
      </c>
      <c r="B824" s="3" t="inlineStr">
        <is>
          <t>PKG-32</t>
        </is>
      </c>
      <c r="C824" s="3" t="inlineStr">
        <is>
          <t>DEL-32.06</t>
        </is>
      </c>
      <c r="D824" s="3" t="inlineStr">
        <is>
          <t>3208</t>
        </is>
      </c>
      <c r="E824" s="3" t="inlineStr">
        <is>
          <t>CI</t>
        </is>
      </c>
      <c r="F824" s="3" t="inlineStr">
        <is>
          <t>PKG-32</t>
        </is>
      </c>
      <c r="G824" s="3" t="inlineStr">
        <is>
          <t>DEL-32.06</t>
        </is>
      </c>
      <c r="H824" s="3" t="inlineStr">
        <is>
          <t>Code Compliance Inspection Coordination &amp; Documentation</t>
        </is>
      </c>
      <c r="I824" s="22" t="n">
        <v>1</v>
      </c>
      <c r="J824" s="3" t="inlineStr">
        <is>
          <t>LS</t>
        </is>
      </c>
      <c r="K824" s="39" t="n">
        <v>30000</v>
      </c>
      <c r="L824" s="35" t="n">
        <v>30000</v>
      </c>
      <c r="M824" s="3" t="inlineStr">
        <is>
          <t>CAD</t>
        </is>
      </c>
      <c r="N824" s="3" t="inlineStr">
        <is>
          <t>ALLOWANCE</t>
        </is>
      </c>
      <c r="O824" s="3" t="inlineStr">
        <is>
          <t>A-3206</t>
        </is>
      </c>
      <c r="P824" s="3" t="inlineStr">
        <is>
          <t>LOW</t>
        </is>
      </c>
      <c r="Q824" s="3" t="inlineStr">
        <is>
          <t>QA/QC hours for code inspection coordination (building, structural, fire, electrical, mechanical). Typical: 15-30 inspections. Assumes 240 hrs @ $125/hr. Covers inspection scheduling, attendance, deficiency tracking, re-inspections, certificate of occupancy. Range: $20k-$45k.</t>
        </is>
      </c>
      <c r="R824" s="3">
        <f>VLOOKUP($F824,Inputs!$D$6:$E$41,2,FALSE)</f>
        <v/>
      </c>
      <c r="S824" s="36">
        <f>VLOOKUP($E824,Inputs!$A$6:$B$13,2,FALSE)*Inputs!$B$2</f>
        <v/>
      </c>
      <c r="T824" s="35">
        <f>$L824*$S824</f>
        <v/>
      </c>
      <c r="U824" s="35">
        <f>$L824+$T824</f>
        <v/>
      </c>
    </row>
    <row r="825">
      <c r="A825" s="3" t="inlineStr">
        <is>
          <t>PKG-32::3209</t>
        </is>
      </c>
      <c r="B825" s="3" t="inlineStr">
        <is>
          <t>PKG-32</t>
        </is>
      </c>
      <c r="C825" s="3" t="n"/>
      <c r="D825" s="3" t="inlineStr">
        <is>
          <t>3209</t>
        </is>
      </c>
      <c r="E825" s="3" t="inlineStr">
        <is>
          <t>P</t>
        </is>
      </c>
      <c r="F825" s="3" t="inlineStr">
        <is>
          <t>PKG-32</t>
        </is>
      </c>
      <c r="G825" s="3" t="n"/>
      <c r="H825" s="3" t="inlineStr">
        <is>
          <t>Procurement Services (Consultant Engagement &amp; Fee Processing)</t>
        </is>
      </c>
      <c r="I825" s="22" t="n">
        <v>1</v>
      </c>
      <c r="J825" s="3" t="inlineStr">
        <is>
          <t>LS</t>
        </is>
      </c>
      <c r="K825" s="39" t="n">
        <v>1700</v>
      </c>
      <c r="L825" s="35" t="n">
        <v>1700</v>
      </c>
      <c r="M825" s="3" t="inlineStr">
        <is>
          <t>CAD</t>
        </is>
      </c>
      <c r="N825" s="3" t="inlineStr">
        <is>
          <t>PARAMETRIC</t>
        </is>
      </c>
      <c r="O825" s="3" t="inlineStr">
        <is>
          <t>A-3211; D-3209</t>
        </is>
      </c>
      <c r="P825" s="3" t="inlineStr">
        <is>
          <t>MED</t>
        </is>
      </c>
      <c r="Q825" s="3" t="inlineStr">
        <is>
          <t>Procurement services for consultant RFP/contracting and permit fee payment processing. Parametric allocation: P = 2% × MAT ($85k) = $1.7k. Typical range: 1%-3% of MAT.</t>
        </is>
      </c>
      <c r="R825" s="3">
        <f>VLOOKUP($F825,Inputs!$D$6:$E$41,2,FALSE)</f>
        <v/>
      </c>
      <c r="S825" s="36">
        <f>VLOOKUP($E825,Inputs!$A$6:$B$13,2,FALSE)*Inputs!$B$2</f>
        <v/>
      </c>
      <c r="T825" s="35">
        <f>$L825*$S825</f>
        <v/>
      </c>
      <c r="U825" s="35">
        <f>$L825+$T825</f>
        <v/>
      </c>
    </row>
    <row r="826">
      <c r="A826" s="3" t="inlineStr">
        <is>
          <t>PKG-32::3210</t>
        </is>
      </c>
      <c r="B826" s="3" t="inlineStr">
        <is>
          <t>PKG-32</t>
        </is>
      </c>
      <c r="C826" s="3" t="inlineStr">
        <is>
          <t>DEL-32.02</t>
        </is>
      </c>
      <c r="D826" s="3" t="inlineStr">
        <is>
          <t>3210</t>
        </is>
      </c>
      <c r="E826" s="3" t="inlineStr">
        <is>
          <t>PM</t>
        </is>
      </c>
      <c r="F826" s="3" t="inlineStr">
        <is>
          <t>PKG-32</t>
        </is>
      </c>
      <c r="G826" s="3" t="inlineStr">
        <is>
          <t>DEL-32.02</t>
        </is>
      </c>
      <c r="H826" s="3" t="inlineStr">
        <is>
          <t>Permit Receipt &amp; Tracking</t>
        </is>
      </c>
      <c r="I826" s="22" t="n">
        <v>1</v>
      </c>
      <c r="J826" s="3" t="inlineStr">
        <is>
          <t>LS</t>
        </is>
      </c>
      <c r="K826" s="39" t="n">
        <v>5000</v>
      </c>
      <c r="L826" s="35" t="n">
        <v>5000</v>
      </c>
      <c r="M826" s="3" t="inlineStr">
        <is>
          <t>CAD</t>
        </is>
      </c>
      <c r="N826" s="3" t="inlineStr">
        <is>
          <t>ALLOWANCE</t>
        </is>
      </c>
      <c r="O826" s="3" t="inlineStr">
        <is>
          <t>A-3202</t>
        </is>
      </c>
      <c r="P826" s="3" t="inlineStr">
        <is>
          <t>LOW</t>
        </is>
      </c>
      <c r="Q826" s="3" t="inlineStr">
        <is>
          <t>PM hours for permit receipt, condition review, register update, distribution, compliance tracking initiation. Embedded in PM parametric allocation. Assumes 150 hrs total over project lifecycle. Component allocation: $5k.</t>
        </is>
      </c>
      <c r="R826" s="3">
        <f>VLOOKUP($F826,Inputs!$D$6:$E$41,2,FALSE)</f>
        <v/>
      </c>
      <c r="S826" s="36">
        <f>VLOOKUP($E826,Inputs!$A$6:$B$13,2,FALSE)*Inputs!$B$2</f>
        <v/>
      </c>
      <c r="T826" s="35">
        <f>$L826*$S826</f>
        <v/>
      </c>
      <c r="U826" s="35">
        <f>$L826+$T826</f>
        <v/>
      </c>
    </row>
    <row r="827">
      <c r="A827" s="3" t="inlineStr">
        <is>
          <t>PKG-32::3211</t>
        </is>
      </c>
      <c r="B827" s="3" t="inlineStr">
        <is>
          <t>PKG-32</t>
        </is>
      </c>
      <c r="C827" s="3" t="inlineStr">
        <is>
          <t>DEL-32.07</t>
        </is>
      </c>
      <c r="D827" s="3" t="inlineStr">
        <is>
          <t>3211</t>
        </is>
      </c>
      <c r="E827" s="3" t="inlineStr">
        <is>
          <t>PM</t>
        </is>
      </c>
      <c r="F827" s="3" t="inlineStr">
        <is>
          <t>PKG-32</t>
        </is>
      </c>
      <c r="G827" s="3" t="inlineStr">
        <is>
          <t>DEL-32.07</t>
        </is>
      </c>
      <c r="H827" s="3" t="inlineStr">
        <is>
          <t>Correspondence Register Setup &amp; Maintenance</t>
        </is>
      </c>
      <c r="I827" s="22" t="n">
        <v>1</v>
      </c>
      <c r="J827" s="3" t="inlineStr">
        <is>
          <t>LS</t>
        </is>
      </c>
      <c r="K827" s="39" t="n">
        <v>2000</v>
      </c>
      <c r="L827" s="35" t="n">
        <v>2000</v>
      </c>
      <c r="M827" s="3" t="inlineStr">
        <is>
          <t>CAD</t>
        </is>
      </c>
      <c r="N827" s="3" t="inlineStr">
        <is>
          <t>ALLOWANCE</t>
        </is>
      </c>
      <c r="O827" s="3" t="inlineStr">
        <is>
          <t>A-3209</t>
        </is>
      </c>
      <c r="P827" s="3" t="inlineStr">
        <is>
          <t>LOW</t>
        </is>
      </c>
      <c r="Q827" s="3" t="inlineStr">
        <is>
          <t>PM hours for correspondence register template setup, entry logging, status updates, reporting, closeout. Embedded in PM parametric allocation. Assumes 60 hrs. Component allocation: $2k.</t>
        </is>
      </c>
      <c r="R827" s="3">
        <f>VLOOKUP($F827,Inputs!$D$6:$E$41,2,FALSE)</f>
        <v/>
      </c>
      <c r="S827" s="36">
        <f>VLOOKUP($E827,Inputs!$A$6:$B$13,2,FALSE)*Inputs!$B$2</f>
        <v/>
      </c>
      <c r="T827" s="35">
        <f>$L827*$S827</f>
        <v/>
      </c>
      <c r="U827" s="35">
        <f>$L827+$T827</f>
        <v/>
      </c>
    </row>
    <row r="828">
      <c r="A828" s="3" t="inlineStr">
        <is>
          <t>PKG-32::3212</t>
        </is>
      </c>
      <c r="B828" s="3" t="inlineStr">
        <is>
          <t>PKG-32</t>
        </is>
      </c>
      <c r="C828" s="3" t="inlineStr">
        <is>
          <t>DEL-32.08</t>
        </is>
      </c>
      <c r="D828" s="3" t="inlineStr">
        <is>
          <t>3212</t>
        </is>
      </c>
      <c r="E828" s="3" t="inlineStr">
        <is>
          <t>PM</t>
        </is>
      </c>
      <c r="F828" s="3" t="inlineStr">
        <is>
          <t>PKG-32</t>
        </is>
      </c>
      <c r="G828" s="3" t="inlineStr">
        <is>
          <t>DEL-32.08</t>
        </is>
      </c>
      <c r="H828" s="3" t="inlineStr">
        <is>
          <t>Correspondence Filing &amp; Closeout Package</t>
        </is>
      </c>
      <c r="I828" s="22" t="n">
        <v>1</v>
      </c>
      <c r="J828" s="3" t="inlineStr">
        <is>
          <t>LS</t>
        </is>
      </c>
      <c r="K828" s="39" t="n">
        <v>1000</v>
      </c>
      <c r="L828" s="35" t="n">
        <v>1000</v>
      </c>
      <c r="M828" s="3" t="inlineStr">
        <is>
          <t>CAD</t>
        </is>
      </c>
      <c r="N828" s="3" t="inlineStr">
        <is>
          <t>ALLOWANCE</t>
        </is>
      </c>
      <c r="O828" s="3" t="inlineStr">
        <is>
          <t>A-3210</t>
        </is>
      </c>
      <c r="P828" s="3" t="inlineStr">
        <is>
          <t>LOW</t>
        </is>
      </c>
      <c r="Q828" s="3" t="inlineStr">
        <is>
          <t>PM hours for correspondence filing, archive organization, closeout package assembly. Embedded in PM parametric allocation. Assumes 50 hrs. Component allocation: $1k.</t>
        </is>
      </c>
      <c r="R828" s="3">
        <f>VLOOKUP($F828,Inputs!$D$6:$E$41,2,FALSE)</f>
        <v/>
      </c>
      <c r="S828" s="36">
        <f>VLOOKUP($E828,Inputs!$A$6:$B$13,2,FALSE)*Inputs!$B$2</f>
        <v/>
      </c>
      <c r="T828" s="35">
        <f>$L828*$S828</f>
        <v/>
      </c>
      <c r="U828" s="35">
        <f>$L828+$T828</f>
        <v/>
      </c>
    </row>
    <row r="829">
      <c r="A829" s="3" t="inlineStr">
        <is>
          <t>PKG-32::3213</t>
        </is>
      </c>
      <c r="B829" s="3" t="inlineStr">
        <is>
          <t>PKG-32</t>
        </is>
      </c>
      <c r="C829" s="3" t="n"/>
      <c r="D829" s="3" t="inlineStr">
        <is>
          <t>3213</t>
        </is>
      </c>
      <c r="E829" s="3" t="inlineStr">
        <is>
          <t>PM</t>
        </is>
      </c>
      <c r="F829" s="3" t="inlineStr">
        <is>
          <t>PKG-32</t>
        </is>
      </c>
      <c r="G829" s="3" t="n"/>
      <c r="H829" s="3" t="inlineStr">
        <is>
          <t>Project Management (EPCM Allocation)</t>
        </is>
      </c>
      <c r="I829" s="22" t="n">
        <v>1</v>
      </c>
      <c r="J829" s="3" t="inlineStr">
        <is>
          <t>LS</t>
        </is>
      </c>
      <c r="K829" s="39" t="n">
        <v>7000</v>
      </c>
      <c r="L829" s="35" t="n">
        <v>7000</v>
      </c>
      <c r="M829" s="3" t="inlineStr">
        <is>
          <t>CAD</t>
        </is>
      </c>
      <c r="N829" s="3" t="inlineStr">
        <is>
          <t>PARAMETRIC</t>
        </is>
      </c>
      <c r="O829" s="3" t="inlineStr">
        <is>
          <t>A-3212; D-3209</t>
        </is>
      </c>
      <c r="P829" s="3" t="inlineStr">
        <is>
          <t>MED</t>
        </is>
      </c>
      <c r="Q829" s="3" t="inlineStr">
        <is>
          <t>EPCM/PM allocation for overall PKG-32 coordination and management. Parametric allocation: PM = 6% × (E + MAT + CD + CI base) = 6% × $250k = $15k total. Breakdown: $5k (A-3202) + $2k (A-3209) + $1k (A-3210) + $7k (this line) = $15k. Typical range: 4%-10%.</t>
        </is>
      </c>
      <c r="R829" s="3">
        <f>VLOOKUP($F829,Inputs!$D$6:$E$41,2,FALSE)</f>
        <v/>
      </c>
      <c r="S829" s="36">
        <f>VLOOKUP($E829,Inputs!$A$6:$B$13,2,FALSE)*Inputs!$B$2</f>
        <v/>
      </c>
      <c r="T829" s="35">
        <f>$L829*$S829</f>
        <v/>
      </c>
      <c r="U829" s="35">
        <f>$L829+$T829</f>
        <v/>
      </c>
    </row>
    <row r="830">
      <c r="A830" s="3" t="inlineStr">
        <is>
          <t>PKG-32::3214</t>
        </is>
      </c>
      <c r="B830" s="3" t="inlineStr">
        <is>
          <t>PKG-32</t>
        </is>
      </c>
      <c r="C830" s="3" t="n"/>
      <c r="D830" s="3" t="inlineStr">
        <is>
          <t>3214</t>
        </is>
      </c>
      <c r="E830" s="3" t="inlineStr">
        <is>
          <t>COM</t>
        </is>
      </c>
      <c r="F830" s="3" t="inlineStr">
        <is>
          <t>PKG-32</t>
        </is>
      </c>
      <c r="G830" s="3" t="n"/>
      <c r="H830" s="3" t="inlineStr">
        <is>
          <t>Commissioning &amp; Regulatory Closeout</t>
        </is>
      </c>
      <c r="I830" s="22" t="n">
        <v>1</v>
      </c>
      <c r="J830" s="3" t="inlineStr">
        <is>
          <t>LS</t>
        </is>
      </c>
      <c r="K830" s="39" t="n">
        <v>7000</v>
      </c>
      <c r="L830" s="35" t="n">
        <v>7000</v>
      </c>
      <c r="M830" s="3" t="inlineStr">
        <is>
          <t>CAD</t>
        </is>
      </c>
      <c r="N830" s="3" t="inlineStr">
        <is>
          <t>PARAMETRIC</t>
        </is>
      </c>
      <c r="O830" s="3" t="inlineStr">
        <is>
          <t>A-3213; D-3209</t>
        </is>
      </c>
      <c r="P830" s="3" t="inlineStr">
        <is>
          <t>MED</t>
        </is>
      </c>
      <c r="Q830" s="3" t="inlineStr">
        <is>
          <t>Commissioning/closeout allocation for regulatory compliance closeout, certificate of occupancy, final permit submissions. Parametric allocation: COM = 3% × (E + MAT + CD + CI base) = 3% × $250k = $7.5k, rounded to $7k. Typical range: 1%-5%.</t>
        </is>
      </c>
      <c r="R830" s="3">
        <f>VLOOKUP($F830,Inputs!$D$6:$E$41,2,FALSE)</f>
        <v/>
      </c>
      <c r="S830" s="36">
        <f>VLOOKUP($E830,Inputs!$A$6:$B$13,2,FALSE)*Inputs!$B$2</f>
        <v/>
      </c>
      <c r="T830" s="35">
        <f>$L830*$S830</f>
        <v/>
      </c>
      <c r="U830" s="35">
        <f>$L830+$T830</f>
        <v/>
      </c>
    </row>
    <row r="831">
      <c r="A831" s="3" t="inlineStr">
        <is>
          <t>PKG-33::L-001</t>
        </is>
      </c>
      <c r="B831" s="3" t="inlineStr">
        <is>
          <t>PKG-33</t>
        </is>
      </c>
      <c r="C831" s="3" t="inlineStr">
        <is>
          <t>DEL-33.01</t>
        </is>
      </c>
      <c r="D831" s="3" t="inlineStr">
        <is>
          <t>L-001</t>
        </is>
      </c>
      <c r="E831" s="3" t="inlineStr">
        <is>
          <t>E</t>
        </is>
      </c>
      <c r="F831" s="3" t="inlineStr">
        <is>
          <t>PKG-33</t>
        </is>
      </c>
      <c r="G831" s="3" t="inlineStr">
        <is>
          <t>DEL-33.01</t>
        </is>
      </c>
      <c r="H831" s="3" t="inlineStr">
        <is>
          <t>Occupational Health &amp; Safety Plan - Engineering</t>
        </is>
      </c>
      <c r="I831" s="22" t="n">
        <v>1</v>
      </c>
      <c r="J831" s="3" t="inlineStr">
        <is>
          <t>LS</t>
        </is>
      </c>
      <c r="K831" s="39" t="n">
        <v>84000</v>
      </c>
      <c r="L831" s="35" t="n">
        <v>84000</v>
      </c>
      <c r="M831" s="3" t="inlineStr">
        <is>
          <t>CAD</t>
        </is>
      </c>
      <c r="N831" s="3" t="inlineStr">
        <is>
          <t>ALLOWANCE</t>
        </is>
      </c>
      <c r="O831" s="3" t="inlineStr">
        <is>
          <t>A-001</t>
        </is>
      </c>
      <c r="P831" s="3" t="inlineStr">
        <is>
          <t>LOW</t>
        </is>
      </c>
      <c r="Q831" s="3" t="inlineStr">
        <is>
          <t>OHS Plan preparation; 70% of $120k allowance allocated to engineering effort</t>
        </is>
      </c>
      <c r="R831" s="3">
        <f>VLOOKUP($F831,Inputs!$D$6:$E$41,2,FALSE)</f>
        <v/>
      </c>
      <c r="S831" s="36">
        <f>VLOOKUP($E831,Inputs!$A$6:$B$13,2,FALSE)*Inputs!$B$2</f>
        <v/>
      </c>
      <c r="T831" s="35">
        <f>$L831*$S831</f>
        <v/>
      </c>
      <c r="U831" s="35">
        <f>$L831+$T831</f>
        <v/>
      </c>
    </row>
    <row r="832">
      <c r="A832" s="3" t="inlineStr">
        <is>
          <t>PKG-33::L-002</t>
        </is>
      </c>
      <c r="B832" s="3" t="inlineStr">
        <is>
          <t>PKG-33</t>
        </is>
      </c>
      <c r="C832" s="3" t="inlineStr">
        <is>
          <t>DEL-33.02</t>
        </is>
      </c>
      <c r="D832" s="3" t="inlineStr">
        <is>
          <t>L-002</t>
        </is>
      </c>
      <c r="E832" s="3" t="inlineStr">
        <is>
          <t>E</t>
        </is>
      </c>
      <c r="F832" s="3" t="inlineStr">
        <is>
          <t>PKG-33</t>
        </is>
      </c>
      <c r="G832" s="3" t="inlineStr">
        <is>
          <t>DEL-33.02</t>
        </is>
      </c>
      <c r="H832" s="3" t="inlineStr">
        <is>
          <t>Risk Assessments - Task-Based JHAs</t>
        </is>
      </c>
      <c r="I832" s="22" t="n">
        <v>1</v>
      </c>
      <c r="J832" s="3" t="inlineStr">
        <is>
          <t>LS</t>
        </is>
      </c>
      <c r="K832" s="39" t="n">
        <v>95000</v>
      </c>
      <c r="L832" s="35" t="n">
        <v>95000</v>
      </c>
      <c r="M832" s="3" t="inlineStr">
        <is>
          <t>CAD</t>
        </is>
      </c>
      <c r="N832" s="3" t="inlineStr">
        <is>
          <t>ALLOWANCE</t>
        </is>
      </c>
      <c r="O832" s="3" t="inlineStr">
        <is>
          <t>A-002</t>
        </is>
      </c>
      <c r="P832" s="3" t="inlineStr">
        <is>
          <t>LOW</t>
        </is>
      </c>
      <c r="Q832" s="3" t="inlineStr">
        <is>
          <t>Risk assessment and job hazard analysis development for 30-50 construction activities</t>
        </is>
      </c>
      <c r="R832" s="3">
        <f>VLOOKUP($F832,Inputs!$D$6:$E$41,2,FALSE)</f>
        <v/>
      </c>
      <c r="S832" s="36">
        <f>VLOOKUP($E832,Inputs!$A$6:$B$13,2,FALSE)*Inputs!$B$2</f>
        <v/>
      </c>
      <c r="T832" s="35">
        <f>$L832*$S832</f>
        <v/>
      </c>
      <c r="U832" s="35">
        <f>$L832+$T832</f>
        <v/>
      </c>
    </row>
    <row r="833">
      <c r="A833" s="3" t="inlineStr">
        <is>
          <t>PKG-33::L-003</t>
        </is>
      </c>
      <c r="B833" s="3" t="inlineStr">
        <is>
          <t>PKG-33</t>
        </is>
      </c>
      <c r="C833" s="3" t="inlineStr">
        <is>
          <t>DEL-33.03</t>
        </is>
      </c>
      <c r="D833" s="3" t="inlineStr">
        <is>
          <t>L-003</t>
        </is>
      </c>
      <c r="E833" s="3" t="inlineStr">
        <is>
          <t>E</t>
        </is>
      </c>
      <c r="F833" s="3" t="inlineStr">
        <is>
          <t>PKG-33</t>
        </is>
      </c>
      <c r="G833" s="3" t="inlineStr">
        <is>
          <t>DEL-33.03</t>
        </is>
      </c>
      <c r="H833" s="3" t="inlineStr">
        <is>
          <t>Method Statements - Safe Work Procedures</t>
        </is>
      </c>
      <c r="I833" s="22" t="n">
        <v>1</v>
      </c>
      <c r="J833" s="3" t="inlineStr">
        <is>
          <t>LS</t>
        </is>
      </c>
      <c r="K833" s="39" t="n">
        <v>110000</v>
      </c>
      <c r="L833" s="35" t="n">
        <v>110000</v>
      </c>
      <c r="M833" s="3" t="inlineStr">
        <is>
          <t>CAD</t>
        </is>
      </c>
      <c r="N833" s="3" t="inlineStr">
        <is>
          <t>ALLOWANCE</t>
        </is>
      </c>
      <c r="O833" s="3" t="inlineStr">
        <is>
          <t>A-003</t>
        </is>
      </c>
      <c r="P833" s="3" t="inlineStr">
        <is>
          <t>LOW-MED</t>
        </is>
      </c>
      <c r="Q833" s="3" t="inlineStr">
        <is>
          <t>Safe work method statements for 25-40 high-risk activities</t>
        </is>
      </c>
      <c r="R833" s="3">
        <f>VLOOKUP($F833,Inputs!$D$6:$E$41,2,FALSE)</f>
        <v/>
      </c>
      <c r="S833" s="36">
        <f>VLOOKUP($E833,Inputs!$A$6:$B$13,2,FALSE)*Inputs!$B$2</f>
        <v/>
      </c>
      <c r="T833" s="35">
        <f>$L833*$S833</f>
        <v/>
      </c>
      <c r="U833" s="35">
        <f>$L833+$T833</f>
        <v/>
      </c>
    </row>
    <row r="834">
      <c r="A834" s="3" t="inlineStr">
        <is>
          <t>PKG-33::L-004</t>
        </is>
      </c>
      <c r="B834" s="3" t="inlineStr">
        <is>
          <t>PKG-33</t>
        </is>
      </c>
      <c r="C834" s="3" t="inlineStr">
        <is>
          <t>DEL-33.08</t>
        </is>
      </c>
      <c r="D834" s="3" t="inlineStr">
        <is>
          <t>L-004</t>
        </is>
      </c>
      <c r="E834" s="3" t="inlineStr">
        <is>
          <t>E</t>
        </is>
      </c>
      <c r="F834" s="3" t="inlineStr">
        <is>
          <t>PKG-33</t>
        </is>
      </c>
      <c r="G834" s="3" t="inlineStr">
        <is>
          <t>DEL-33.08</t>
        </is>
      </c>
      <c r="H834" s="3" t="inlineStr">
        <is>
          <t>Waterway Pollution Control Method Statement</t>
        </is>
      </c>
      <c r="I834" s="22" t="n">
        <v>1</v>
      </c>
      <c r="J834" s="3" t="inlineStr">
        <is>
          <t>LS</t>
        </is>
      </c>
      <c r="K834" s="39" t="n">
        <v>65000</v>
      </c>
      <c r="L834" s="35" t="n">
        <v>65000</v>
      </c>
      <c r="M834" s="3" t="inlineStr">
        <is>
          <t>CAD</t>
        </is>
      </c>
      <c r="N834" s="3" t="inlineStr">
        <is>
          <t>ALLOWANCE</t>
        </is>
      </c>
      <c r="O834" s="3" t="inlineStr">
        <is>
          <t>A-008</t>
        </is>
      </c>
      <c r="P834" s="3" t="inlineStr">
        <is>
          <t>MED</t>
        </is>
      </c>
      <c r="Q834" s="3" t="inlineStr">
        <is>
          <t>Marine pollution control procedures and spill prevention measures for ship loading operations</t>
        </is>
      </c>
      <c r="R834" s="3">
        <f>VLOOKUP($F834,Inputs!$D$6:$E$41,2,FALSE)</f>
        <v/>
      </c>
      <c r="S834" s="36">
        <f>VLOOKUP($E834,Inputs!$A$6:$B$13,2,FALSE)*Inputs!$B$2</f>
        <v/>
      </c>
      <c r="T834" s="35">
        <f>$L834*$S834</f>
        <v/>
      </c>
      <c r="U834" s="35">
        <f>$L834+$T834</f>
        <v/>
      </c>
    </row>
    <row r="835">
      <c r="A835" s="3" t="inlineStr">
        <is>
          <t>PKG-33::L-005</t>
        </is>
      </c>
      <c r="B835" s="3" t="inlineStr">
        <is>
          <t>PKG-33</t>
        </is>
      </c>
      <c r="C835" s="3" t="inlineStr">
        <is>
          <t>DEL-33.07</t>
        </is>
      </c>
      <c r="D835" s="3" t="inlineStr">
        <is>
          <t>L-005</t>
        </is>
      </c>
      <c r="E835" s="3" t="inlineStr">
        <is>
          <t>E</t>
        </is>
      </c>
      <c r="F835" s="3" t="inlineStr">
        <is>
          <t>PKG-33</t>
        </is>
      </c>
      <c r="G835" s="3" t="inlineStr">
        <is>
          <t>DEL-33.07</t>
        </is>
      </c>
      <c r="H835" s="3" t="inlineStr">
        <is>
          <t>Emergency Response Plan - Engineering</t>
        </is>
      </c>
      <c r="I835" s="22" t="n">
        <v>1</v>
      </c>
      <c r="J835" s="3" t="inlineStr">
        <is>
          <t>LS</t>
        </is>
      </c>
      <c r="K835" s="39" t="n">
        <v>45000</v>
      </c>
      <c r="L835" s="35" t="n">
        <v>45000</v>
      </c>
      <c r="M835" s="3" t="inlineStr">
        <is>
          <t>CAD</t>
        </is>
      </c>
      <c r="N835" s="3" t="inlineStr">
        <is>
          <t>ALLOWANCE</t>
        </is>
      </c>
      <c r="O835" s="3" t="inlineStr">
        <is>
          <t>A-007</t>
        </is>
      </c>
      <c r="P835" s="3" t="inlineStr">
        <is>
          <t>MED</t>
        </is>
      </c>
      <c r="Q835" s="3" t="inlineStr">
        <is>
          <t>Emergency Response Plan engineering content; 60% of $75k allowance allocated to engineering</t>
        </is>
      </c>
      <c r="R835" s="3">
        <f>VLOOKUP($F835,Inputs!$D$6:$E$41,2,FALSE)</f>
        <v/>
      </c>
      <c r="S835" s="36">
        <f>VLOOKUP($E835,Inputs!$A$6:$B$13,2,FALSE)*Inputs!$B$2</f>
        <v/>
      </c>
      <c r="T835" s="35">
        <f>$L835*$S835</f>
        <v/>
      </c>
      <c r="U835" s="35">
        <f>$L835+$T835</f>
        <v/>
      </c>
    </row>
    <row r="836">
      <c r="A836" s="3" t="inlineStr">
        <is>
          <t>PKG-33::L-006</t>
        </is>
      </c>
      <c r="B836" s="3" t="inlineStr">
        <is>
          <t>PKG-33</t>
        </is>
      </c>
      <c r="C836" s="3" t="inlineStr">
        <is>
          <t>DEL-33.01</t>
        </is>
      </c>
      <c r="D836" s="3" t="inlineStr">
        <is>
          <t>L-006</t>
        </is>
      </c>
      <c r="E836" s="3" t="inlineStr">
        <is>
          <t>PM</t>
        </is>
      </c>
      <c r="F836" s="3" t="inlineStr">
        <is>
          <t>PKG-33</t>
        </is>
      </c>
      <c r="G836" s="3" t="inlineStr">
        <is>
          <t>DEL-33.01</t>
        </is>
      </c>
      <c r="H836" s="3" t="inlineStr">
        <is>
          <t>Occupational Health &amp; Safety Plan - Coordination</t>
        </is>
      </c>
      <c r="I836" s="22" t="n">
        <v>1</v>
      </c>
      <c r="J836" s="3" t="inlineStr">
        <is>
          <t>LS</t>
        </is>
      </c>
      <c r="K836" s="39" t="n">
        <v>36000</v>
      </c>
      <c r="L836" s="35" t="n">
        <v>36000</v>
      </c>
      <c r="M836" s="3" t="inlineStr">
        <is>
          <t>CAD</t>
        </is>
      </c>
      <c r="N836" s="3" t="inlineStr">
        <is>
          <t>ALLOWANCE</t>
        </is>
      </c>
      <c r="O836" s="3" t="inlineStr">
        <is>
          <t>A-001</t>
        </is>
      </c>
      <c r="P836" s="3" t="inlineStr">
        <is>
          <t>LOW</t>
        </is>
      </c>
      <c r="Q836" s="3" t="inlineStr">
        <is>
          <t>OHS Plan coordination; 30% of $120k allowance allocated to PM effort</t>
        </is>
      </c>
      <c r="R836" s="3">
        <f>VLOOKUP($F836,Inputs!$D$6:$E$41,2,FALSE)</f>
        <v/>
      </c>
      <c r="S836" s="36">
        <f>VLOOKUP($E836,Inputs!$A$6:$B$13,2,FALSE)*Inputs!$B$2</f>
        <v/>
      </c>
      <c r="T836" s="35">
        <f>$L836*$S836</f>
        <v/>
      </c>
      <c r="U836" s="35">
        <f>$L836+$T836</f>
        <v/>
      </c>
    </row>
    <row r="837">
      <c r="A837" s="3" t="inlineStr">
        <is>
          <t>PKG-33::L-007</t>
        </is>
      </c>
      <c r="B837" s="3" t="inlineStr">
        <is>
          <t>PKG-33</t>
        </is>
      </c>
      <c r="C837" s="3" t="inlineStr">
        <is>
          <t>DEL-33.07</t>
        </is>
      </c>
      <c r="D837" s="3" t="inlineStr">
        <is>
          <t>L-007</t>
        </is>
      </c>
      <c r="E837" s="3" t="inlineStr">
        <is>
          <t>PM</t>
        </is>
      </c>
      <c r="F837" s="3" t="inlineStr">
        <is>
          <t>PKG-33</t>
        </is>
      </c>
      <c r="G837" s="3" t="inlineStr">
        <is>
          <t>DEL-33.07</t>
        </is>
      </c>
      <c r="H837" s="3" t="inlineStr">
        <is>
          <t>Emergency Response Plan - Coordination</t>
        </is>
      </c>
      <c r="I837" s="22" t="n">
        <v>1</v>
      </c>
      <c r="J837" s="3" t="inlineStr">
        <is>
          <t>LS</t>
        </is>
      </c>
      <c r="K837" s="39" t="n">
        <v>30000</v>
      </c>
      <c r="L837" s="35" t="n">
        <v>30000</v>
      </c>
      <c r="M837" s="3" t="inlineStr">
        <is>
          <t>CAD</t>
        </is>
      </c>
      <c r="N837" s="3" t="inlineStr">
        <is>
          <t>ALLOWANCE</t>
        </is>
      </c>
      <c r="O837" s="3" t="inlineStr">
        <is>
          <t>A-007</t>
        </is>
      </c>
      <c r="P837" s="3" t="inlineStr">
        <is>
          <t>MED</t>
        </is>
      </c>
      <c r="Q837" s="3" t="inlineStr">
        <is>
          <t>Emergency Response Plan coordination with site and local emergency services; 40% of $75k allowance</t>
        </is>
      </c>
      <c r="R837" s="3">
        <f>VLOOKUP($F837,Inputs!$D$6:$E$41,2,FALSE)</f>
        <v/>
      </c>
      <c r="S837" s="36">
        <f>VLOOKUP($E837,Inputs!$A$6:$B$13,2,FALSE)*Inputs!$B$2</f>
        <v/>
      </c>
      <c r="T837" s="35">
        <f>$L837*$S837</f>
        <v/>
      </c>
      <c r="U837" s="35">
        <f>$L837+$T837</f>
        <v/>
      </c>
    </row>
    <row r="838">
      <c r="A838" s="3" t="inlineStr">
        <is>
          <t>PKG-33::L-008</t>
        </is>
      </c>
      <c r="B838" s="3" t="inlineStr">
        <is>
          <t>PKG-33</t>
        </is>
      </c>
      <c r="C838" s="3" t="n"/>
      <c r="D838" s="3" t="inlineStr">
        <is>
          <t>L-008</t>
        </is>
      </c>
      <c r="E838" s="3" t="inlineStr">
        <is>
          <t>PM</t>
        </is>
      </c>
      <c r="F838" s="3" t="inlineStr">
        <is>
          <t>PKG-33</t>
        </is>
      </c>
      <c r="G838" s="3" t="n"/>
      <c r="H838" s="3" t="inlineStr">
        <is>
          <t>HSE Coordination &amp; Management Allocation</t>
        </is>
      </c>
      <c r="I838" s="22" t="n">
        <v>1</v>
      </c>
      <c r="J838" s="3" t="inlineStr">
        <is>
          <t>LS</t>
        </is>
      </c>
      <c r="K838" s="39" t="n">
        <v>32700</v>
      </c>
      <c r="L838" s="35" t="n">
        <v>32700</v>
      </c>
      <c r="M838" s="3" t="inlineStr">
        <is>
          <t>CAD</t>
        </is>
      </c>
      <c r="N838" s="3" t="inlineStr">
        <is>
          <t>PARAMETRIC</t>
        </is>
      </c>
      <c r="O838" s="3" t="inlineStr">
        <is>
          <t>D-006 (Fallback Model)</t>
        </is>
      </c>
      <c r="P838" s="3" t="inlineStr">
        <is>
          <t>MED</t>
        </is>
      </c>
      <c r="Q838" s="3" t="inlineStr">
        <is>
          <t>Project management allocation for HSE coordination; 6% of engineering base ($545k)</t>
        </is>
      </c>
      <c r="R838" s="3">
        <f>VLOOKUP($F838,Inputs!$D$6:$E$41,2,FALSE)</f>
        <v/>
      </c>
      <c r="S838" s="36">
        <f>VLOOKUP($E838,Inputs!$A$6:$B$13,2,FALSE)*Inputs!$B$2</f>
        <v/>
      </c>
      <c r="T838" s="35">
        <f>$L838*$S838</f>
        <v/>
      </c>
      <c r="U838" s="35">
        <f>$L838+$T838</f>
        <v/>
      </c>
    </row>
    <row r="839">
      <c r="A839" s="3" t="inlineStr">
        <is>
          <t>PKG-33::L-009</t>
        </is>
      </c>
      <c r="B839" s="3" t="inlineStr">
        <is>
          <t>PKG-33</t>
        </is>
      </c>
      <c r="C839" s="3" t="n"/>
      <c r="D839" s="3" t="inlineStr">
        <is>
          <t>L-009</t>
        </is>
      </c>
      <c r="E839" s="3" t="inlineStr">
        <is>
          <t>P</t>
        </is>
      </c>
      <c r="F839" s="3" t="inlineStr">
        <is>
          <t>PKG-33</t>
        </is>
      </c>
      <c r="G839" s="3" t="n"/>
      <c r="H839" s="3" t="inlineStr">
        <is>
          <t>Procurement Services - HSE Consultants</t>
        </is>
      </c>
      <c r="I839" s="22" t="n">
        <v>1</v>
      </c>
      <c r="J839" s="3" t="inlineStr">
        <is>
          <t>LS</t>
        </is>
      </c>
      <c r="K839" s="39" t="n">
        <v>10900</v>
      </c>
      <c r="L839" s="35" t="n">
        <v>10900</v>
      </c>
      <c r="M839" s="3" t="inlineStr">
        <is>
          <t>CAD</t>
        </is>
      </c>
      <c r="N839" s="3" t="inlineStr">
        <is>
          <t>PARAMETRIC</t>
        </is>
      </c>
      <c r="O839" s="3" t="inlineStr">
        <is>
          <t>D-006 (Fallback Model)</t>
        </is>
      </c>
      <c r="P839" s="3" t="inlineStr">
        <is>
          <t>MED</t>
        </is>
      </c>
      <c r="Q839" s="3" t="inlineStr">
        <is>
          <t>Procurement services for third-party HSE/environmental consultants; 2% of HSE services ($545k)</t>
        </is>
      </c>
      <c r="R839" s="3">
        <f>VLOOKUP($F839,Inputs!$D$6:$E$41,2,FALSE)</f>
        <v/>
      </c>
      <c r="S839" s="36">
        <f>VLOOKUP($E839,Inputs!$A$6:$B$13,2,FALSE)*Inputs!$B$2</f>
        <v/>
      </c>
      <c r="T839" s="35">
        <f>$L839*$S839</f>
        <v/>
      </c>
      <c r="U839" s="35">
        <f>$L839+$T839</f>
        <v/>
      </c>
    </row>
    <row r="840">
      <c r="A840" s="3" t="inlineStr">
        <is>
          <t>PKG-33::L-010</t>
        </is>
      </c>
      <c r="B840" s="3" t="inlineStr">
        <is>
          <t>PKG-33</t>
        </is>
      </c>
      <c r="C840" s="3" t="inlineStr">
        <is>
          <t>DEL-33.04</t>
        </is>
      </c>
      <c r="D840" s="3" t="inlineStr">
        <is>
          <t>L-010</t>
        </is>
      </c>
      <c r="E840" s="3" t="inlineStr">
        <is>
          <t>CI</t>
        </is>
      </c>
      <c r="F840" s="3" t="inlineStr">
        <is>
          <t>PKG-33</t>
        </is>
      </c>
      <c r="G840" s="3" t="inlineStr">
        <is>
          <t>DEL-33.04</t>
        </is>
      </c>
      <c r="H840" s="3" t="inlineStr">
        <is>
          <t>CEMP Compliance Monitoring - Construction</t>
        </is>
      </c>
      <c r="I840" s="22" t="n">
        <v>1</v>
      </c>
      <c r="J840" s="3" t="inlineStr">
        <is>
          <t>LS</t>
        </is>
      </c>
      <c r="K840" s="39" t="n">
        <v>105000</v>
      </c>
      <c r="L840" s="35" t="n">
        <v>105000</v>
      </c>
      <c r="M840" s="3" t="inlineStr">
        <is>
          <t>CAD</t>
        </is>
      </c>
      <c r="N840" s="3" t="inlineStr">
        <is>
          <t>ALLOWANCE</t>
        </is>
      </c>
      <c r="O840" s="3" t="inlineStr">
        <is>
          <t>A-004</t>
        </is>
      </c>
      <c r="P840" s="3" t="inlineStr">
        <is>
          <t>LOW</t>
        </is>
      </c>
      <c r="Q840" s="3" t="inlineStr">
        <is>
          <t>CEMP compliance monitoring and records during construction phase; 75% of $140k allowance</t>
        </is>
      </c>
      <c r="R840" s="3">
        <f>VLOOKUP($F840,Inputs!$D$6:$E$41,2,FALSE)</f>
        <v/>
      </c>
      <c r="S840" s="36">
        <f>VLOOKUP($E840,Inputs!$A$6:$B$13,2,FALSE)*Inputs!$B$2</f>
        <v/>
      </c>
      <c r="T840" s="35">
        <f>$L840*$S840</f>
        <v/>
      </c>
      <c r="U840" s="35">
        <f>$L840+$T840</f>
        <v/>
      </c>
    </row>
    <row r="841">
      <c r="A841" s="3" t="inlineStr">
        <is>
          <t>PKG-33::L-011</t>
        </is>
      </c>
      <c r="B841" s="3" t="inlineStr">
        <is>
          <t>PKG-33</t>
        </is>
      </c>
      <c r="C841" s="3" t="inlineStr">
        <is>
          <t>DEL-33.05</t>
        </is>
      </c>
      <c r="D841" s="3" t="inlineStr">
        <is>
          <t>L-011</t>
        </is>
      </c>
      <c r="E841" s="3" t="inlineStr">
        <is>
          <t>CI</t>
        </is>
      </c>
      <c r="F841" s="3" t="inlineStr">
        <is>
          <t>PKG-33</t>
        </is>
      </c>
      <c r="G841" s="3" t="inlineStr">
        <is>
          <t>DEL-33.05</t>
        </is>
      </c>
      <c r="H841" s="3" t="inlineStr">
        <is>
          <t>SPPP Compliance Monitoring - Construction</t>
        </is>
      </c>
      <c r="I841" s="22" t="n">
        <v>1</v>
      </c>
      <c r="J841" s="3" t="inlineStr">
        <is>
          <t>LS</t>
        </is>
      </c>
      <c r="K841" s="39" t="n">
        <v>63750</v>
      </c>
      <c r="L841" s="35" t="n">
        <v>63750</v>
      </c>
      <c r="M841" s="3" t="inlineStr">
        <is>
          <t>CAD</t>
        </is>
      </c>
      <c r="N841" s="3" t="inlineStr">
        <is>
          <t>ALLOWANCE</t>
        </is>
      </c>
      <c r="O841" s="3" t="inlineStr">
        <is>
          <t>A-005</t>
        </is>
      </c>
      <c r="P841" s="3" t="inlineStr">
        <is>
          <t>LOW</t>
        </is>
      </c>
      <c r="Q841" s="3" t="inlineStr">
        <is>
          <t>SPPP compliance monitoring and BMP inspections during construction; 75% of $85k allowance</t>
        </is>
      </c>
      <c r="R841" s="3">
        <f>VLOOKUP($F841,Inputs!$D$6:$E$41,2,FALSE)</f>
        <v/>
      </c>
      <c r="S841" s="36">
        <f>VLOOKUP($E841,Inputs!$A$6:$B$13,2,FALSE)*Inputs!$B$2</f>
        <v/>
      </c>
      <c r="T841" s="35">
        <f>$L841*$S841</f>
        <v/>
      </c>
      <c r="U841" s="35">
        <f>$L841+$T841</f>
        <v/>
      </c>
    </row>
    <row r="842">
      <c r="A842" s="3" t="inlineStr">
        <is>
          <t>PKG-33::L-012</t>
        </is>
      </c>
      <c r="B842" s="3" t="inlineStr">
        <is>
          <t>PKG-33</t>
        </is>
      </c>
      <c r="C842" s="3" t="inlineStr">
        <is>
          <t>DEL-33.06</t>
        </is>
      </c>
      <c r="D842" s="3" t="inlineStr">
        <is>
          <t>L-012</t>
        </is>
      </c>
      <c r="E842" s="3" t="inlineStr">
        <is>
          <t>CI</t>
        </is>
      </c>
      <c r="F842" s="3" t="inlineStr">
        <is>
          <t>PKG-33</t>
        </is>
      </c>
      <c r="G842" s="3" t="inlineStr">
        <is>
          <t>DEL-33.06</t>
        </is>
      </c>
      <c r="H842" s="3" t="inlineStr">
        <is>
          <t>Waste Management Records - Construction</t>
        </is>
      </c>
      <c r="I842" s="22" t="n">
        <v>1</v>
      </c>
      <c r="J842" s="3" t="inlineStr">
        <is>
          <t>LS</t>
        </is>
      </c>
      <c r="K842" s="39" t="n">
        <v>44000</v>
      </c>
      <c r="L842" s="35" t="n">
        <v>44000</v>
      </c>
      <c r="M842" s="3" t="inlineStr">
        <is>
          <t>CAD</t>
        </is>
      </c>
      <c r="N842" s="3" t="inlineStr">
        <is>
          <t>ALLOWANCE</t>
        </is>
      </c>
      <c r="O842" s="3" t="inlineStr">
        <is>
          <t>A-006</t>
        </is>
      </c>
      <c r="P842" s="3" t="inlineStr">
        <is>
          <t>MED</t>
        </is>
      </c>
      <c r="Q842" s="3" t="inlineStr">
        <is>
          <t>Waste tracking and manifesting during construction phase; 80% of $55k allowance</t>
        </is>
      </c>
      <c r="R842" s="3">
        <f>VLOOKUP($F842,Inputs!$D$6:$E$41,2,FALSE)</f>
        <v/>
      </c>
      <c r="S842" s="36">
        <f>VLOOKUP($E842,Inputs!$A$6:$B$13,2,FALSE)*Inputs!$B$2</f>
        <v/>
      </c>
      <c r="T842" s="35">
        <f>$L842*$S842</f>
        <v/>
      </c>
      <c r="U842" s="35">
        <f>$L842+$T842</f>
        <v/>
      </c>
    </row>
    <row r="843">
      <c r="A843" s="3" t="inlineStr">
        <is>
          <t>PKG-33::L-013</t>
        </is>
      </c>
      <c r="B843" s="3" t="inlineStr">
        <is>
          <t>PKG-33</t>
        </is>
      </c>
      <c r="C843" s="3" t="n"/>
      <c r="D843" s="3" t="inlineStr">
        <is>
          <t>L-013</t>
        </is>
      </c>
      <c r="E843" s="3" t="inlineStr">
        <is>
          <t>CI</t>
        </is>
      </c>
      <c r="F843" s="3" t="inlineStr">
        <is>
          <t>PKG-33</t>
        </is>
      </c>
      <c r="G843" s="3" t="n"/>
      <c r="H843" s="3" t="inlineStr">
        <is>
          <t>Construction Indirects - HSE Oversight Allocation</t>
        </is>
      </c>
      <c r="I843" s="22" t="n">
        <v>1</v>
      </c>
      <c r="J843" s="3" t="inlineStr">
        <is>
          <t>LS</t>
        </is>
      </c>
      <c r="K843" s="39" t="n">
        <v>93100</v>
      </c>
      <c r="L843" s="35" t="n">
        <v>93100</v>
      </c>
      <c r="M843" s="3" t="inlineStr">
        <is>
          <t>CAD</t>
        </is>
      </c>
      <c r="N843" s="3" t="inlineStr">
        <is>
          <t>PARAMETRIC</t>
        </is>
      </c>
      <c r="O843" s="3" t="inlineStr">
        <is>
          <t>D-006 (Fallback Model)</t>
        </is>
      </c>
      <c r="P843" s="3" t="inlineStr">
        <is>
          <t>MED</t>
        </is>
      </c>
      <c r="Q843" s="3" t="inlineStr">
        <is>
          <t>CI allocation for HSE oversight and QA/QC; 18% of notional construction base ($517k)</t>
        </is>
      </c>
      <c r="R843" s="3">
        <f>VLOOKUP($F843,Inputs!$D$6:$E$41,2,FALSE)</f>
        <v/>
      </c>
      <c r="S843" s="36">
        <f>VLOOKUP($E843,Inputs!$A$6:$B$13,2,FALSE)*Inputs!$B$2</f>
        <v/>
      </c>
      <c r="T843" s="35">
        <f>$L843*$S843</f>
        <v/>
      </c>
      <c r="U843" s="35">
        <f>$L843+$T843</f>
        <v/>
      </c>
    </row>
    <row r="844">
      <c r="A844" s="3" t="inlineStr">
        <is>
          <t>PKG-33::L-014</t>
        </is>
      </c>
      <c r="B844" s="3" t="inlineStr">
        <is>
          <t>PKG-33</t>
        </is>
      </c>
      <c r="C844" s="3" t="inlineStr">
        <is>
          <t>DEL-33.04</t>
        </is>
      </c>
      <c r="D844" s="3" t="inlineStr">
        <is>
          <t>L-014</t>
        </is>
      </c>
      <c r="E844" s="3" t="inlineStr">
        <is>
          <t>COM</t>
        </is>
      </c>
      <c r="F844" s="3" t="inlineStr">
        <is>
          <t>PKG-33</t>
        </is>
      </c>
      <c r="G844" s="3" t="inlineStr">
        <is>
          <t>DEL-33.04</t>
        </is>
      </c>
      <c r="H844" s="3" t="inlineStr">
        <is>
          <t>CEMP Compliance Monitoring - Commissioning</t>
        </is>
      </c>
      <c r="I844" s="22" t="n">
        <v>1</v>
      </c>
      <c r="J844" s="3" t="inlineStr">
        <is>
          <t>LS</t>
        </is>
      </c>
      <c r="K844" s="39" t="n">
        <v>35000</v>
      </c>
      <c r="L844" s="35" t="n">
        <v>35000</v>
      </c>
      <c r="M844" s="3" t="inlineStr">
        <is>
          <t>CAD</t>
        </is>
      </c>
      <c r="N844" s="3" t="inlineStr">
        <is>
          <t>ALLOWANCE</t>
        </is>
      </c>
      <c r="O844" s="3" t="inlineStr">
        <is>
          <t>A-004</t>
        </is>
      </c>
      <c r="P844" s="3" t="inlineStr">
        <is>
          <t>LOW</t>
        </is>
      </c>
      <c r="Q844" s="3" t="inlineStr">
        <is>
          <t>CEMP compliance monitoring during commissioning phase; 25% of $140k allowance</t>
        </is>
      </c>
      <c r="R844" s="3">
        <f>VLOOKUP($F844,Inputs!$D$6:$E$41,2,FALSE)</f>
        <v/>
      </c>
      <c r="S844" s="36">
        <f>VLOOKUP($E844,Inputs!$A$6:$B$13,2,FALSE)*Inputs!$B$2</f>
        <v/>
      </c>
      <c r="T844" s="35">
        <f>$L844*$S844</f>
        <v/>
      </c>
      <c r="U844" s="35">
        <f>$L844+$T844</f>
        <v/>
      </c>
    </row>
    <row r="845">
      <c r="A845" s="3" t="inlineStr">
        <is>
          <t>PKG-33::L-015</t>
        </is>
      </c>
      <c r="B845" s="3" t="inlineStr">
        <is>
          <t>PKG-33</t>
        </is>
      </c>
      <c r="C845" s="3" t="inlineStr">
        <is>
          <t>DEL-33.05</t>
        </is>
      </c>
      <c r="D845" s="3" t="inlineStr">
        <is>
          <t>L-015</t>
        </is>
      </c>
      <c r="E845" s="3" t="inlineStr">
        <is>
          <t>COM</t>
        </is>
      </c>
      <c r="F845" s="3" t="inlineStr">
        <is>
          <t>PKG-33</t>
        </is>
      </c>
      <c r="G845" s="3" t="inlineStr">
        <is>
          <t>DEL-33.05</t>
        </is>
      </c>
      <c r="H845" s="3" t="inlineStr">
        <is>
          <t>SPPP Compliance Monitoring - Commissioning</t>
        </is>
      </c>
      <c r="I845" s="22" t="n">
        <v>1</v>
      </c>
      <c r="J845" s="3" t="inlineStr">
        <is>
          <t>LS</t>
        </is>
      </c>
      <c r="K845" s="39" t="n">
        <v>21250</v>
      </c>
      <c r="L845" s="35" t="n">
        <v>21250</v>
      </c>
      <c r="M845" s="3" t="inlineStr">
        <is>
          <t>CAD</t>
        </is>
      </c>
      <c r="N845" s="3" t="inlineStr">
        <is>
          <t>ALLOWANCE</t>
        </is>
      </c>
      <c r="O845" s="3" t="inlineStr">
        <is>
          <t>A-005</t>
        </is>
      </c>
      <c r="P845" s="3" t="inlineStr">
        <is>
          <t>LOW</t>
        </is>
      </c>
      <c r="Q845" s="3" t="inlineStr">
        <is>
          <t>SPPP compliance during commissioning/startup; 25% of $85k allowance</t>
        </is>
      </c>
      <c r="R845" s="3">
        <f>VLOOKUP($F845,Inputs!$D$6:$E$41,2,FALSE)</f>
        <v/>
      </c>
      <c r="S845" s="36">
        <f>VLOOKUP($E845,Inputs!$A$6:$B$13,2,FALSE)*Inputs!$B$2</f>
        <v/>
      </c>
      <c r="T845" s="35">
        <f>$L845*$S845</f>
        <v/>
      </c>
      <c r="U845" s="35">
        <f>$L845+$T845</f>
        <v/>
      </c>
    </row>
    <row r="846">
      <c r="A846" s="3" t="inlineStr">
        <is>
          <t>PKG-33::L-016</t>
        </is>
      </c>
      <c r="B846" s="3" t="inlineStr">
        <is>
          <t>PKG-33</t>
        </is>
      </c>
      <c r="C846" s="3" t="inlineStr">
        <is>
          <t>DEL-33.06</t>
        </is>
      </c>
      <c r="D846" s="3" t="inlineStr">
        <is>
          <t>L-016</t>
        </is>
      </c>
      <c r="E846" s="3" t="inlineStr">
        <is>
          <t>COM</t>
        </is>
      </c>
      <c r="F846" s="3" t="inlineStr">
        <is>
          <t>PKG-33</t>
        </is>
      </c>
      <c r="G846" s="3" t="inlineStr">
        <is>
          <t>DEL-33.06</t>
        </is>
      </c>
      <c r="H846" s="3" t="inlineStr">
        <is>
          <t>Waste Management Records - Commissioning</t>
        </is>
      </c>
      <c r="I846" s="22" t="n">
        <v>1</v>
      </c>
      <c r="J846" s="3" t="inlineStr">
        <is>
          <t>LS</t>
        </is>
      </c>
      <c r="K846" s="39" t="n">
        <v>11000</v>
      </c>
      <c r="L846" s="35" t="n">
        <v>11000</v>
      </c>
      <c r="M846" s="3" t="inlineStr">
        <is>
          <t>CAD</t>
        </is>
      </c>
      <c r="N846" s="3" t="inlineStr">
        <is>
          <t>ALLOWANCE</t>
        </is>
      </c>
      <c r="O846" s="3" t="inlineStr">
        <is>
          <t>A-006</t>
        </is>
      </c>
      <c r="P846" s="3" t="inlineStr">
        <is>
          <t>MED</t>
        </is>
      </c>
      <c r="Q846" s="3" t="inlineStr">
        <is>
          <t>Waste management during commissioning/startup; 20% of $55k allowance</t>
        </is>
      </c>
      <c r="R846" s="3">
        <f>VLOOKUP($F846,Inputs!$D$6:$E$41,2,FALSE)</f>
        <v/>
      </c>
      <c r="S846" s="36">
        <f>VLOOKUP($E846,Inputs!$A$6:$B$13,2,FALSE)*Inputs!$B$2</f>
        <v/>
      </c>
      <c r="T846" s="35">
        <f>$L846*$S846</f>
        <v/>
      </c>
      <c r="U846" s="35">
        <f>$L846+$T846</f>
        <v/>
      </c>
    </row>
    <row r="847">
      <c r="A847" s="3" t="inlineStr">
        <is>
          <t>PKG-34::L001</t>
        </is>
      </c>
      <c r="B847" s="3" t="inlineStr">
        <is>
          <t>PKG-34</t>
        </is>
      </c>
      <c r="C847" s="3" t="inlineStr">
        <is>
          <t>DEL-34.01</t>
        </is>
      </c>
      <c r="D847" s="3" t="inlineStr">
        <is>
          <t>L001</t>
        </is>
      </c>
      <c r="E847" s="3" t="inlineStr">
        <is>
          <t>PM</t>
        </is>
      </c>
      <c r="F847" s="3" t="inlineStr">
        <is>
          <t>PKG-34</t>
        </is>
      </c>
      <c r="G847" s="3" t="inlineStr">
        <is>
          <t>DEL-34.01</t>
        </is>
      </c>
      <c r="H847" s="3" t="inlineStr">
        <is>
          <t>Coordination Meeting Records - Weekly Terminal coordination meetings over 24-30 month construction</t>
        </is>
      </c>
      <c r="I847" s="22" t="n">
        <v>1</v>
      </c>
      <c r="J847" s="3" t="inlineStr">
        <is>
          <t>LS</t>
        </is>
      </c>
      <c r="K847" s="39" t="n">
        <v>75000</v>
      </c>
      <c r="L847" s="35" t="n">
        <v>75000</v>
      </c>
      <c r="M847" s="3" t="inlineStr">
        <is>
          <t>CAD</t>
        </is>
      </c>
      <c r="N847" s="3" t="inlineStr">
        <is>
          <t>ALLOWANCE</t>
        </is>
      </c>
      <c r="O847" s="3" t="inlineStr">
        <is>
          <t>A-003</t>
        </is>
      </c>
      <c r="P847" s="3" t="inlineStr">
        <is>
          <t>LOW</t>
        </is>
      </c>
      <c r="Q847" s="3" t="inlineStr">
        <is>
          <t>Allowance for ~100-130 weekly meetings at $600-750/meeting (admin staff prep review distribution filing)</t>
        </is>
      </c>
      <c r="R847" s="3">
        <f>VLOOKUP($F847,Inputs!$D$6:$E$41,2,FALSE)</f>
        <v/>
      </c>
      <c r="S847" s="36">
        <f>VLOOKUP($E847,Inputs!$A$6:$B$13,2,FALSE)*Inputs!$B$2</f>
        <v/>
      </c>
      <c r="T847" s="35">
        <f>$L847*$S847</f>
        <v/>
      </c>
      <c r="U847" s="35">
        <f>$L847+$T847</f>
        <v/>
      </c>
    </row>
    <row r="848">
      <c r="A848" s="3" t="inlineStr">
        <is>
          <t>PKG-34::L002</t>
        </is>
      </c>
      <c r="B848" s="3" t="inlineStr">
        <is>
          <t>PKG-34</t>
        </is>
      </c>
      <c r="C848" s="3" t="inlineStr">
        <is>
          <t>DEL-34.02</t>
        </is>
      </c>
      <c r="D848" s="3" t="inlineStr">
        <is>
          <t>L002</t>
        </is>
      </c>
      <c r="E848" s="3" t="inlineStr">
        <is>
          <t>PM</t>
        </is>
      </c>
      <c r="F848" s="3" t="inlineStr">
        <is>
          <t>PKG-34</t>
        </is>
      </c>
      <c r="G848" s="3" t="inlineStr">
        <is>
          <t>DEL-34.02</t>
        </is>
      </c>
      <c r="H848" s="3" t="inlineStr">
        <is>
          <t>Interface Agreements - FSPL-TI interface agreement preparation and negotiation</t>
        </is>
      </c>
      <c r="I848" s="22" t="n">
        <v>1</v>
      </c>
      <c r="J848" s="3" t="inlineStr">
        <is>
          <t>LS</t>
        </is>
      </c>
      <c r="K848" s="39" t="n">
        <v>30000</v>
      </c>
      <c r="L848" s="35" t="n">
        <v>30000</v>
      </c>
      <c r="M848" s="3" t="inlineStr">
        <is>
          <t>CAD</t>
        </is>
      </c>
      <c r="N848" s="3" t="inlineStr">
        <is>
          <t>ALLOWANCE</t>
        </is>
      </c>
      <c r="O848" s="3" t="inlineStr">
        <is>
          <t>A-002</t>
        </is>
      </c>
      <c r="P848" s="3" t="inlineStr">
        <is>
          <t>LOW</t>
        </is>
      </c>
      <c r="Q848" s="3" t="inlineStr">
        <is>
          <t>Allowance for major interface agreement with Terminal operations; includes negotiations documentation coordination</t>
        </is>
      </c>
      <c r="R848" s="3">
        <f>VLOOKUP($F848,Inputs!$D$6:$E$41,2,FALSE)</f>
        <v/>
      </c>
      <c r="S848" s="36">
        <f>VLOOKUP($E848,Inputs!$A$6:$B$13,2,FALSE)*Inputs!$B$2</f>
        <v/>
      </c>
      <c r="T848" s="35">
        <f>$L848*$S848</f>
        <v/>
      </c>
      <c r="U848" s="35">
        <f>$L848+$T848</f>
        <v/>
      </c>
    </row>
    <row r="849">
      <c r="A849" s="3" t="inlineStr">
        <is>
          <t>PKG-34::L003</t>
        </is>
      </c>
      <c r="B849" s="3" t="inlineStr">
        <is>
          <t>PKG-34</t>
        </is>
      </c>
      <c r="C849" s="3" t="inlineStr">
        <is>
          <t>DEL-34.02</t>
        </is>
      </c>
      <c r="D849" s="3" t="inlineStr">
        <is>
          <t>L003</t>
        </is>
      </c>
      <c r="E849" s="3" t="inlineStr">
        <is>
          <t>PM</t>
        </is>
      </c>
      <c r="F849" s="3" t="inlineStr">
        <is>
          <t>PKG-34</t>
        </is>
      </c>
      <c r="G849" s="3" t="inlineStr">
        <is>
          <t>DEL-34.02</t>
        </is>
      </c>
      <c r="H849" s="3" t="inlineStr">
        <is>
          <t>Interface Agreements - Metro Vancouver utilities interface agreement</t>
        </is>
      </c>
      <c r="I849" s="22" t="n">
        <v>1</v>
      </c>
      <c r="J849" s="3" t="inlineStr">
        <is>
          <t>LS</t>
        </is>
      </c>
      <c r="K849" s="39" t="n">
        <v>25000</v>
      </c>
      <c r="L849" s="35" t="n">
        <v>25000</v>
      </c>
      <c r="M849" s="3" t="inlineStr">
        <is>
          <t>CAD</t>
        </is>
      </c>
      <c r="N849" s="3" t="inlineStr">
        <is>
          <t>ALLOWANCE</t>
        </is>
      </c>
      <c r="O849" s="3" t="inlineStr">
        <is>
          <t>A-002</t>
        </is>
      </c>
      <c r="P849" s="3" t="inlineStr">
        <is>
          <t>LOW</t>
        </is>
      </c>
      <c r="Q849" s="3" t="inlineStr">
        <is>
          <t>Allowance for utility interface agreement including sewer water coordination</t>
        </is>
      </c>
      <c r="R849" s="3">
        <f>VLOOKUP($F849,Inputs!$D$6:$E$41,2,FALSE)</f>
        <v/>
      </c>
      <c r="S849" s="36">
        <f>VLOOKUP($E849,Inputs!$A$6:$B$13,2,FALSE)*Inputs!$B$2</f>
        <v/>
      </c>
      <c r="T849" s="35">
        <f>$L849*$S849</f>
        <v/>
      </c>
      <c r="U849" s="35">
        <f>$L849+$T849</f>
        <v/>
      </c>
    </row>
    <row r="850">
      <c r="A850" s="3" t="inlineStr">
        <is>
          <t>PKG-34::L004</t>
        </is>
      </c>
      <c r="B850" s="3" t="inlineStr">
        <is>
          <t>PKG-34</t>
        </is>
      </c>
      <c r="C850" s="3" t="inlineStr">
        <is>
          <t>DEL-34.02</t>
        </is>
      </c>
      <c r="D850" s="3" t="inlineStr">
        <is>
          <t>L004</t>
        </is>
      </c>
      <c r="E850" s="3" t="inlineStr">
        <is>
          <t>PM</t>
        </is>
      </c>
      <c r="F850" s="3" t="inlineStr">
        <is>
          <t>PKG-34</t>
        </is>
      </c>
      <c r="G850" s="3" t="inlineStr">
        <is>
          <t>DEL-34.02</t>
        </is>
      </c>
      <c r="H850" s="3" t="inlineStr">
        <is>
          <t>Interface Agreements - Other utilities and rail interface agreements</t>
        </is>
      </c>
      <c r="I850" s="22" t="n">
        <v>1</v>
      </c>
      <c r="J850" s="3" t="inlineStr">
        <is>
          <t>LS</t>
        </is>
      </c>
      <c r="K850" s="39" t="n">
        <v>35000</v>
      </c>
      <c r="L850" s="35" t="n">
        <v>35000</v>
      </c>
      <c r="M850" s="3" t="inlineStr">
        <is>
          <t>CAD</t>
        </is>
      </c>
      <c r="N850" s="3" t="inlineStr">
        <is>
          <t>ALLOWANCE</t>
        </is>
      </c>
      <c r="O850" s="3" t="inlineStr">
        <is>
          <t>A-002</t>
        </is>
      </c>
      <c r="P850" s="3" t="inlineStr">
        <is>
          <t>LOW</t>
        </is>
      </c>
      <c r="Q850" s="3" t="inlineStr">
        <is>
          <t>Allowance for remaining interface agreements (BC Hydro FortisBC rail authority telecommunications)</t>
        </is>
      </c>
      <c r="R850" s="3">
        <f>VLOOKUP($F850,Inputs!$D$6:$E$41,2,FALSE)</f>
        <v/>
      </c>
      <c r="S850" s="36">
        <f>VLOOKUP($E850,Inputs!$A$6:$B$13,2,FALSE)*Inputs!$B$2</f>
        <v/>
      </c>
      <c r="T850" s="35">
        <f>$L850*$S850</f>
        <v/>
      </c>
      <c r="U850" s="35">
        <f>$L850+$T850</f>
        <v/>
      </c>
    </row>
    <row r="851">
      <c r="A851" s="3" t="inlineStr">
        <is>
          <t>PKG-34::L005</t>
        </is>
      </c>
      <c r="B851" s="3" t="inlineStr">
        <is>
          <t>PKG-34</t>
        </is>
      </c>
      <c r="C851" s="3" t="inlineStr">
        <is>
          <t>DEL-34.03</t>
        </is>
      </c>
      <c r="D851" s="3" t="inlineStr">
        <is>
          <t>L005</t>
        </is>
      </c>
      <c r="E851" s="3" t="inlineStr">
        <is>
          <t>PM</t>
        </is>
      </c>
      <c r="F851" s="3" t="inlineStr">
        <is>
          <t>PKG-34</t>
        </is>
      </c>
      <c r="G851" s="3" t="inlineStr">
        <is>
          <t>DEL-34.03</t>
        </is>
      </c>
      <c r="H851" s="3" t="inlineStr">
        <is>
          <t>Marine Coordination Records - Notices to mariners and port/marine authority coordination</t>
        </is>
      </c>
      <c r="I851" s="22" t="n">
        <v>1</v>
      </c>
      <c r="J851" s="3" t="inlineStr">
        <is>
          <t>LS</t>
        </is>
      </c>
      <c r="K851" s="39" t="n">
        <v>50000</v>
      </c>
      <c r="L851" s="35" t="n">
        <v>50000</v>
      </c>
      <c r="M851" s="3" t="inlineStr">
        <is>
          <t>CAD</t>
        </is>
      </c>
      <c r="N851" s="3" t="inlineStr">
        <is>
          <t>ALLOWANCE</t>
        </is>
      </c>
      <c r="O851" s="3" t="inlineStr">
        <is>
          <t>A-004</t>
        </is>
      </c>
      <c r="P851" s="3" t="inlineStr">
        <is>
          <t>LOW</t>
        </is>
      </c>
      <c r="Q851" s="3" t="inlineStr">
        <is>
          <t>Allowance for marine coordination over 8-12 month marine works period; includes NTM preparation VFPA coordination vessel scheduling</t>
        </is>
      </c>
      <c r="R851" s="3">
        <f>VLOOKUP($F851,Inputs!$D$6:$E$41,2,FALSE)</f>
        <v/>
      </c>
      <c r="S851" s="36">
        <f>VLOOKUP($E851,Inputs!$A$6:$B$13,2,FALSE)*Inputs!$B$2</f>
        <v/>
      </c>
      <c r="T851" s="35">
        <f>$L851*$S851</f>
        <v/>
      </c>
      <c r="U851" s="35">
        <f>$L851+$T851</f>
        <v/>
      </c>
    </row>
    <row r="852">
      <c r="A852" s="3" t="inlineStr">
        <is>
          <t>PKG-34::L006</t>
        </is>
      </c>
      <c r="B852" s="3" t="inlineStr">
        <is>
          <t>PKG-34</t>
        </is>
      </c>
      <c r="C852" s="3" t="inlineStr">
        <is>
          <t>DEL-34.04</t>
        </is>
      </c>
      <c r="D852" s="3" t="inlineStr">
        <is>
          <t>L006</t>
        </is>
      </c>
      <c r="E852" s="3" t="inlineStr">
        <is>
          <t>PM</t>
        </is>
      </c>
      <c r="F852" s="3" t="inlineStr">
        <is>
          <t>PKG-34</t>
        </is>
      </c>
      <c r="G852" s="3" t="inlineStr">
        <is>
          <t>DEL-34.04</t>
        </is>
      </c>
      <c r="H852" s="3" t="inlineStr">
        <is>
          <t>Security Compliance Records - CBSA/TC security compliance documentation</t>
        </is>
      </c>
      <c r="I852" s="22" t="n">
        <v>1</v>
      </c>
      <c r="J852" s="3" t="inlineStr">
        <is>
          <t>LS</t>
        </is>
      </c>
      <c r="K852" s="39" t="n">
        <v>40000</v>
      </c>
      <c r="L852" s="35" t="n">
        <v>40000</v>
      </c>
      <c r="M852" s="3" t="inlineStr">
        <is>
          <t>CAD</t>
        </is>
      </c>
      <c r="N852" s="3" t="inlineStr">
        <is>
          <t>ALLOWANCE</t>
        </is>
      </c>
      <c r="O852" s="3" t="inlineStr">
        <is>
          <t>A-005</t>
        </is>
      </c>
      <c r="P852" s="3" t="inlineStr">
        <is>
          <t>LOW</t>
        </is>
      </c>
      <c r="Q852" s="3" t="inlineStr">
        <is>
          <t>Allowance for security compliance over 24-30 month construction in port security zone; includes TWIC/MSIC coordination background checks access management</t>
        </is>
      </c>
      <c r="R852" s="3">
        <f>VLOOKUP($F852,Inputs!$D$6:$E$41,2,FALSE)</f>
        <v/>
      </c>
      <c r="S852" s="36">
        <f>VLOOKUP($E852,Inputs!$A$6:$B$13,2,FALSE)*Inputs!$B$2</f>
        <v/>
      </c>
      <c r="T852" s="35">
        <f>$L852*$S852</f>
        <v/>
      </c>
      <c r="U852" s="35">
        <f>$L852+$T852</f>
        <v/>
      </c>
    </row>
    <row r="853">
      <c r="A853" s="3" t="inlineStr">
        <is>
          <t>PKG-34::L007</t>
        </is>
      </c>
      <c r="B853" s="3" t="inlineStr">
        <is>
          <t>PKG-34</t>
        </is>
      </c>
      <c r="C853" s="3" t="inlineStr">
        <is>
          <t>DEL-34.05</t>
        </is>
      </c>
      <c r="D853" s="3" t="inlineStr">
        <is>
          <t>L007</t>
        </is>
      </c>
      <c r="E853" s="3" t="inlineStr">
        <is>
          <t>E</t>
        </is>
      </c>
      <c r="F853" s="3" t="inlineStr">
        <is>
          <t>PKG-34</t>
        </is>
      </c>
      <c r="G853" s="3" t="inlineStr">
        <is>
          <t>DEL-34.05</t>
        </is>
      </c>
      <c r="H853" s="3" t="inlineStr">
        <is>
          <t>Trenchless Crossing Monitoring Reports - Settlement and condition monitoring for HDD crossings</t>
        </is>
      </c>
      <c r="I853" s="22" t="n">
        <v>1</v>
      </c>
      <c r="J853" s="3" t="inlineStr">
        <is>
          <t>LS</t>
        </is>
      </c>
      <c r="K853" s="39" t="n">
        <v>75000</v>
      </c>
      <c r="L853" s="35" t="n">
        <v>75000</v>
      </c>
      <c r="M853" s="3" t="inlineStr">
        <is>
          <t>CAD</t>
        </is>
      </c>
      <c r="N853" s="3" t="inlineStr">
        <is>
          <t>ALLOWANCE</t>
        </is>
      </c>
      <c r="O853" s="3" t="inlineStr">
        <is>
          <t>A-001</t>
        </is>
      </c>
      <c r="P853" s="3" t="inlineStr">
        <is>
          <t>LOW</t>
        </is>
      </c>
      <c r="Q853" s="3" t="inlineStr">
        <is>
          <t>Allowance for 2-4 trenchless crossings; survey instrumentation monitoring and reporting over installation period</t>
        </is>
      </c>
      <c r="R853" s="3">
        <f>VLOOKUP($F853,Inputs!$D$6:$E$41,2,FALSE)</f>
        <v/>
      </c>
      <c r="S853" s="36">
        <f>VLOOKUP($E853,Inputs!$A$6:$B$13,2,FALSE)*Inputs!$B$2</f>
        <v/>
      </c>
      <c r="T853" s="35">
        <f>$L853*$S853</f>
        <v/>
      </c>
      <c r="U853" s="35">
        <f>$L853+$T853</f>
        <v/>
      </c>
    </row>
    <row r="854">
      <c r="A854" s="3" t="inlineStr">
        <is>
          <t>PKG-34::L008</t>
        </is>
      </c>
      <c r="B854" s="3" t="inlineStr">
        <is>
          <t>PKG-34</t>
        </is>
      </c>
      <c r="C854" s="3" t="inlineStr">
        <is>
          <t>DEL-34.05</t>
        </is>
      </c>
      <c r="D854" s="3" t="inlineStr">
        <is>
          <t>L008</t>
        </is>
      </c>
      <c r="E854" s="3" t="inlineStr">
        <is>
          <t>PM</t>
        </is>
      </c>
      <c r="F854" s="3" t="inlineStr">
        <is>
          <t>PKG-34</t>
        </is>
      </c>
      <c r="G854" s="3" t="inlineStr">
        <is>
          <t>DEL-34.05</t>
        </is>
      </c>
      <c r="H854" s="3" t="inlineStr">
        <is>
          <t>Trenchless Crossing Monitoring Coordination - Coordination and stakeholder reporting</t>
        </is>
      </c>
      <c r="I854" s="22" t="n">
        <v>1</v>
      </c>
      <c r="J854" s="3" t="inlineStr">
        <is>
          <t>LS</t>
        </is>
      </c>
      <c r="K854" s="39" t="n">
        <v>20000</v>
      </c>
      <c r="L854" s="35" t="n">
        <v>20000</v>
      </c>
      <c r="M854" s="3" t="inlineStr">
        <is>
          <t>CAD</t>
        </is>
      </c>
      <c r="N854" s="3" t="inlineStr">
        <is>
          <t>ALLOWANCE</t>
        </is>
      </c>
      <c r="O854" s="3" t="inlineStr">
        <is>
          <t>A-001</t>
        </is>
      </c>
      <c r="P854" s="3" t="inlineStr">
        <is>
          <t>LOW</t>
        </is>
      </c>
      <c r="Q854" s="3" t="inlineStr">
        <is>
          <t>Allowance for coordination with utility owners railway stakeholder reporting</t>
        </is>
      </c>
      <c r="R854" s="3">
        <f>VLOOKUP($F854,Inputs!$D$6:$E$41,2,FALSE)</f>
        <v/>
      </c>
      <c r="S854" s="36">
        <f>VLOOKUP($E854,Inputs!$A$6:$B$13,2,FALSE)*Inputs!$B$2</f>
        <v/>
      </c>
      <c r="T854" s="35">
        <f>$L854*$S854</f>
        <v/>
      </c>
      <c r="U854" s="35">
        <f>$L854+$T854</f>
        <v/>
      </c>
    </row>
    <row r="855">
      <c r="A855" s="3" t="inlineStr">
        <is>
          <t>PKG-34::L009</t>
        </is>
      </c>
      <c r="B855" s="3" t="inlineStr">
        <is>
          <t>PKG-34</t>
        </is>
      </c>
      <c r="C855" s="3" t="n"/>
      <c r="D855" s="3" t="inlineStr">
        <is>
          <t>L009</t>
        </is>
      </c>
      <c r="E855" s="3" t="inlineStr">
        <is>
          <t>E</t>
        </is>
      </c>
      <c r="F855" s="3" t="inlineStr">
        <is>
          <t>PKG-34</t>
        </is>
      </c>
      <c r="G855" s="3" t="n"/>
      <c r="H855" s="3" t="inlineStr">
        <is>
          <t>Engineering Oversight Allocation - technical oversight for monitoring and interface activities</t>
        </is>
      </c>
      <c r="I855" s="22" t="n">
        <v>1</v>
      </c>
      <c r="J855" s="3" t="inlineStr">
        <is>
          <t>LS</t>
        </is>
      </c>
      <c r="K855" s="39" t="n">
        <v>20000</v>
      </c>
      <c r="L855" s="35" t="n">
        <v>20000</v>
      </c>
      <c r="M855" s="3" t="inlineStr">
        <is>
          <t>CAD</t>
        </is>
      </c>
      <c r="N855" s="3" t="inlineStr">
        <is>
          <t>PARAMETRIC</t>
        </is>
      </c>
      <c r="O855" s="3" t="inlineStr">
        <is>
          <t>D-006</t>
        </is>
      </c>
      <c r="P855" s="3" t="inlineStr">
        <is>
          <t>MED</t>
        </is>
      </c>
      <c r="Q855" s="3" t="inlineStr">
        <is>
          <t>Additional engineering review and oversight allocation for technical coordination activities</t>
        </is>
      </c>
      <c r="R855" s="3">
        <f>VLOOKUP($F855,Inputs!$D$6:$E$41,2,FALSE)</f>
        <v/>
      </c>
      <c r="S855" s="36">
        <f>VLOOKUP($E855,Inputs!$A$6:$B$13,2,FALSE)*Inputs!$B$2</f>
        <v/>
      </c>
      <c r="T855" s="35">
        <f>$L855*$S855</f>
        <v/>
      </c>
      <c r="U855" s="35">
        <f>$L855+$T855</f>
        <v/>
      </c>
    </row>
    <row r="856">
      <c r="A856" s="3" t="inlineStr">
        <is>
          <t>PKG-34::L010</t>
        </is>
      </c>
      <c r="B856" s="3" t="inlineStr">
        <is>
          <t>PKG-34</t>
        </is>
      </c>
      <c r="C856" s="3" t="n"/>
      <c r="D856" s="3" t="inlineStr">
        <is>
          <t>L010</t>
        </is>
      </c>
      <c r="E856" s="3" t="inlineStr">
        <is>
          <t>PM</t>
        </is>
      </c>
      <c r="F856" s="3" t="inlineStr">
        <is>
          <t>PKG-34</t>
        </is>
      </c>
      <c r="G856" s="3" t="n"/>
      <c r="H856" s="3" t="inlineStr">
        <is>
          <t>EPCM / Project Management - PKG-34 allocation (factor-based)</t>
        </is>
      </c>
      <c r="I856" s="22" t="n">
        <v>1</v>
      </c>
      <c r="J856" s="3" t="inlineStr">
        <is>
          <t>LS</t>
        </is>
      </c>
      <c r="K856" s="39" t="n">
        <v>20000</v>
      </c>
      <c r="L856" s="35" t="n">
        <v>20000</v>
      </c>
      <c r="M856" s="3" t="inlineStr">
        <is>
          <t>CAD</t>
        </is>
      </c>
      <c r="N856" s="3" t="inlineStr">
        <is>
          <t>PARAMETRIC</t>
        </is>
      </c>
      <c r="O856" s="3" t="inlineStr">
        <is>
          <t>D-006</t>
        </is>
      </c>
      <c r="P856" s="3" t="inlineStr">
        <is>
          <t>MED</t>
        </is>
      </c>
      <c r="Q856" s="3" t="inlineStr">
        <is>
          <t>EPCM project management overhead allocation for coordination package</t>
        </is>
      </c>
      <c r="R856" s="3">
        <f>VLOOKUP($F856,Inputs!$D$6:$E$41,2,FALSE)</f>
        <v/>
      </c>
      <c r="S856" s="36">
        <f>VLOOKUP($E856,Inputs!$A$6:$B$13,2,FALSE)*Inputs!$B$2</f>
        <v/>
      </c>
      <c r="T856" s="35">
        <f>$L856*$S856</f>
        <v/>
      </c>
      <c r="U856" s="35">
        <f>$L856+$T856</f>
        <v/>
      </c>
    </row>
    <row r="857">
      <c r="A857" s="3" t="inlineStr">
        <is>
          <t>PKG-34::L011</t>
        </is>
      </c>
      <c r="B857" s="3" t="inlineStr">
        <is>
          <t>PKG-34</t>
        </is>
      </c>
      <c r="C857" s="3" t="n"/>
      <c r="D857" s="3" t="inlineStr">
        <is>
          <t>L011</t>
        </is>
      </c>
      <c r="E857" s="3" t="inlineStr">
        <is>
          <t>CI</t>
        </is>
      </c>
      <c r="F857" s="3" t="inlineStr">
        <is>
          <t>PKG-34</t>
        </is>
      </c>
      <c r="G857" s="3" t="n"/>
      <c r="H857" s="3" t="inlineStr">
        <is>
          <t>QA/QC Coordination Oversight - quality oversight of coordination and interface activities</t>
        </is>
      </c>
      <c r="I857" s="22" t="n">
        <v>1</v>
      </c>
      <c r="J857" s="3" t="inlineStr">
        <is>
          <t>LS</t>
        </is>
      </c>
      <c r="K857" s="39" t="n">
        <v>36000</v>
      </c>
      <c r="L857" s="35" t="n">
        <v>36000</v>
      </c>
      <c r="M857" s="3" t="inlineStr">
        <is>
          <t>CAD</t>
        </is>
      </c>
      <c r="N857" s="3" t="inlineStr">
        <is>
          <t>PARAMETRIC</t>
        </is>
      </c>
      <c r="O857" s="3" t="inlineStr">
        <is>
          <t>D-006</t>
        </is>
      </c>
      <c r="P857" s="3" t="inlineStr">
        <is>
          <t>MED</t>
        </is>
      </c>
      <c r="Q857" s="3" t="inlineStr">
        <is>
          <t>18% of notional coordination base ($200k); QA/QC oversight of interface management and records</t>
        </is>
      </c>
      <c r="R857" s="3">
        <f>VLOOKUP($F857,Inputs!$D$6:$E$41,2,FALSE)</f>
        <v/>
      </c>
      <c r="S857" s="36">
        <f>VLOOKUP($E857,Inputs!$A$6:$B$13,2,FALSE)*Inputs!$B$2</f>
        <v/>
      </c>
      <c r="T857" s="35">
        <f>$L857*$S857</f>
        <v/>
      </c>
      <c r="U857" s="35">
        <f>$L857+$T857</f>
        <v/>
      </c>
    </row>
    <row r="858">
      <c r="A858" s="3" t="inlineStr">
        <is>
          <t>PKG-34::L012</t>
        </is>
      </c>
      <c r="B858" s="3" t="inlineStr">
        <is>
          <t>PKG-34</t>
        </is>
      </c>
      <c r="C858" s="3" t="n"/>
      <c r="D858" s="3" t="inlineStr">
        <is>
          <t>L012</t>
        </is>
      </c>
      <c r="E858" s="3" t="inlineStr">
        <is>
          <t>P</t>
        </is>
      </c>
      <c r="F858" s="3" t="inlineStr">
        <is>
          <t>PKG-34</t>
        </is>
      </c>
      <c r="G858" s="3" t="n"/>
      <c r="H858" s="3" t="inlineStr">
        <is>
          <t>Procurement Services - third-party monitoring coordination (factor-based)</t>
        </is>
      </c>
      <c r="I858" s="22" t="n">
        <v>1</v>
      </c>
      <c r="J858" s="3" t="inlineStr">
        <is>
          <t>LS</t>
        </is>
      </c>
      <c r="K858" s="39" t="n">
        <v>6000</v>
      </c>
      <c r="L858" s="35" t="n">
        <v>6000</v>
      </c>
      <c r="M858" s="3" t="inlineStr">
        <is>
          <t>CAD</t>
        </is>
      </c>
      <c r="N858" s="3" t="inlineStr">
        <is>
          <t>PARAMETRIC</t>
        </is>
      </c>
      <c r="O858" s="3" t="inlineStr">
        <is>
          <t>D-006</t>
        </is>
      </c>
      <c r="P858" s="3" t="inlineStr">
        <is>
          <t>MED</t>
        </is>
      </c>
      <c r="Q858" s="3" t="inlineStr">
        <is>
          <t>2% of third-party monitoring services; procurement coordination for monitoring contracts</t>
        </is>
      </c>
      <c r="R858" s="3">
        <f>VLOOKUP($F858,Inputs!$D$6:$E$41,2,FALSE)</f>
        <v/>
      </c>
      <c r="S858" s="36">
        <f>VLOOKUP($E858,Inputs!$A$6:$B$13,2,FALSE)*Inputs!$B$2</f>
        <v/>
      </c>
      <c r="T858" s="35">
        <f>$L858*$S858</f>
        <v/>
      </c>
      <c r="U858" s="35">
        <f>$L858+$T858</f>
        <v/>
      </c>
    </row>
    <row r="859">
      <c r="A859" s="3" t="inlineStr">
        <is>
          <t>PKG-35::L-001</t>
        </is>
      </c>
      <c r="B859" s="3" t="inlineStr">
        <is>
          <t>PKG-35</t>
        </is>
      </c>
      <c r="C859" s="3" t="inlineStr">
        <is>
          <t>DEL-35.01</t>
        </is>
      </c>
      <c r="D859" s="3" t="inlineStr">
        <is>
          <t>L-001</t>
        </is>
      </c>
      <c r="E859" s="3" t="inlineStr">
        <is>
          <t>E</t>
        </is>
      </c>
      <c r="F859" s="3" t="inlineStr">
        <is>
          <t>PKG-35</t>
        </is>
      </c>
      <c r="G859" s="3" t="inlineStr">
        <is>
          <t>DEL-35.01</t>
        </is>
      </c>
      <c r="H859" s="3" t="inlineStr">
        <is>
          <t>Training materials development - technical writing and presentations</t>
        </is>
      </c>
      <c r="I859" s="22" t="n">
        <v>1</v>
      </c>
      <c r="J859" s="3" t="inlineStr">
        <is>
          <t>LS</t>
        </is>
      </c>
      <c r="K859" s="39" t="n">
        <v>285000</v>
      </c>
      <c r="L859" s="35" t="n">
        <v>285000</v>
      </c>
      <c r="M859" s="3" t="inlineStr">
        <is>
          <t>CAD</t>
        </is>
      </c>
      <c r="N859" s="3" t="inlineStr">
        <is>
          <t>ALLOWANCE</t>
        </is>
      </c>
      <c r="O859" s="3" t="inlineStr">
        <is>
          <t>A-003</t>
        </is>
      </c>
      <c r="P859" s="3" t="inlineStr">
        <is>
          <t>LOW</t>
        </is>
      </c>
      <c r="Q859" s="3" t="inlineStr">
        <is>
          <t>5 major training categories; manuals and presentations</t>
        </is>
      </c>
      <c r="R859" s="3">
        <f>VLOOKUP($F859,Inputs!$D$6:$E$41,2,FALSE)</f>
        <v/>
      </c>
      <c r="S859" s="36">
        <f>VLOOKUP($E859,Inputs!$A$6:$B$13,2,FALSE)*Inputs!$B$2</f>
        <v/>
      </c>
      <c r="T859" s="35">
        <f>$L859*$S859</f>
        <v/>
      </c>
      <c r="U859" s="35">
        <f>$L859+$T859</f>
        <v/>
      </c>
    </row>
    <row r="860">
      <c r="A860" s="3" t="inlineStr">
        <is>
          <t>PKG-35::L-002</t>
        </is>
      </c>
      <c r="B860" s="3" t="inlineStr">
        <is>
          <t>PKG-35</t>
        </is>
      </c>
      <c r="C860" s="3" t="inlineStr">
        <is>
          <t>DEL-35.02</t>
        </is>
      </c>
      <c r="D860" s="3" t="inlineStr">
        <is>
          <t>L-002</t>
        </is>
      </c>
      <c r="E860" s="3" t="inlineStr">
        <is>
          <t>COM</t>
        </is>
      </c>
      <c r="F860" s="3" t="inlineStr">
        <is>
          <t>PKG-35</t>
        </is>
      </c>
      <c r="G860" s="3" t="inlineStr">
        <is>
          <t>DEL-35.02</t>
        </is>
      </c>
      <c r="H860" s="3" t="inlineStr">
        <is>
          <t>OEM training delivery - major equipment systems</t>
        </is>
      </c>
      <c r="I860" s="22" t="n">
        <v>1</v>
      </c>
      <c r="J860" s="3" t="inlineStr">
        <is>
          <t>LS</t>
        </is>
      </c>
      <c r="K860" s="39" t="n">
        <v>195000</v>
      </c>
      <c r="L860" s="35" t="n">
        <v>195000</v>
      </c>
      <c r="M860" s="3" t="inlineStr">
        <is>
          <t>CAD</t>
        </is>
      </c>
      <c r="N860" s="3" t="inlineStr">
        <is>
          <t>ALLOWANCE</t>
        </is>
      </c>
      <c r="O860" s="3" t="inlineStr">
        <is>
          <t>A-001</t>
        </is>
      </c>
      <c r="P860" s="3" t="inlineStr">
        <is>
          <t>LOW</t>
        </is>
      </c>
      <c r="Q860" s="3" t="inlineStr">
        <is>
          <t>8 major systems requiring OEM training</t>
        </is>
      </c>
      <c r="R860" s="3">
        <f>VLOOKUP($F860,Inputs!$D$6:$E$41,2,FALSE)</f>
        <v/>
      </c>
      <c r="S860" s="36">
        <f>VLOOKUP($E860,Inputs!$A$6:$B$13,2,FALSE)*Inputs!$B$2</f>
        <v/>
      </c>
      <c r="T860" s="35">
        <f>$L860*$S860</f>
        <v/>
      </c>
      <c r="U860" s="35">
        <f>$L860+$T860</f>
        <v/>
      </c>
    </row>
    <row r="861">
      <c r="A861" s="3" t="inlineStr">
        <is>
          <t>PKG-35::L-003</t>
        </is>
      </c>
      <c r="B861" s="3" t="inlineStr">
        <is>
          <t>PKG-35</t>
        </is>
      </c>
      <c r="C861" s="3" t="inlineStr">
        <is>
          <t>DEL-35.02</t>
        </is>
      </c>
      <c r="D861" s="3" t="inlineStr">
        <is>
          <t>L-003</t>
        </is>
      </c>
      <c r="E861" s="3" t="inlineStr">
        <is>
          <t>COM</t>
        </is>
      </c>
      <c r="F861" s="3" t="inlineStr">
        <is>
          <t>PKG-35</t>
        </is>
      </c>
      <c r="G861" s="3" t="inlineStr">
        <is>
          <t>DEL-35.02</t>
        </is>
      </c>
      <c r="H861" s="3" t="inlineStr">
        <is>
          <t>Contractor training delivery - operations and maintenance</t>
        </is>
      </c>
      <c r="I861" s="22" t="n">
        <v>1</v>
      </c>
      <c r="J861" s="3" t="inlineStr">
        <is>
          <t>LS</t>
        </is>
      </c>
      <c r="K861" s="39" t="n">
        <v>100000</v>
      </c>
      <c r="L861" s="35" t="n">
        <v>100000</v>
      </c>
      <c r="M861" s="3" t="inlineStr">
        <is>
          <t>CAD</t>
        </is>
      </c>
      <c r="N861" s="3" t="inlineStr">
        <is>
          <t>ALLOWANCE</t>
        </is>
      </c>
      <c r="O861" s="3" t="inlineStr">
        <is>
          <t>A-001</t>
        </is>
      </c>
      <c r="P861" s="3" t="inlineStr">
        <is>
          <t>LOW</t>
        </is>
      </c>
      <c r="Q861" s="3" t="inlineStr">
        <is>
          <t>Operations maintenance and safety training programs</t>
        </is>
      </c>
      <c r="R861" s="3">
        <f>VLOOKUP($F861,Inputs!$D$6:$E$41,2,FALSE)</f>
        <v/>
      </c>
      <c r="S861" s="36">
        <f>VLOOKUP($E861,Inputs!$A$6:$B$13,2,FALSE)*Inputs!$B$2</f>
        <v/>
      </c>
      <c r="T861" s="35">
        <f>$L861*$S861</f>
        <v/>
      </c>
      <c r="U861" s="35">
        <f>$L861+$T861</f>
        <v/>
      </c>
    </row>
    <row r="862">
      <c r="A862" s="3" t="inlineStr">
        <is>
          <t>PKG-35::L-004</t>
        </is>
      </c>
      <c r="B862" s="3" t="inlineStr">
        <is>
          <t>PKG-35</t>
        </is>
      </c>
      <c r="C862" s="3" t="inlineStr">
        <is>
          <t>DEL-35.02</t>
        </is>
      </c>
      <c r="D862" s="3" t="inlineStr">
        <is>
          <t>L-004</t>
        </is>
      </c>
      <c r="E862" s="3" t="inlineStr">
        <is>
          <t>COM</t>
        </is>
      </c>
      <c r="F862" s="3" t="inlineStr">
        <is>
          <t>PKG-35</t>
        </is>
      </c>
      <c r="G862" s="3" t="inlineStr">
        <is>
          <t>DEL-35.02</t>
        </is>
      </c>
      <c r="H862" s="3" t="inlineStr">
        <is>
          <t>Competency assessments and certification</t>
        </is>
      </c>
      <c r="I862" s="22" t="n">
        <v>1</v>
      </c>
      <c r="J862" s="3" t="inlineStr">
        <is>
          <t>LS</t>
        </is>
      </c>
      <c r="K862" s="39" t="n">
        <v>100000</v>
      </c>
      <c r="L862" s="35" t="n">
        <v>100000</v>
      </c>
      <c r="M862" s="3" t="inlineStr">
        <is>
          <t>CAD</t>
        </is>
      </c>
      <c r="N862" s="3" t="inlineStr">
        <is>
          <t>ALLOWANCE</t>
        </is>
      </c>
      <c r="O862" s="3" t="inlineStr">
        <is>
          <t>A-001</t>
        </is>
      </c>
      <c r="P862" s="3" t="inlineStr">
        <is>
          <t>LOW</t>
        </is>
      </c>
      <c r="Q862" s="3" t="inlineStr">
        <is>
          <t>Written tests and practical demonstrations</t>
        </is>
      </c>
      <c r="R862" s="3">
        <f>VLOOKUP($F862,Inputs!$D$6:$E$41,2,FALSE)</f>
        <v/>
      </c>
      <c r="S862" s="36">
        <f>VLOOKUP($E862,Inputs!$A$6:$B$13,2,FALSE)*Inputs!$B$2</f>
        <v/>
      </c>
      <c r="T862" s="35">
        <f>$L862*$S862</f>
        <v/>
      </c>
      <c r="U862" s="35">
        <f>$L862+$T862</f>
        <v/>
      </c>
    </row>
    <row r="863">
      <c r="A863" s="3" t="inlineStr">
        <is>
          <t>PKG-35::L-005</t>
        </is>
      </c>
      <c r="B863" s="3" t="inlineStr">
        <is>
          <t>PKG-35</t>
        </is>
      </c>
      <c r="C863" s="3" t="inlineStr">
        <is>
          <t>DEL-35.02</t>
        </is>
      </c>
      <c r="D863" s="3" t="inlineStr">
        <is>
          <t>L-005</t>
        </is>
      </c>
      <c r="E863" s="3" t="inlineStr">
        <is>
          <t>PM</t>
        </is>
      </c>
      <c r="F863" s="3" t="inlineStr">
        <is>
          <t>PKG-35</t>
        </is>
      </c>
      <c r="G863" s="3" t="inlineStr">
        <is>
          <t>DEL-35.02</t>
        </is>
      </c>
      <c r="H863" s="3" t="inlineStr">
        <is>
          <t>Training records management and administration</t>
        </is>
      </c>
      <c r="I863" s="22" t="n">
        <v>1</v>
      </c>
      <c r="J863" s="3" t="inlineStr">
        <is>
          <t>LS</t>
        </is>
      </c>
      <c r="K863" s="39" t="n">
        <v>47000</v>
      </c>
      <c r="L863" s="35" t="n">
        <v>47000</v>
      </c>
      <c r="M863" s="3" t="inlineStr">
        <is>
          <t>CAD</t>
        </is>
      </c>
      <c r="N863" s="3" t="inlineStr">
        <is>
          <t>ALLOWANCE</t>
        </is>
      </c>
      <c r="O863" s="3" t="inlineStr">
        <is>
          <t>A-009</t>
        </is>
      </c>
      <c r="P863" s="3" t="inlineStr">
        <is>
          <t>MED</t>
        </is>
      </c>
      <c r="Q863" s="3" t="inlineStr">
        <is>
          <t>Training records system and administration</t>
        </is>
      </c>
      <c r="R863" s="3">
        <f>VLOOKUP($F863,Inputs!$D$6:$E$41,2,FALSE)</f>
        <v/>
      </c>
      <c r="S863" s="36">
        <f>VLOOKUP($E863,Inputs!$A$6:$B$13,2,FALSE)*Inputs!$B$2</f>
        <v/>
      </c>
      <c r="T863" s="35">
        <f>$L863*$S863</f>
        <v/>
      </c>
      <c r="U863" s="35">
        <f>$L863+$T863</f>
        <v/>
      </c>
    </row>
    <row r="864">
      <c r="A864" s="3" t="inlineStr">
        <is>
          <t>PKG-35::L-006</t>
        </is>
      </c>
      <c r="B864" s="3" t="inlineStr">
        <is>
          <t>PKG-35</t>
        </is>
      </c>
      <c r="C864" s="3" t="inlineStr">
        <is>
          <t>DEL-35.03</t>
        </is>
      </c>
      <c r="D864" s="3" t="inlineStr">
        <is>
          <t>L-006</t>
        </is>
      </c>
      <c r="E864" s="3" t="inlineStr">
        <is>
          <t>PM</t>
        </is>
      </c>
      <c r="F864" s="3" t="inlineStr">
        <is>
          <t>PKG-35</t>
        </is>
      </c>
      <c r="G864" s="3" t="inlineStr">
        <is>
          <t>DEL-35.03</t>
        </is>
      </c>
      <c r="H864" s="3" t="inlineStr">
        <is>
          <t>Handover documentation and coordination</t>
        </is>
      </c>
      <c r="I864" s="22" t="n">
        <v>1</v>
      </c>
      <c r="J864" s="3" t="inlineStr">
        <is>
          <t>LS</t>
        </is>
      </c>
      <c r="K864" s="39" t="n">
        <v>85000</v>
      </c>
      <c r="L864" s="35" t="n">
        <v>85000</v>
      </c>
      <c r="M864" s="3" t="inlineStr">
        <is>
          <t>CAD</t>
        </is>
      </c>
      <c r="N864" s="3" t="inlineStr">
        <is>
          <t>ALLOWANCE</t>
        </is>
      </c>
      <c r="O864" s="3" t="inlineStr">
        <is>
          <t>A-004</t>
        </is>
      </c>
      <c r="P864" s="3" t="inlineStr">
        <is>
          <t>MED</t>
        </is>
      </c>
      <c r="Q864" s="3" t="inlineStr">
        <is>
          <t>Taking Over certificates and handover checklists</t>
        </is>
      </c>
      <c r="R864" s="3">
        <f>VLOOKUP($F864,Inputs!$D$6:$E$41,2,FALSE)</f>
        <v/>
      </c>
      <c r="S864" s="36">
        <f>VLOOKUP($E864,Inputs!$A$6:$B$13,2,FALSE)*Inputs!$B$2</f>
        <v/>
      </c>
      <c r="T864" s="35">
        <f>$L864*$S864</f>
        <v/>
      </c>
      <c r="U864" s="35">
        <f>$L864+$T864</f>
        <v/>
      </c>
    </row>
    <row r="865">
      <c r="A865" s="3" t="inlineStr">
        <is>
          <t>PKG-35::L-007</t>
        </is>
      </c>
      <c r="B865" s="3" t="inlineStr">
        <is>
          <t>PKG-35</t>
        </is>
      </c>
      <c r="C865" s="3" t="inlineStr">
        <is>
          <t>DEL-35.04</t>
        </is>
      </c>
      <c r="D865" s="3" t="inlineStr">
        <is>
          <t>L-007</t>
        </is>
      </c>
      <c r="E865" s="3" t="inlineStr">
        <is>
          <t>CD</t>
        </is>
      </c>
      <c r="F865" s="3" t="inlineStr">
        <is>
          <t>PKG-35</t>
        </is>
      </c>
      <c r="G865" s="3" t="inlineStr">
        <is>
          <t>DEL-35.04</t>
        </is>
      </c>
      <c r="H865" s="3" t="inlineStr">
        <is>
          <t>Site reinstatement - temporary facilities removal and site restoration</t>
        </is>
      </c>
      <c r="I865" s="22" t="n">
        <v>1</v>
      </c>
      <c r="J865" s="3" t="inlineStr">
        <is>
          <t>LS</t>
        </is>
      </c>
      <c r="K865" s="39" t="n">
        <v>350000</v>
      </c>
      <c r="L865" s="35" t="n">
        <v>350000</v>
      </c>
      <c r="M865" s="3" t="inlineStr">
        <is>
          <t>CAD</t>
        </is>
      </c>
      <c r="N865" s="3" t="inlineStr">
        <is>
          <t>ALLOWANCE</t>
        </is>
      </c>
      <c r="O865" s="3" t="inlineStr">
        <is>
          <t>A-002</t>
        </is>
      </c>
      <c r="P865" s="3" t="inlineStr">
        <is>
          <t>LOW</t>
        </is>
      </c>
      <c r="Q865" s="3" t="inlineStr">
        <is>
          <t>Temp facilities removal cleanup and ground restoration</t>
        </is>
      </c>
      <c r="R865" s="3">
        <f>VLOOKUP($F865,Inputs!$D$6:$E$41,2,FALSE)</f>
        <v/>
      </c>
      <c r="S865" s="36">
        <f>VLOOKUP($E865,Inputs!$A$6:$B$13,2,FALSE)*Inputs!$B$2</f>
        <v/>
      </c>
      <c r="T865" s="35">
        <f>$L865*$S865</f>
        <v/>
      </c>
      <c r="U865" s="35">
        <f>$L865+$T865</f>
        <v/>
      </c>
    </row>
    <row r="866">
      <c r="A866" s="3" t="inlineStr">
        <is>
          <t>PKG-35::L-008</t>
        </is>
      </c>
      <c r="B866" s="3" t="inlineStr">
        <is>
          <t>PKG-35</t>
        </is>
      </c>
      <c r="C866" s="3" t="inlineStr">
        <is>
          <t>DEL-35.05</t>
        </is>
      </c>
      <c r="D866" s="3" t="inlineStr">
        <is>
          <t>L-008</t>
        </is>
      </c>
      <c r="E866" s="3" t="inlineStr">
        <is>
          <t>PM</t>
        </is>
      </c>
      <c r="F866" s="3" t="inlineStr">
        <is>
          <t>PKG-35</t>
        </is>
      </c>
      <c r="G866" s="3" t="inlineStr">
        <is>
          <t>DEL-35.05</t>
        </is>
      </c>
      <c r="H866" s="3" t="inlineStr">
        <is>
          <t>Defects liability support - 12 month warranty period</t>
        </is>
      </c>
      <c r="I866" s="22" t="n">
        <v>1</v>
      </c>
      <c r="J866" s="3" t="inlineStr">
        <is>
          <t>LS</t>
        </is>
      </c>
      <c r="K866" s="39" t="n">
        <v>165000</v>
      </c>
      <c r="L866" s="35" t="n">
        <v>165000</v>
      </c>
      <c r="M866" s="3" t="inlineStr">
        <is>
          <t>CAD</t>
        </is>
      </c>
      <c r="N866" s="3" t="inlineStr">
        <is>
          <t>ALLOWANCE</t>
        </is>
      </c>
      <c r="O866" s="3" t="inlineStr">
        <is>
          <t>A-005</t>
        </is>
      </c>
      <c r="P866" s="3" t="inlineStr">
        <is>
          <t>LOW</t>
        </is>
      </c>
      <c r="Q866" s="3" t="inlineStr">
        <is>
          <t>Defects management site visits and rectification support</t>
        </is>
      </c>
      <c r="R866" s="3">
        <f>VLOOKUP($F866,Inputs!$D$6:$E$41,2,FALSE)</f>
        <v/>
      </c>
      <c r="S866" s="36">
        <f>VLOOKUP($E866,Inputs!$A$6:$B$13,2,FALSE)*Inputs!$B$2</f>
        <v/>
      </c>
      <c r="T866" s="35">
        <f>$L866*$S866</f>
        <v/>
      </c>
      <c r="U866" s="35">
        <f>$L866+$T866</f>
        <v/>
      </c>
    </row>
    <row r="867">
      <c r="A867" s="3" t="inlineStr">
        <is>
          <t>PKG-35::L-009</t>
        </is>
      </c>
      <c r="B867" s="3" t="inlineStr">
        <is>
          <t>PKG-35</t>
        </is>
      </c>
      <c r="C867" s="3" t="inlineStr">
        <is>
          <t>DEL-35.04</t>
        </is>
      </c>
      <c r="D867" s="3" t="inlineStr">
        <is>
          <t>L-009</t>
        </is>
      </c>
      <c r="E867" s="3" t="inlineStr">
        <is>
          <t>CI</t>
        </is>
      </c>
      <c r="F867" s="3" t="inlineStr">
        <is>
          <t>PKG-35</t>
        </is>
      </c>
      <c r="G867" s="3" t="inlineStr">
        <is>
          <t>DEL-35.04</t>
        </is>
      </c>
      <c r="H867" s="3" t="inlineStr">
        <is>
          <t>Construction indirects - QA/QC and site clearance supervision</t>
        </is>
      </c>
      <c r="I867" s="22" t="n">
        <v>1</v>
      </c>
      <c r="J867" s="3" t="inlineStr">
        <is>
          <t>LS</t>
        </is>
      </c>
      <c r="K867" s="39" t="n">
        <v>134000</v>
      </c>
      <c r="L867" s="35" t="n">
        <v>134000</v>
      </c>
      <c r="M867" s="3" t="inlineStr">
        <is>
          <t>CAD</t>
        </is>
      </c>
      <c r="N867" s="3" t="inlineStr">
        <is>
          <t>PARAMETRIC</t>
        </is>
      </c>
      <c r="O867" s="3" t="inlineStr">
        <is>
          <t>D-006</t>
        </is>
      </c>
      <c r="P867" s="3" t="inlineStr">
        <is>
          <t>MED</t>
        </is>
      </c>
      <c r="Q867" s="3" t="inlineStr">
        <is>
          <t>18% of CD plus 25% of COM QA allocation</t>
        </is>
      </c>
      <c r="R867" s="3">
        <f>VLOOKUP($F867,Inputs!$D$6:$E$41,2,FALSE)</f>
        <v/>
      </c>
      <c r="S867" s="36">
        <f>VLOOKUP($E867,Inputs!$A$6:$B$13,2,FALSE)*Inputs!$B$2</f>
        <v/>
      </c>
      <c r="T867" s="35">
        <f>$L867*$S867</f>
        <v/>
      </c>
      <c r="U867" s="35">
        <f>$L867+$T867</f>
        <v/>
      </c>
    </row>
    <row r="868">
      <c r="A868" s="3" t="inlineStr">
        <is>
          <t>PKG-35::L-010</t>
        </is>
      </c>
      <c r="B868" s="3" t="inlineStr">
        <is>
          <t>PKG-35</t>
        </is>
      </c>
      <c r="C868" s="3" t="n"/>
      <c r="D868" s="3" t="inlineStr">
        <is>
          <t>L-010</t>
        </is>
      </c>
      <c r="E868" s="3" t="inlineStr">
        <is>
          <t>P</t>
        </is>
      </c>
      <c r="F868" s="3" t="inlineStr">
        <is>
          <t>PKG-35</t>
        </is>
      </c>
      <c r="G868" s="3" t="n"/>
      <c r="H868" s="3" t="inlineStr">
        <is>
          <t>Procurement services - third-party training procurement</t>
        </is>
      </c>
      <c r="I868" s="22" t="n">
        <v>1</v>
      </c>
      <c r="J868" s="3" t="inlineStr">
        <is>
          <t>LS</t>
        </is>
      </c>
      <c r="K868" s="39" t="n">
        <v>17000</v>
      </c>
      <c r="L868" s="35" t="n">
        <v>17000</v>
      </c>
      <c r="M868" s="3" t="inlineStr">
        <is>
          <t>CAD</t>
        </is>
      </c>
      <c r="N868" s="3" t="inlineStr">
        <is>
          <t>PARAMETRIC</t>
        </is>
      </c>
      <c r="O868" s="3" t="inlineStr">
        <is>
          <t>D-006</t>
        </is>
      </c>
      <c r="P868" s="3" t="inlineStr">
        <is>
          <t>MED</t>
        </is>
      </c>
      <c r="Q868" s="3" t="inlineStr">
        <is>
          <t>2% of third-party training services</t>
        </is>
      </c>
      <c r="R868" s="3">
        <f>VLOOKUP($F868,Inputs!$D$6:$E$41,2,FALSE)</f>
        <v/>
      </c>
      <c r="S868" s="36">
        <f>VLOOKUP($E868,Inputs!$A$6:$B$13,2,FALSE)*Inputs!$B$2</f>
        <v/>
      </c>
      <c r="T868" s="35">
        <f>$L868*$S868</f>
        <v/>
      </c>
      <c r="U868" s="35">
        <f>$L868+$T868</f>
        <v/>
      </c>
    </row>
  </sheetData>
  <hyperlinks>
    <hyperlink xmlns:r="http://schemas.openxmlformats.org/officeDocument/2006/relationships" ref="X1" r:id="rId1"/>
  </hyperlinks>
  <pageMargins left="0.75" right="0.75" top="1" bottom="1" header="0.5" footer="0.5"/>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H56"/>
  <sheetViews>
    <sheetView showGridLines="0" workbookViewId="0">
      <pane ySplit="47" topLeftCell="A48" activePane="bottomLeft" state="frozen"/>
      <selection pane="bottomLeft" activeCell="A1" sqref="A1"/>
    </sheetView>
  </sheetViews>
  <sheetFormatPr baseColWidth="8" defaultRowHeight="15"/>
  <cols>
    <col width="28" customWidth="1" min="1" max="1"/>
    <col width="40" customWidth="1" min="2" max="2"/>
    <col width="16" customWidth="1" min="4" max="4"/>
    <col width="12" customWidth="1" min="5" max="5"/>
  </cols>
  <sheetData>
    <row r="1">
      <c r="A1" s="15" t="inlineStr">
        <is>
          <t>BOE reference tables (from Project_BOE.md)</t>
        </is>
      </c>
      <c r="H1" s="4" t="inlineStr">
        <is>
          <t>Home</t>
        </is>
      </c>
    </row>
    <row r="3">
      <c r="A3" s="2" t="inlineStr">
        <is>
          <t>Executive summary metrics</t>
        </is>
      </c>
      <c r="D3" s="2" t="inlineStr">
        <is>
          <t>Counts</t>
        </is>
      </c>
    </row>
    <row r="4">
      <c r="A4" s="16" t="inlineStr">
        <is>
          <t>Metric</t>
        </is>
      </c>
      <c r="B4" s="16" t="inlineStr">
        <is>
          <t>Value</t>
        </is>
      </c>
      <c r="D4" s="7" t="inlineStr">
        <is>
          <t>Packages</t>
        </is>
      </c>
      <c r="E4" s="24" t="n">
        <v>36</v>
      </c>
    </row>
    <row r="5">
      <c r="A5" s="3" t="inlineStr">
        <is>
          <t>**Total Estimate**</t>
        </is>
      </c>
      <c r="B5" s="3" t="inlineStr">
        <is>
          <t>**$117.1M CAD**</t>
        </is>
      </c>
      <c r="D5" s="7" t="inlineStr">
        <is>
          <t>Deliverables</t>
        </is>
      </c>
      <c r="E5" s="24" t="n">
        <v>202</v>
      </c>
    </row>
    <row r="6">
      <c r="A6" s="3" t="inlineStr">
        <is>
          <t>Base Estimate</t>
        </is>
      </c>
      <c r="B6" s="3" t="inlineStr">
        <is>
          <t>$92,416,406 CAD</t>
        </is>
      </c>
      <c r="D6" s="7" t="inlineStr">
        <is>
          <t>Line items</t>
        </is>
      </c>
      <c r="E6" s="24" t="n">
        <v>867</v>
      </c>
    </row>
    <row r="7">
      <c r="A7" s="3" t="inlineStr">
        <is>
          <t>Contingency</t>
        </is>
      </c>
      <c r="B7" s="3" t="inlineStr">
        <is>
          <t>~$24.7M CAD (~26.7% blended)</t>
        </is>
      </c>
    </row>
    <row r="8">
      <c r="A8" s="3" t="inlineStr">
        <is>
          <t>Currency</t>
        </is>
      </c>
      <c r="B8" s="3" t="inlineStr">
        <is>
          <t>CAD (Canadian dollars)</t>
        </is>
      </c>
    </row>
    <row r="9">
      <c r="A9" s="3" t="inlineStr">
        <is>
          <t>Pricing Date</t>
        </is>
      </c>
      <c r="B9" s="3" t="inlineStr">
        <is>
          <t>January 2026</t>
        </is>
      </c>
    </row>
    <row r="10">
      <c r="A10" s="3" t="inlineStr">
        <is>
          <t>Estimate Class</t>
        </is>
      </c>
      <c r="B10" s="3" t="inlineStr">
        <is>
          <t>Class 5 (Order of Magnitude)</t>
        </is>
      </c>
    </row>
    <row r="11">
      <c r="A11" s="3" t="inlineStr">
        <is>
          <t>Overall Confidence</t>
        </is>
      </c>
      <c r="B11" s="3" t="inlineStr">
        <is>
          <t>LOW</t>
        </is>
      </c>
    </row>
    <row r="12">
      <c r="A12" s="3" t="inlineStr">
        <is>
          <t>Accuracy Range</t>
        </is>
      </c>
      <c r="B12" s="3" t="inlineStr">
        <is>
          <t>-30% / +50%</t>
        </is>
      </c>
    </row>
    <row r="14">
      <c r="A14" s="2" t="inlineStr">
        <is>
          <t>Package coverage summary</t>
        </is>
      </c>
    </row>
    <row r="15">
      <c r="A15" s="16" t="inlineStr">
        <is>
          <t>Category</t>
        </is>
      </c>
      <c r="B15" s="16" t="inlineStr">
        <is>
          <t>Packages</t>
        </is>
      </c>
      <c r="C15" s="16" t="inlineStr">
        <is>
          <t>Base Cost</t>
        </is>
      </c>
      <c r="D15" s="16" t="inlineStr">
        <is>
          <t>% of Total</t>
        </is>
      </c>
    </row>
    <row r="16">
      <c r="A16" s="3" t="inlineStr">
        <is>
          <t>Site &amp; Civil</t>
        </is>
      </c>
      <c r="B16" s="3" t="inlineStr">
        <is>
          <t>PKG-00 to PKG-04</t>
        </is>
      </c>
      <c r="C16" s="3" t="inlineStr">
        <is>
          <t>$12.5M</t>
        </is>
      </c>
      <c r="D16" s="3" t="inlineStr">
        <is>
          <t>13.5%</t>
        </is>
      </c>
    </row>
    <row r="17">
      <c r="A17" s="3" t="inlineStr">
        <is>
          <t>Structural</t>
        </is>
      </c>
      <c r="B17" s="3" t="inlineStr">
        <is>
          <t>PKG-05 to PKG-09</t>
        </is>
      </c>
      <c r="C17" s="3" t="inlineStr">
        <is>
          <t>$13.7M</t>
        </is>
      </c>
      <c r="D17" s="3" t="inlineStr">
        <is>
          <t>14.8%</t>
        </is>
      </c>
    </row>
    <row r="18">
      <c r="A18" s="3" t="inlineStr">
        <is>
          <t>Mechanical</t>
        </is>
      </c>
      <c r="B18" s="3" t="inlineStr">
        <is>
          <t>PKG-10 to PKG-16</t>
        </is>
      </c>
      <c r="C18" s="3" t="inlineStr">
        <is>
          <t>$36.0M</t>
        </is>
      </c>
      <c r="D18" s="3" t="inlineStr">
        <is>
          <t>39.0%</t>
        </is>
      </c>
    </row>
    <row r="19">
      <c r="A19" s="3" t="inlineStr">
        <is>
          <t>Electrical &amp; I&amp;C</t>
        </is>
      </c>
      <c r="B19" s="3" t="inlineStr">
        <is>
          <t>PKG-17 to PKG-20</t>
        </is>
      </c>
      <c r="C19" s="3" t="inlineStr">
        <is>
          <t>$8.4M</t>
        </is>
      </c>
      <c r="D19" s="3" t="inlineStr">
        <is>
          <t>9.1%</t>
        </is>
      </c>
    </row>
    <row r="20">
      <c r="A20" s="3" t="inlineStr">
        <is>
          <t>Buildings &amp; Protection</t>
        </is>
      </c>
      <c r="B20" s="3" t="inlineStr">
        <is>
          <t>PKG-21 to PKG-26</t>
        </is>
      </c>
      <c r="C20" s="3" t="inlineStr">
        <is>
          <t>$9.3M</t>
        </is>
      </c>
      <c r="D20" s="3" t="inlineStr">
        <is>
          <t>10.1%</t>
        </is>
      </c>
    </row>
    <row r="21">
      <c r="A21" s="3" t="inlineStr">
        <is>
          <t>Project Execution</t>
        </is>
      </c>
      <c r="B21" s="3" t="inlineStr">
        <is>
          <t>PKG-27 to PKG-35</t>
        </is>
      </c>
      <c r="C21" s="3" t="inlineStr">
        <is>
          <t>$12.5M</t>
        </is>
      </c>
      <c r="D21" s="3" t="inlineStr">
        <is>
          <t>13.5%</t>
        </is>
      </c>
    </row>
    <row r="22">
      <c r="A22" s="3" t="inlineStr">
        <is>
          <t>**TOTAL**</t>
        </is>
      </c>
      <c r="B22" s="3" t="inlineStr">
        <is>
          <t>**36 Packages**</t>
        </is>
      </c>
      <c r="C22" s="3" t="inlineStr">
        <is>
          <t>**$92.4M**</t>
        </is>
      </c>
      <c r="D22" s="3" t="inlineStr">
        <is>
          <t>**100%**</t>
        </is>
      </c>
    </row>
    <row r="25">
      <c r="A25" s="2" t="inlineStr">
        <is>
          <t>CBS summary</t>
        </is>
      </c>
    </row>
    <row r="26">
      <c r="A26" s="16" t="inlineStr">
        <is>
          <t>CBS</t>
        </is>
      </c>
      <c r="B26" s="16" t="inlineStr">
        <is>
          <t>Description</t>
        </is>
      </c>
      <c r="C26" s="16" t="inlineStr">
        <is>
          <t>Amount (CAD)</t>
        </is>
      </c>
      <c r="D26" s="16" t="inlineStr">
        <is>
          <t>% of Total</t>
        </is>
      </c>
    </row>
    <row r="27">
      <c r="A27" s="3" t="inlineStr">
        <is>
          <t>MAT</t>
        </is>
      </c>
      <c r="B27" s="3" t="inlineStr">
        <is>
          <t>Materials</t>
        </is>
      </c>
      <c r="C27" s="3" t="inlineStr">
        <is>
          <t>$41,045,785</t>
        </is>
      </c>
      <c r="D27" s="3" t="inlineStr">
        <is>
          <t>44.4%</t>
        </is>
      </c>
    </row>
    <row r="28">
      <c r="A28" s="3" t="inlineStr">
        <is>
          <t>CD</t>
        </is>
      </c>
      <c r="B28" s="3" t="inlineStr">
        <is>
          <t>Construction Directs</t>
        </is>
      </c>
      <c r="C28" s="3" t="inlineStr">
        <is>
          <t>$26,933,520</t>
        </is>
      </c>
      <c r="D28" s="3" t="inlineStr">
        <is>
          <t>29.1%</t>
        </is>
      </c>
    </row>
    <row r="29">
      <c r="A29" s="3" t="inlineStr">
        <is>
          <t>E</t>
        </is>
      </c>
      <c r="B29" s="3" t="inlineStr">
        <is>
          <t>Engineering</t>
        </is>
      </c>
      <c r="C29" s="3" t="inlineStr">
        <is>
          <t>$8,640,165</t>
        </is>
      </c>
      <c r="D29" s="3" t="inlineStr">
        <is>
          <t>9.4%</t>
        </is>
      </c>
    </row>
    <row r="30">
      <c r="A30" s="3" t="inlineStr">
        <is>
          <t>PM</t>
        </is>
      </c>
      <c r="B30" s="3" t="inlineStr">
        <is>
          <t>Project Management</t>
        </is>
      </c>
      <c r="C30" s="3" t="inlineStr">
        <is>
          <t>$5,821,748</t>
        </is>
      </c>
      <c r="D30" s="3" t="inlineStr">
        <is>
          <t>6.3%</t>
        </is>
      </c>
    </row>
    <row r="31">
      <c r="A31" s="3" t="inlineStr">
        <is>
          <t>CI</t>
        </is>
      </c>
      <c r="B31" s="3" t="inlineStr">
        <is>
          <t>Construction Indirects</t>
        </is>
      </c>
      <c r="C31" s="3" t="inlineStr">
        <is>
          <t>$5,816,043</t>
        </is>
      </c>
      <c r="D31" s="3" t="inlineStr">
        <is>
          <t>6.3%</t>
        </is>
      </c>
    </row>
    <row r="32">
      <c r="A32" s="3" t="inlineStr">
        <is>
          <t>COM</t>
        </is>
      </c>
      <c r="B32" s="3" t="inlineStr">
        <is>
          <t>Commissioning</t>
        </is>
      </c>
      <c r="C32" s="3" t="inlineStr">
        <is>
          <t>$3,004,199</t>
        </is>
      </c>
      <c r="D32" s="3" t="inlineStr">
        <is>
          <t>3.3%</t>
        </is>
      </c>
    </row>
    <row r="33">
      <c r="A33" s="3" t="inlineStr">
        <is>
          <t>P</t>
        </is>
      </c>
      <c r="B33" s="3" t="inlineStr">
        <is>
          <t>Procurement</t>
        </is>
      </c>
      <c r="C33" s="3" t="inlineStr">
        <is>
          <t>$921,946</t>
        </is>
      </c>
      <c r="D33" s="3" t="inlineStr">
        <is>
          <t>1.0%</t>
        </is>
      </c>
    </row>
    <row r="34">
      <c r="A34" s="3" t="inlineStr">
        <is>
          <t>FRT</t>
        </is>
      </c>
      <c r="B34" s="3" t="inlineStr">
        <is>
          <t>Freight</t>
        </is>
      </c>
      <c r="C34" s="3" t="inlineStr">
        <is>
          <t>$233,000</t>
        </is>
      </c>
      <c r="D34" s="3" t="inlineStr">
        <is>
          <t>0.3%</t>
        </is>
      </c>
    </row>
    <row r="35">
      <c r="A35" s="3" t="inlineStr">
        <is>
          <t>**BASE TOTAL**</t>
        </is>
      </c>
      <c r="B35" s="3" t="inlineStr"/>
      <c r="C35" s="3" t="inlineStr">
        <is>
          <t>**$92,416,406**</t>
        </is>
      </c>
      <c r="D35" s="3" t="inlineStr">
        <is>
          <t>**100%**</t>
        </is>
      </c>
    </row>
    <row r="37">
      <c r="A37" s="2" t="inlineStr">
        <is>
          <t>Pricing method distribution</t>
        </is>
      </c>
    </row>
    <row r="38">
      <c r="A38" s="16" t="inlineStr">
        <is>
          <t>Method</t>
        </is>
      </c>
      <c r="B38" s="16" t="inlineStr">
        <is>
          <t>Line Items</t>
        </is>
      </c>
      <c r="C38" s="16" t="inlineStr">
        <is>
          <t>% of Items</t>
        </is>
      </c>
      <c r="D38" s="16" t="inlineStr">
        <is>
          <t>Remarks</t>
        </is>
      </c>
    </row>
    <row r="39">
      <c r="A39" s="3" t="inlineStr">
        <is>
          <t>ALLOWANCE</t>
        </is>
      </c>
      <c r="B39" s="3" t="inlineStr">
        <is>
          <t>689</t>
        </is>
      </c>
      <c r="C39" s="3" t="inlineStr">
        <is>
          <t>79.5%</t>
        </is>
      </c>
      <c r="D39" s="3" t="inlineStr">
        <is>
          <t>Lump-sum placeholders without vendor validation</t>
        </is>
      </c>
    </row>
    <row r="40">
      <c r="A40" s="3" t="inlineStr">
        <is>
          <t>PARAMETRIC</t>
        </is>
      </c>
      <c r="B40" s="3" t="inlineStr">
        <is>
          <t>154</t>
        </is>
      </c>
      <c r="C40" s="3" t="inlineStr">
        <is>
          <t>17.8%</t>
        </is>
      </c>
      <c r="D40" s="3" t="inlineStr">
        <is>
          <t>Factor-based calculations (indirects, PM, etc.)</t>
        </is>
      </c>
    </row>
    <row r="41">
      <c r="A41" s="3" t="inlineStr">
        <is>
          <t>RATE_TABLE</t>
        </is>
      </c>
      <c r="B41" s="3" t="inlineStr">
        <is>
          <t>11</t>
        </is>
      </c>
      <c r="C41" s="3" t="inlineStr">
        <is>
          <t>1.3%</t>
        </is>
      </c>
      <c r="D41" s="3" t="inlineStr">
        <is>
          <t>Limited rate table pricing</t>
        </is>
      </c>
    </row>
    <row r="42">
      <c r="A42" s="3" t="inlineStr">
        <is>
          <t>QUOTE</t>
        </is>
      </c>
      <c r="B42" s="3" t="inlineStr">
        <is>
          <t>0</t>
        </is>
      </c>
      <c r="C42" s="3" t="inlineStr">
        <is>
          <t>0%</t>
        </is>
      </c>
      <c r="D42" s="3" t="inlineStr">
        <is>
          <t>No vendor quotes available</t>
        </is>
      </c>
    </row>
    <row r="43">
      <c r="A43" s="3" t="inlineStr">
        <is>
          <t>**TOTAL**</t>
        </is>
      </c>
      <c r="B43" s="3" t="inlineStr">
        <is>
          <t>**867**</t>
        </is>
      </c>
      <c r="C43" s="3" t="inlineStr">
        <is>
          <t>**100%**</t>
        </is>
      </c>
      <c r="D43" s="3" t="inlineStr"/>
    </row>
    <row r="46">
      <c r="A46" s="2" t="inlineStr">
        <is>
          <t>Contingency by CBS (as stated in BOE)</t>
        </is>
      </c>
    </row>
    <row r="47">
      <c r="A47" s="16" t="inlineStr">
        <is>
          <t>CBS</t>
        </is>
      </c>
      <c r="B47" s="16" t="inlineStr">
        <is>
          <t>Base (CAD)</t>
        </is>
      </c>
      <c r="C47" s="16" t="inlineStr">
        <is>
          <t>Contingency Rate</t>
        </is>
      </c>
      <c r="D47" s="16" t="inlineStr">
        <is>
          <t>Contingency (CAD)</t>
        </is>
      </c>
    </row>
    <row r="48">
      <c r="A48" s="3" t="inlineStr">
        <is>
          <t>E</t>
        </is>
      </c>
      <c r="B48" s="3" t="inlineStr">
        <is>
          <t>$8,640,165</t>
        </is>
      </c>
      <c r="C48" s="3" t="inlineStr">
        <is>
          <t>15%</t>
        </is>
      </c>
      <c r="D48" s="3" t="inlineStr">
        <is>
          <t>$1,296,000</t>
        </is>
      </c>
    </row>
    <row r="49">
      <c r="A49" s="3" t="inlineStr">
        <is>
          <t>PM</t>
        </is>
      </c>
      <c r="B49" s="3" t="inlineStr">
        <is>
          <t>$5,821,748</t>
        </is>
      </c>
      <c r="C49" s="3" t="inlineStr">
        <is>
          <t>15%</t>
        </is>
      </c>
      <c r="D49" s="3" t="inlineStr">
        <is>
          <t>$873,000</t>
        </is>
      </c>
    </row>
    <row r="50">
      <c r="A50" s="3" t="inlineStr">
        <is>
          <t>P</t>
        </is>
      </c>
      <c r="B50" s="3" t="inlineStr">
        <is>
          <t>$921,946</t>
        </is>
      </c>
      <c r="C50" s="3" t="inlineStr">
        <is>
          <t>15%</t>
        </is>
      </c>
      <c r="D50" s="3" t="inlineStr">
        <is>
          <t>$138,000</t>
        </is>
      </c>
    </row>
    <row r="51">
      <c r="A51" s="3" t="inlineStr">
        <is>
          <t>MAT</t>
        </is>
      </c>
      <c r="B51" s="3" t="inlineStr">
        <is>
          <t>$41,045,785</t>
        </is>
      </c>
      <c r="C51" s="3" t="inlineStr">
        <is>
          <t>20%</t>
        </is>
      </c>
      <c r="D51" s="3" t="inlineStr">
        <is>
          <t>$8,209,000</t>
        </is>
      </c>
    </row>
    <row r="52">
      <c r="A52" s="3" t="inlineStr">
        <is>
          <t>FRT</t>
        </is>
      </c>
      <c r="B52" s="3" t="inlineStr">
        <is>
          <t>$233,000</t>
        </is>
      </c>
      <c r="C52" s="3" t="inlineStr">
        <is>
          <t>20%</t>
        </is>
      </c>
      <c r="D52" s="3" t="inlineStr">
        <is>
          <t>$47,000</t>
        </is>
      </c>
    </row>
    <row r="53">
      <c r="A53" s="3" t="inlineStr">
        <is>
          <t>CD</t>
        </is>
      </c>
      <c r="B53" s="3" t="inlineStr">
        <is>
          <t>$26,933,520</t>
        </is>
      </c>
      <c r="C53" s="3" t="inlineStr">
        <is>
          <t>25%</t>
        </is>
      </c>
      <c r="D53" s="3" t="inlineStr">
        <is>
          <t>$6,733,000</t>
        </is>
      </c>
    </row>
    <row r="54">
      <c r="A54" s="3" t="inlineStr">
        <is>
          <t>CI</t>
        </is>
      </c>
      <c r="B54" s="3" t="inlineStr">
        <is>
          <t>$5,816,043</t>
        </is>
      </c>
      <c r="C54" s="3" t="inlineStr">
        <is>
          <t>25%</t>
        </is>
      </c>
      <c r="D54" s="3" t="inlineStr">
        <is>
          <t>$1,454,000</t>
        </is>
      </c>
    </row>
    <row r="55">
      <c r="A55" s="3" t="inlineStr">
        <is>
          <t>COM</t>
        </is>
      </c>
      <c r="B55" s="3" t="inlineStr">
        <is>
          <t>$3,004,199</t>
        </is>
      </c>
      <c r="C55" s="3" t="inlineStr">
        <is>
          <t>30%</t>
        </is>
      </c>
      <c r="D55" s="3" t="inlineStr">
        <is>
          <t>$901,000</t>
        </is>
      </c>
    </row>
    <row r="56">
      <c r="A56" s="3" t="inlineStr">
        <is>
          <t>**TOTAL**</t>
        </is>
      </c>
      <c r="B56" s="3" t="inlineStr">
        <is>
          <t>**$92,416,406**</t>
        </is>
      </c>
      <c r="C56" s="3" t="inlineStr">
        <is>
          <t>**~26.7%**</t>
        </is>
      </c>
      <c r="D56" s="3" t="inlineStr">
        <is>
          <t>**~$24.7M**</t>
        </is>
      </c>
    </row>
  </sheetData>
  <hyperlinks>
    <hyperlink xmlns:r="http://schemas.openxmlformats.org/officeDocument/2006/relationships" ref="H1" r:id="rId1"/>
  </hyperlinks>
  <pageMargins left="0.75" right="0.75" top="1" bottom="1" header="0.5" footer="0.5"/>
  <tableParts count="5">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2.xml><?xml version="1.0" encoding="utf-8"?>
<worksheet xmlns="http://schemas.openxmlformats.org/spreadsheetml/2006/main">
  <sheetPr>
    <outlinePr summaryBelow="1" summaryRight="1"/>
    <pageSetUpPr/>
  </sheetPr>
  <dimension ref="A1:L41"/>
  <sheetViews>
    <sheetView showGridLines="0" workbookViewId="0">
      <pane xSplit="6" ySplit="5" topLeftCell="G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0" customWidth="1" min="1" max="1"/>
    <col width="12" customWidth="1" min="2" max="2"/>
    <col width="35" customWidth="1" min="3" max="3"/>
    <col width="10" customWidth="1" min="4" max="4"/>
    <col width="24" customWidth="1" min="5" max="5"/>
    <col width="10" customWidth="1" min="7" max="7"/>
    <col width="40" customWidth="1" min="8" max="8"/>
    <col width="12" customWidth="1" min="9" max="9"/>
  </cols>
  <sheetData>
    <row r="1">
      <c r="A1" s="15" t="inlineStr">
        <is>
          <t>Model Inputs / Lookups</t>
        </is>
      </c>
      <c r="L1" s="4" t="inlineStr">
        <is>
          <t>Home</t>
        </is>
      </c>
    </row>
    <row r="2">
      <c r="A2" t="inlineStr">
        <is>
          <t>Contingency scaling factor</t>
        </is>
      </c>
      <c r="B2" s="25" t="n">
        <v>1</v>
      </c>
      <c r="C2" t="inlineStr">
        <is>
          <t>(1.00 = use BOE bucket rates as-is)</t>
        </is>
      </c>
    </row>
    <row r="4">
      <c r="A4" s="7" t="inlineStr">
        <is>
          <t>Contingency rates by CBS (from BOE §7.2)</t>
        </is>
      </c>
      <c r="D4" s="7" t="inlineStr">
        <is>
          <t>Package category mapping (from BOE §2.3)</t>
        </is>
      </c>
      <c r="G4" s="7" t="inlineStr">
        <is>
          <t>Package descriptions (from BOE §12)</t>
        </is>
      </c>
    </row>
    <row r="5">
      <c r="A5" s="16" t="inlineStr">
        <is>
          <t>CBS</t>
        </is>
      </c>
      <c r="B5" s="16" t="inlineStr">
        <is>
          <t>Rate</t>
        </is>
      </c>
      <c r="D5" s="16" t="inlineStr">
        <is>
          <t>Package</t>
        </is>
      </c>
      <c r="E5" s="16" t="inlineStr">
        <is>
          <t>PackageCategory</t>
        </is>
      </c>
      <c r="G5" s="16" t="inlineStr">
        <is>
          <t>Package</t>
        </is>
      </c>
      <c r="H5" s="16" t="inlineStr">
        <is>
          <t>Description</t>
        </is>
      </c>
      <c r="I5" s="16" t="inlineStr">
        <is>
          <t>Confidence</t>
        </is>
      </c>
    </row>
    <row r="6">
      <c r="A6" s="3" t="inlineStr">
        <is>
          <t>E</t>
        </is>
      </c>
      <c r="B6" s="36" t="n">
        <v>0.15</v>
      </c>
      <c r="D6" s="3" t="inlineStr">
        <is>
          <t>PKG-00</t>
        </is>
      </c>
      <c r="E6" s="3" t="inlineStr">
        <is>
          <t>Site &amp; Civil</t>
        </is>
      </c>
      <c r="G6" s="3" t="inlineStr">
        <is>
          <t>PKG-00</t>
        </is>
      </c>
      <c r="H6" s="3" t="inlineStr">
        <is>
          <t>Site Establishment</t>
        </is>
      </c>
      <c r="I6" s="3" t="inlineStr">
        <is>
          <t>LOW</t>
        </is>
      </c>
    </row>
    <row r="7">
      <c r="A7" s="3" t="inlineStr">
        <is>
          <t>PM</t>
        </is>
      </c>
      <c r="B7" s="36" t="n">
        <v>0.15</v>
      </c>
      <c r="D7" s="3" t="inlineStr">
        <is>
          <t>PKG-01</t>
        </is>
      </c>
      <c r="E7" s="3" t="inlineStr">
        <is>
          <t>Site &amp; Civil</t>
        </is>
      </c>
      <c r="G7" s="3" t="inlineStr">
        <is>
          <t>PKG-01</t>
        </is>
      </c>
      <c r="H7" s="3" t="inlineStr">
        <is>
          <t>Demolition &amp; Removals</t>
        </is>
      </c>
      <c r="I7" s="3" t="inlineStr">
        <is>
          <t>LOW</t>
        </is>
      </c>
    </row>
    <row r="8">
      <c r="A8" s="3" t="inlineStr">
        <is>
          <t>P</t>
        </is>
      </c>
      <c r="B8" s="36" t="n">
        <v>0.15</v>
      </c>
      <c r="D8" s="3" t="inlineStr">
        <is>
          <t>PKG-02</t>
        </is>
      </c>
      <c r="E8" s="3" t="inlineStr">
        <is>
          <t>Site &amp; Civil</t>
        </is>
      </c>
      <c r="G8" s="3" t="inlineStr">
        <is>
          <t>PKG-02</t>
        </is>
      </c>
      <c r="H8" s="3" t="inlineStr">
        <is>
          <t>Earthworks &amp; Ground Improvement</t>
        </is>
      </c>
      <c r="I8" s="3" t="inlineStr">
        <is>
          <t>LOW</t>
        </is>
      </c>
    </row>
    <row r="9">
      <c r="A9" s="3" t="inlineStr">
        <is>
          <t>MAT</t>
        </is>
      </c>
      <c r="B9" s="36" t="n">
        <v>0.2</v>
      </c>
      <c r="D9" s="3" t="inlineStr">
        <is>
          <t>PKG-03</t>
        </is>
      </c>
      <c r="E9" s="3" t="inlineStr">
        <is>
          <t>Site &amp; Civil</t>
        </is>
      </c>
      <c r="G9" s="3" t="inlineStr">
        <is>
          <t>PKG-03</t>
        </is>
      </c>
      <c r="H9" s="3" t="inlineStr">
        <is>
          <t>Underground Utilities &amp; Drainage</t>
        </is>
      </c>
      <c r="I9" s="3" t="inlineStr">
        <is>
          <t>LOW</t>
        </is>
      </c>
    </row>
    <row r="10">
      <c r="A10" s="3" t="inlineStr">
        <is>
          <t>FRT</t>
        </is>
      </c>
      <c r="B10" s="36" t="n">
        <v>0.2</v>
      </c>
      <c r="D10" s="3" t="inlineStr">
        <is>
          <t>PKG-04</t>
        </is>
      </c>
      <c r="E10" s="3" t="inlineStr">
        <is>
          <t>Site &amp; Civil</t>
        </is>
      </c>
      <c r="G10" s="3" t="inlineStr">
        <is>
          <t>PKG-04</t>
        </is>
      </c>
      <c r="H10" s="3" t="inlineStr">
        <is>
          <t>Pavement &amp; Surfacing</t>
        </is>
      </c>
      <c r="I10" s="3" t="inlineStr">
        <is>
          <t>LOW</t>
        </is>
      </c>
    </row>
    <row r="11">
      <c r="A11" s="3" t="inlineStr">
        <is>
          <t>CD</t>
        </is>
      </c>
      <c r="B11" s="36" t="n">
        <v>0.25</v>
      </c>
      <c r="D11" s="3" t="inlineStr">
        <is>
          <t>PKG-05</t>
        </is>
      </c>
      <c r="E11" s="3" t="inlineStr">
        <is>
          <t>Structural</t>
        </is>
      </c>
      <c r="G11" s="3" t="inlineStr">
        <is>
          <t>PKG-05</t>
        </is>
      </c>
      <c r="H11" s="3" t="inlineStr">
        <is>
          <t>Concrete Structures</t>
        </is>
      </c>
      <c r="I11" s="3" t="inlineStr">
        <is>
          <t>LOW</t>
        </is>
      </c>
    </row>
    <row r="12">
      <c r="A12" s="3" t="inlineStr">
        <is>
          <t>CI</t>
        </is>
      </c>
      <c r="B12" s="36" t="n">
        <v>0.25</v>
      </c>
      <c r="D12" s="3" t="inlineStr">
        <is>
          <t>PKG-06</t>
        </is>
      </c>
      <c r="E12" s="3" t="inlineStr">
        <is>
          <t>Structural</t>
        </is>
      </c>
      <c r="G12" s="3" t="inlineStr">
        <is>
          <t>PKG-06</t>
        </is>
      </c>
      <c r="H12" s="3" t="inlineStr">
        <is>
          <t>Structural Steelwork</t>
        </is>
      </c>
      <c r="I12" s="3" t="inlineStr">
        <is>
          <t>LOW</t>
        </is>
      </c>
    </row>
    <row r="13">
      <c r="A13" s="3" t="inlineStr">
        <is>
          <t>COM</t>
        </is>
      </c>
      <c r="B13" s="36" t="n">
        <v>0.3</v>
      </c>
      <c r="D13" s="3" t="inlineStr">
        <is>
          <t>PKG-07</t>
        </is>
      </c>
      <c r="E13" s="3" t="inlineStr">
        <is>
          <t>Structural</t>
        </is>
      </c>
      <c r="G13" s="3" t="inlineStr">
        <is>
          <t>PKG-07</t>
        </is>
      </c>
      <c r="H13" s="3" t="inlineStr">
        <is>
          <t>Rail Works</t>
        </is>
      </c>
      <c r="I13" s="3" t="inlineStr">
        <is>
          <t>LOW</t>
        </is>
      </c>
    </row>
    <row r="14">
      <c r="D14" s="3" t="inlineStr">
        <is>
          <t>PKG-08</t>
        </is>
      </c>
      <c r="E14" s="3" t="inlineStr">
        <is>
          <t>Structural</t>
        </is>
      </c>
      <c r="G14" s="3" t="inlineStr">
        <is>
          <t>PKG-08</t>
        </is>
      </c>
      <c r="H14" s="3" t="inlineStr">
        <is>
          <t>Marine Structures</t>
        </is>
      </c>
      <c r="I14" s="3" t="inlineStr">
        <is>
          <t>LOW</t>
        </is>
      </c>
    </row>
    <row r="15">
      <c r="D15" s="3" t="inlineStr">
        <is>
          <t>PKG-09</t>
        </is>
      </c>
      <c r="E15" s="3" t="inlineStr">
        <is>
          <t>Structural</t>
        </is>
      </c>
      <c r="G15" s="3" t="inlineStr">
        <is>
          <t>PKG-09</t>
        </is>
      </c>
      <c r="H15" s="3" t="inlineStr">
        <is>
          <t>Marine Outfitting</t>
        </is>
      </c>
      <c r="I15" s="3" t="inlineStr">
        <is>
          <t>LOW</t>
        </is>
      </c>
    </row>
    <row r="16">
      <c r="D16" s="3" t="inlineStr">
        <is>
          <t>PKG-10</t>
        </is>
      </c>
      <c r="E16" s="3" t="inlineStr">
        <is>
          <t>Mechanical</t>
        </is>
      </c>
      <c r="G16" s="3" t="inlineStr">
        <is>
          <t>PKG-10</t>
        </is>
      </c>
      <c r="H16" s="3" t="inlineStr">
        <is>
          <t>Railcar Unloading System</t>
        </is>
      </c>
      <c r="I16" s="3" t="inlineStr">
        <is>
          <t>LOW</t>
        </is>
      </c>
    </row>
    <row r="17">
      <c r="D17" s="3" t="inlineStr">
        <is>
          <t>PKG-11</t>
        </is>
      </c>
      <c r="E17" s="3" t="inlineStr">
        <is>
          <t>Mechanical</t>
        </is>
      </c>
      <c r="G17" s="3" t="inlineStr">
        <is>
          <t>PKG-11</t>
        </is>
      </c>
      <c r="H17" s="3" t="inlineStr">
        <is>
          <t>Marine Loading System</t>
        </is>
      </c>
      <c r="I17" s="3" t="inlineStr">
        <is>
          <t>LOW</t>
        </is>
      </c>
    </row>
    <row r="18">
      <c r="D18" s="3" t="inlineStr">
        <is>
          <t>PKG-12</t>
        </is>
      </c>
      <c r="E18" s="3" t="inlineStr">
        <is>
          <t>Mechanical</t>
        </is>
      </c>
      <c r="G18" s="3" t="inlineStr">
        <is>
          <t>PKG-12</t>
        </is>
      </c>
      <c r="H18" s="3" t="inlineStr">
        <is>
          <t>Product Transfer &amp; Metering</t>
        </is>
      </c>
      <c r="I18" s="3" t="inlineStr">
        <is>
          <t>LOW</t>
        </is>
      </c>
    </row>
    <row r="19">
      <c r="D19" s="3" t="inlineStr">
        <is>
          <t>PKG-13</t>
        </is>
      </c>
      <c r="E19" s="3" t="inlineStr">
        <is>
          <t>Mechanical</t>
        </is>
      </c>
      <c r="G19" s="3" t="inlineStr">
        <is>
          <t>PKG-13</t>
        </is>
      </c>
      <c r="H19" s="3" t="inlineStr">
        <is>
          <t>Storage Tanks</t>
        </is>
      </c>
      <c r="I19" s="3" t="inlineStr">
        <is>
          <t>LOW</t>
        </is>
      </c>
    </row>
    <row r="20">
      <c r="D20" s="3" t="inlineStr">
        <is>
          <t>PKG-14</t>
        </is>
      </c>
      <c r="E20" s="3" t="inlineStr">
        <is>
          <t>Mechanical</t>
        </is>
      </c>
      <c r="G20" s="3" t="inlineStr">
        <is>
          <t>PKG-14</t>
        </is>
      </c>
      <c r="H20" s="3" t="inlineStr">
        <is>
          <t>Process Piping</t>
        </is>
      </c>
      <c r="I20" s="3" t="inlineStr">
        <is>
          <t>LOW</t>
        </is>
      </c>
    </row>
    <row r="21">
      <c r="D21" s="3" t="inlineStr">
        <is>
          <t>PKG-15</t>
        </is>
      </c>
      <c r="E21" s="3" t="inlineStr">
        <is>
          <t>Mechanical</t>
        </is>
      </c>
      <c r="G21" s="3" t="inlineStr">
        <is>
          <t>PKG-15</t>
        </is>
      </c>
      <c r="H21" s="3" t="inlineStr">
        <is>
          <t>Pumps &amp; Rotating Equipment</t>
        </is>
      </c>
      <c r="I21" s="3" t="inlineStr">
        <is>
          <t>LOW-MED</t>
        </is>
      </c>
    </row>
    <row r="22">
      <c r="D22" s="3" t="inlineStr">
        <is>
          <t>PKG-16</t>
        </is>
      </c>
      <c r="E22" s="3" t="inlineStr">
        <is>
          <t>Mechanical</t>
        </is>
      </c>
      <c r="G22" s="3" t="inlineStr">
        <is>
          <t>PKG-16</t>
        </is>
      </c>
      <c r="H22" s="3" t="inlineStr">
        <is>
          <t>Valves &amp; Specialty Equipment</t>
        </is>
      </c>
      <c r="I22" s="3" t="inlineStr">
        <is>
          <t>LOW</t>
        </is>
      </c>
    </row>
    <row r="23">
      <c r="D23" s="3" t="inlineStr">
        <is>
          <t>PKG-17</t>
        </is>
      </c>
      <c r="E23" s="3" t="inlineStr">
        <is>
          <t>Electrical &amp; I&amp;C</t>
        </is>
      </c>
      <c r="G23" s="3" t="inlineStr">
        <is>
          <t>PKG-17</t>
        </is>
      </c>
      <c r="H23" s="3" t="inlineStr">
        <is>
          <t>Electrical Power Distribution</t>
        </is>
      </c>
      <c r="I23" s="3" t="inlineStr">
        <is>
          <t>LOW</t>
        </is>
      </c>
    </row>
    <row r="24">
      <c r="D24" s="3" t="inlineStr">
        <is>
          <t>PKG-18</t>
        </is>
      </c>
      <c r="E24" s="3" t="inlineStr">
        <is>
          <t>Electrical &amp; I&amp;C</t>
        </is>
      </c>
      <c r="G24" s="3" t="inlineStr">
        <is>
          <t>PKG-18</t>
        </is>
      </c>
      <c r="H24" s="3" t="inlineStr">
        <is>
          <t>Lighting</t>
        </is>
      </c>
      <c r="I24" s="3" t="inlineStr">
        <is>
          <t>LOW</t>
        </is>
      </c>
    </row>
    <row r="25">
      <c r="D25" s="3" t="inlineStr">
        <is>
          <t>PKG-19</t>
        </is>
      </c>
      <c r="E25" s="3" t="inlineStr">
        <is>
          <t>Electrical &amp; I&amp;C</t>
        </is>
      </c>
      <c r="G25" s="3" t="inlineStr">
        <is>
          <t>PKG-19</t>
        </is>
      </c>
      <c r="H25" s="3" t="inlineStr">
        <is>
          <t>Control Systems</t>
        </is>
      </c>
      <c r="I25" s="3" t="inlineStr">
        <is>
          <t>LOW</t>
        </is>
      </c>
    </row>
    <row r="26">
      <c r="D26" s="3" t="inlineStr">
        <is>
          <t>PKG-20</t>
        </is>
      </c>
      <c r="E26" s="3" t="inlineStr">
        <is>
          <t>Electrical &amp; I&amp;C</t>
        </is>
      </c>
      <c r="G26" s="3" t="inlineStr">
        <is>
          <t>PKG-20</t>
        </is>
      </c>
      <c r="H26" s="3" t="inlineStr">
        <is>
          <t>Field Instrumentation</t>
        </is>
      </c>
      <c r="I26" s="3" t="inlineStr">
        <is>
          <t>LOW</t>
        </is>
      </c>
    </row>
    <row r="27">
      <c r="D27" s="3" t="inlineStr">
        <is>
          <t>PKG-21</t>
        </is>
      </c>
      <c r="E27" s="3" t="inlineStr">
        <is>
          <t>Buildings &amp; Protection</t>
        </is>
      </c>
      <c r="G27" s="3" t="inlineStr">
        <is>
          <t>PKG-21</t>
        </is>
      </c>
      <c r="H27" s="3" t="inlineStr">
        <is>
          <t>Buildings (MCC/Shelters)</t>
        </is>
      </c>
      <c r="I27" s="3" t="inlineStr">
        <is>
          <t>LOW</t>
        </is>
      </c>
    </row>
    <row r="28">
      <c r="D28" s="3" t="inlineStr">
        <is>
          <t>PKG-22</t>
        </is>
      </c>
      <c r="E28" s="3" t="inlineStr">
        <is>
          <t>Buildings &amp; Protection</t>
        </is>
      </c>
      <c r="G28" s="3" t="inlineStr">
        <is>
          <t>PKG-22</t>
        </is>
      </c>
      <c r="H28" s="3" t="inlineStr">
        <is>
          <t>Building Interior &amp; MEP</t>
        </is>
      </c>
      <c r="I28" s="3" t="inlineStr">
        <is>
          <t>LOW</t>
        </is>
      </c>
    </row>
    <row r="29">
      <c r="D29" s="3" t="inlineStr">
        <is>
          <t>PKG-23</t>
        </is>
      </c>
      <c r="E29" s="3" t="inlineStr">
        <is>
          <t>Buildings &amp; Protection</t>
        </is>
      </c>
      <c r="G29" s="3" t="inlineStr">
        <is>
          <t>PKG-23</t>
        </is>
      </c>
      <c r="H29" s="3" t="inlineStr">
        <is>
          <t>Fire Protection</t>
        </is>
      </c>
      <c r="I29" s="3" t="inlineStr">
        <is>
          <t>LOW</t>
        </is>
      </c>
    </row>
    <row r="30">
      <c r="D30" s="3" t="inlineStr">
        <is>
          <t>PKG-24</t>
        </is>
      </c>
      <c r="E30" s="3" t="inlineStr">
        <is>
          <t>Buildings &amp; Protection</t>
        </is>
      </c>
      <c r="G30" s="3" t="inlineStr">
        <is>
          <t>PKG-24</t>
        </is>
      </c>
      <c r="H30" s="3" t="inlineStr">
        <is>
          <t>Security Systems</t>
        </is>
      </c>
      <c r="I30" s="3" t="inlineStr">
        <is>
          <t>LOW</t>
        </is>
      </c>
    </row>
    <row r="31">
      <c r="D31" s="3" t="inlineStr">
        <is>
          <t>PKG-25</t>
        </is>
      </c>
      <c r="E31" s="3" t="inlineStr">
        <is>
          <t>Buildings &amp; Protection</t>
        </is>
      </c>
      <c r="G31" s="3" t="inlineStr">
        <is>
          <t>PKG-25</t>
        </is>
      </c>
      <c r="H31" s="3" t="inlineStr">
        <is>
          <t>Communications &amp; IT</t>
        </is>
      </c>
      <c r="I31" s="3" t="inlineStr">
        <is>
          <t>LOW</t>
        </is>
      </c>
    </row>
    <row r="32">
      <c r="D32" s="3" t="inlineStr">
        <is>
          <t>PKG-26</t>
        </is>
      </c>
      <c r="E32" s="3" t="inlineStr">
        <is>
          <t>Buildings &amp; Protection</t>
        </is>
      </c>
      <c r="G32" s="3" t="inlineStr">
        <is>
          <t>PKG-26</t>
        </is>
      </c>
      <c r="H32" s="3" t="inlineStr">
        <is>
          <t>Protective Coatings &amp; Painting</t>
        </is>
      </c>
      <c r="I32" s="3" t="inlineStr">
        <is>
          <t>LOW-MED</t>
        </is>
      </c>
    </row>
    <row r="33">
      <c r="D33" s="3" t="inlineStr">
        <is>
          <t>PKG-27</t>
        </is>
      </c>
      <c r="E33" s="3" t="inlineStr">
        <is>
          <t>Project Execution</t>
        </is>
      </c>
      <c r="G33" s="3" t="inlineStr">
        <is>
          <t>PKG-27</t>
        </is>
      </c>
      <c r="H33" s="3" t="inlineStr">
        <is>
          <t>Insulation</t>
        </is>
      </c>
      <c r="I33" s="3" t="inlineStr">
        <is>
          <t>LOW</t>
        </is>
      </c>
    </row>
    <row r="34">
      <c r="D34" s="3" t="inlineStr">
        <is>
          <t>PKG-28</t>
        </is>
      </c>
      <c r="E34" s="3" t="inlineStr">
        <is>
          <t>Project Execution</t>
        </is>
      </c>
      <c r="G34" s="3" t="inlineStr">
        <is>
          <t>PKG-28</t>
        </is>
      </c>
      <c r="H34" s="3" t="inlineStr">
        <is>
          <t>Design Verification</t>
        </is>
      </c>
      <c r="I34" s="3" t="inlineStr">
        <is>
          <t>LOW</t>
        </is>
      </c>
    </row>
    <row r="35">
      <c r="D35" s="3" t="inlineStr">
        <is>
          <t>PKG-29</t>
        </is>
      </c>
      <c r="E35" s="3" t="inlineStr">
        <is>
          <t>Project Execution</t>
        </is>
      </c>
      <c r="G35" s="3" t="inlineStr">
        <is>
          <t>PKG-29</t>
        </is>
      </c>
      <c r="H35" s="3" t="inlineStr">
        <is>
          <t>Testing</t>
        </is>
      </c>
      <c r="I35" s="3" t="inlineStr">
        <is>
          <t>LOW</t>
        </is>
      </c>
    </row>
    <row r="36">
      <c r="D36" s="3" t="inlineStr">
        <is>
          <t>PKG-30</t>
        </is>
      </c>
      <c r="E36" s="3" t="inlineStr">
        <is>
          <t>Project Execution</t>
        </is>
      </c>
      <c r="G36" s="3" t="inlineStr">
        <is>
          <t>PKG-30</t>
        </is>
      </c>
      <c r="H36" s="3" t="inlineStr">
        <is>
          <t>Commissioning</t>
        </is>
      </c>
      <c r="I36" s="3" t="inlineStr">
        <is>
          <t>LOW-MED</t>
        </is>
      </c>
    </row>
    <row r="37">
      <c r="D37" s="3" t="inlineStr">
        <is>
          <t>PKG-31</t>
        </is>
      </c>
      <c r="E37" s="3" t="inlineStr">
        <is>
          <t>Project Execution</t>
        </is>
      </c>
      <c r="G37" s="3" t="inlineStr">
        <is>
          <t>PKG-31</t>
        </is>
      </c>
      <c r="H37" s="3" t="inlineStr">
        <is>
          <t>Documentation</t>
        </is>
      </c>
      <c r="I37" s="3" t="inlineStr">
        <is>
          <t>LOW</t>
        </is>
      </c>
    </row>
    <row r="38">
      <c r="D38" s="3" t="inlineStr">
        <is>
          <t>PKG-32</t>
        </is>
      </c>
      <c r="E38" s="3" t="inlineStr">
        <is>
          <t>Project Execution</t>
        </is>
      </c>
      <c r="G38" s="3" t="inlineStr">
        <is>
          <t>PKG-32</t>
        </is>
      </c>
      <c r="H38" s="3" t="inlineStr">
        <is>
          <t>Regulatory &amp; Permits</t>
        </is>
      </c>
      <c r="I38" s="3" t="inlineStr">
        <is>
          <t>LOW</t>
        </is>
      </c>
    </row>
    <row r="39">
      <c r="D39" s="3" t="inlineStr">
        <is>
          <t>PKG-33</t>
        </is>
      </c>
      <c r="E39" s="3" t="inlineStr">
        <is>
          <t>Project Execution</t>
        </is>
      </c>
      <c r="G39" s="3" t="inlineStr">
        <is>
          <t>PKG-33</t>
        </is>
      </c>
      <c r="H39" s="3" t="inlineStr">
        <is>
          <t>HSE Management</t>
        </is>
      </c>
      <c r="I39" s="3" t="inlineStr">
        <is>
          <t>LOW</t>
        </is>
      </c>
    </row>
    <row r="40">
      <c r="D40" s="3" t="inlineStr">
        <is>
          <t>PKG-34</t>
        </is>
      </c>
      <c r="E40" s="3" t="inlineStr">
        <is>
          <t>Project Execution</t>
        </is>
      </c>
      <c r="G40" s="3" t="inlineStr">
        <is>
          <t>PKG-34</t>
        </is>
      </c>
      <c r="H40" s="3" t="inlineStr">
        <is>
          <t>Coordination &amp; Interfaces</t>
        </is>
      </c>
      <c r="I40" s="3" t="inlineStr">
        <is>
          <t>LOW</t>
        </is>
      </c>
    </row>
    <row r="41">
      <c r="D41" s="3" t="inlineStr">
        <is>
          <t>PKG-35</t>
        </is>
      </c>
      <c r="E41" s="3" t="inlineStr">
        <is>
          <t>Project Execution</t>
        </is>
      </c>
      <c r="G41" s="3" t="inlineStr">
        <is>
          <t>PKG-35</t>
        </is>
      </c>
      <c r="H41" s="3" t="inlineStr">
        <is>
          <t>Training &amp; Handover</t>
        </is>
      </c>
      <c r="I41" s="3" t="inlineStr">
        <is>
          <t>LOW</t>
        </is>
      </c>
    </row>
  </sheetData>
  <hyperlinks>
    <hyperlink xmlns:r="http://schemas.openxmlformats.org/officeDocument/2006/relationships" ref="L1" r:id="rId1"/>
  </hyperlinks>
  <pageMargins left="0.75" right="0.75" top="1" bottom="1" header="0.5" footer="0.5"/>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2026-01-29T12:03:53Z</dcterms:created>
  <dcterms:modified xmlns:dcterms="http://purl.org/dc/terms/" xmlns:xsi="http://www.w3.org/2001/XMLSchema-instance" xsi:type="dcterms:W3CDTF">2026-01-29T12:16:17Z</dcterms:modified>
</cp:coreProperties>
</file>